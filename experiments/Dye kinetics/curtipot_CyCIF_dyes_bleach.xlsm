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11.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omments3.xml" ContentType="application/vnd.openxmlformats-officedocument.spreadsheetml.comments+xml"/>
  <Override PartName="/xl/charts/chart1.xml" ContentType="application/vnd.openxmlformats-officedocument.drawingml.chart+xml"/>
  <Override PartName="/xl/drawings/drawing5.xml" ContentType="application/vnd.openxmlformats-officedocument.drawing+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4.xml" ContentType="application/vnd.openxmlformats-officedocument.spreadsheetml.comments+xml"/>
  <Override PartName="/xl/charts/chart2.xml" ContentType="application/vnd.openxmlformats-officedocument.drawingml.chart+xml"/>
  <Override PartName="/xl/drawings/drawing6.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omments5.xml" ContentType="application/vnd.openxmlformats-officedocument.spreadsheetml.comments+xml"/>
  <Override PartName="/xl/charts/chart3.xml" ContentType="application/vnd.openxmlformats-officedocument.drawingml.chart+xml"/>
  <Override PartName="/xl/drawings/drawing7.xml" ContentType="application/vnd.openxmlformats-officedocument.drawingml.chartshapes+xml"/>
  <Override PartName="/xl/charts/chart4.xml" ContentType="application/vnd.openxmlformats-officedocument.drawingml.chart+xml"/>
  <Override PartName="/xl/drawings/drawing8.xml" ContentType="application/vnd.openxmlformats-officedocument.drawingml.chartshapes+xml"/>
  <Override PartName="/xl/charts/chart5.xml" ContentType="application/vnd.openxmlformats-officedocument.drawingml.chart+xml"/>
  <Override PartName="/xl/drawings/drawing9.xml" ContentType="application/vnd.openxmlformats-officedocument.drawingml.chartshapes+xml"/>
  <Override PartName="/xl/charts/chart6.xml" ContentType="application/vnd.openxmlformats-officedocument.drawingml.chart+xml"/>
  <Override PartName="/xl/drawings/drawing10.xml" ContentType="application/vnd.openxmlformats-officedocument.drawingml.chartshapes+xml"/>
  <Override PartName="/xl/charts/chart7.xml" ContentType="application/vnd.openxmlformats-officedocument.drawingml.chart+xml"/>
  <Override PartName="/xl/drawings/drawing11.xml" ContentType="application/vnd.openxmlformats-officedocument.drawingml.chartshapes+xml"/>
  <Override PartName="/xl/charts/chart8.xml" ContentType="application/vnd.openxmlformats-officedocument.drawingml.chart+xml"/>
  <Override PartName="/xl/drawings/drawing12.xml" ContentType="application/vnd.openxmlformats-officedocument.drawingml.chartshapes+xml"/>
  <Override PartName="/xl/charts/chart9.xml" ContentType="application/vnd.openxmlformats-officedocument.drawingml.chart+xml"/>
  <Override PartName="/xl/drawings/drawing13.xml" ContentType="application/vnd.openxmlformats-officedocument.drawingml.chartshapes+xml"/>
  <Override PartName="/xl/charts/chart10.xml" ContentType="application/vnd.openxmlformats-officedocument.drawingml.chart+xml"/>
  <Override PartName="/xl/drawings/drawing14.xml" ContentType="application/vnd.openxmlformats-officedocument.drawingml.chartshapes+xml"/>
  <Override PartName="/xl/charts/chart11.xml" ContentType="application/vnd.openxmlformats-officedocument.drawingml.chart+xml"/>
  <Override PartName="/xl/drawings/drawing15.xml" ContentType="application/vnd.openxmlformats-officedocument.drawingml.chartshapes+xml"/>
  <Override PartName="/xl/charts/chart12.xml" ContentType="application/vnd.openxmlformats-officedocument.drawingml.chart+xml"/>
  <Override PartName="/xl/drawings/drawing16.xml" ContentType="application/vnd.openxmlformats-officedocument.drawingml.chartshapes+xml"/>
  <Override PartName="/xl/charts/chart13.xml" ContentType="application/vnd.openxmlformats-officedocument.drawingml.chart+xml"/>
  <Override PartName="/xl/drawings/drawing17.xml" ContentType="application/vnd.openxmlformats-officedocument.drawingml.chartshapes+xml"/>
  <Override PartName="/xl/charts/chart14.xml" ContentType="application/vnd.openxmlformats-officedocument.drawingml.chart+xml"/>
  <Override PartName="/xl/drawings/drawing18.xml" ContentType="application/vnd.openxmlformats-officedocument.drawingml.chartshapes+xml"/>
  <Override PartName="/xl/drawings/drawing19.xml" ContentType="application/vnd.openxmlformats-officedocument.drawing+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omments6.xml" ContentType="application/vnd.openxmlformats-officedocument.spreadsheetml.comments+xml"/>
  <Override PartName="/xl/charts/chart15.xml" ContentType="application/vnd.openxmlformats-officedocument.drawingml.chart+xml"/>
  <Override PartName="/xl/drawings/drawing20.xml" ContentType="application/vnd.openxmlformats-officedocument.drawingml.chartshapes+xml"/>
  <Override PartName="/xl/charts/chart16.xml" ContentType="application/vnd.openxmlformats-officedocument.drawingml.chart+xml"/>
  <Override PartName="/xl/drawings/drawing21.xml" ContentType="application/vnd.openxmlformats-officedocument.drawingml.chartshapes+xml"/>
  <Override PartName="/xl/drawings/drawing22.xml" ContentType="application/vnd.openxmlformats-officedocument.drawing+xml"/>
  <Override PartName="/xl/ctrlProps/ctrlProp64.xml" ContentType="application/vnd.ms-excel.controlproperties+xml"/>
  <Override PartName="/xl/comments7.xml" ContentType="application/vnd.openxmlformats-officedocument.spreadsheetml.comments+xml"/>
  <Override PartName="/xl/drawings/drawing23.xml" ContentType="application/vnd.openxmlformats-officedocument.drawing+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omments8.xml" ContentType="application/vnd.openxmlformats-officedocument.spreadsheetml.comments+xml"/>
  <Override PartName="/xl/charts/chart17.xml" ContentType="application/vnd.openxmlformats-officedocument.drawingml.chart+xml"/>
  <Override PartName="/xl/drawings/drawing24.xml" ContentType="application/vnd.openxmlformats-officedocument.drawingml.chartshapes+xml"/>
  <Override PartName="/xl/charts/chart18.xml" ContentType="application/vnd.openxmlformats-officedocument.drawingml.chart+xml"/>
  <Override PartName="/xl/charts/chart19.xml" ContentType="application/vnd.openxmlformats-officedocument.drawingml.chart+xml"/>
  <Override PartName="/xl/drawings/drawing25.xml" ContentType="application/vnd.openxmlformats-officedocument.drawing+xml"/>
  <Override PartName="/xl/ctrlProps/ctrlProp86.xml" ContentType="application/vnd.ms-excel.controlproperties+xml"/>
  <Override PartName="/xl/comments9.xml" ContentType="application/vnd.openxmlformats-officedocument.spreadsheetml.comments+xml"/>
  <Override PartName="/xl/drawings/drawing26.xml" ContentType="application/vnd.openxmlformats-officedocument.drawing+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omments10.xml" ContentType="application/vnd.openxmlformats-officedocument.spreadsheetml.comments+xml"/>
  <Override PartName="/xl/charts/chart20.xml" ContentType="application/vnd.openxmlformats-officedocument.drawingml.chart+xml"/>
  <Override PartName="/xl/drawings/drawing27.xml" ContentType="application/vnd.openxmlformats-officedocument.drawingml.chartshapes+xml"/>
  <Override PartName="/xl/drawings/drawing28.xml" ContentType="application/vnd.openxmlformats-officedocument.drawing+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026" codeName="{4D1C537B-E38A-612A-F078-A93A15B4B7F4}"/>
  <workbookPr codeName="EstaPasta_de_trabalho"/>
  <mc:AlternateContent xmlns:mc="http://schemas.openxmlformats.org/markup-compatibility/2006">
    <mc:Choice Requires="x15">
      <x15ac:absPath xmlns:x15ac="http://schemas.microsoft.com/office/spreadsheetml/2010/11/ac" url="C:\Users\mike\Documents\Projects\auto CYCIF\Dye kinetics\"/>
    </mc:Choice>
  </mc:AlternateContent>
  <xr:revisionPtr revIDLastSave="0" documentId="8_{F338196D-F8E2-40AC-9B94-E9D70BB112F3}" xr6:coauthVersionLast="47" xr6:coauthVersionMax="47" xr10:uidLastSave="{00000000-0000-0000-0000-000000000000}"/>
  <bookViews>
    <workbookView xWindow="-120" yWindow="-120" windowWidth="29040" windowHeight="15840" tabRatio="706" activeTab="4" xr2:uid="{00000000-000D-0000-FFFF-FFFF00000000}"/>
  </bookViews>
  <sheets>
    <sheet name="CurTiPot" sheetId="15" r:id="rId1"/>
    <sheet name="   pH_calc   " sheetId="18" r:id="rId2"/>
    <sheet name="+pH" sheetId="23" r:id="rId3"/>
    <sheet name="Titration" sheetId="22" r:id="rId4"/>
    <sheet name="Simulation" sheetId="20" r:id="rId5"/>
    <sheet name="Distribution" sheetId="21" r:id="rId6"/>
    <sheet name="Evaluation" sheetId="14" r:id="rId7"/>
    <sheet name="+Eva" sheetId="24" r:id="rId8"/>
    <sheet name="Regression" sheetId="5" r:id="rId9"/>
    <sheet name="+Reg" sheetId="25" r:id="rId10"/>
    <sheet name="Graphs" sheetId="8" r:id="rId11"/>
    <sheet name="Database" sheetId="19" r:id="rId12"/>
  </sheets>
  <definedNames>
    <definedName name="solver_adj" localSheetId="8" hidden="1">Regression!$I$18,Regression!$B$11:$C$11</definedName>
    <definedName name="solver_cvg" localSheetId="8" hidden="1">0.0000000001</definedName>
    <definedName name="solver_drv" localSheetId="8" hidden="1">2</definedName>
    <definedName name="solver_eng" localSheetId="8" hidden="1">1</definedName>
    <definedName name="solver_est" localSheetId="8" hidden="1">1</definedName>
    <definedName name="solver_itr" localSheetId="8" hidden="1">100</definedName>
    <definedName name="solver_lhs0" localSheetId="8" hidden="1">Regression!$O$18</definedName>
    <definedName name="solver_lhs1" localSheetId="8" hidden="1">Regression!$H$11</definedName>
    <definedName name="solver_lhs2" localSheetId="8" hidden="1">Regression!$H$11</definedName>
    <definedName name="solver_lhs3" localSheetId="8" hidden="1">Regression!$O$18</definedName>
    <definedName name="solver_lin" localSheetId="8" hidden="1">2</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0</definedName>
    <definedName name="solver_nwt" localSheetId="8" hidden="1">1</definedName>
    <definedName name="solver_opt" localSheetId="8" hidden="1">Regression!$I$19</definedName>
    <definedName name="solver_pre" localSheetId="8" hidden="1">0.0000000001</definedName>
    <definedName name="solver_rbv" localSheetId="8" hidden="1">2</definedName>
    <definedName name="solver_rel0" localSheetId="8" hidden="1">1</definedName>
    <definedName name="solver_rel1" localSheetId="8" hidden="1">1</definedName>
    <definedName name="solver_rel2" localSheetId="8" hidden="1">3</definedName>
    <definedName name="solver_rel3" localSheetId="8" hidden="1">1</definedName>
    <definedName name="solver_rhs0" localSheetId="8" hidden="1">0.5</definedName>
    <definedName name="solver_rhs1" localSheetId="8" hidden="1">2</definedName>
    <definedName name="solver_rhs2" localSheetId="8" hidden="1">0</definedName>
    <definedName name="solver_rhs3" localSheetId="8" hidden="1">0.35</definedName>
    <definedName name="solver_rlx" localSheetId="8" hidden="1">2</definedName>
    <definedName name="solver_rsd" localSheetId="8" hidden="1">0</definedName>
    <definedName name="solver_scl" localSheetId="8" hidden="1">2</definedName>
    <definedName name="solver_sho" localSheetId="8" hidden="1">2</definedName>
    <definedName name="solver_ssz" localSheetId="8" hidden="1">100</definedName>
    <definedName name="solver_tim" localSheetId="8" hidden="1">30</definedName>
    <definedName name="solver_tol" localSheetId="8" hidden="1">0.00001</definedName>
    <definedName name="solver_typ" localSheetId="8" hidden="1">2</definedName>
    <definedName name="solver_val" localSheetId="8" hidden="1">0</definedName>
    <definedName name="solver_ver" localSheetId="8" hidden="1">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17" i="20" l="1"/>
  <c r="B3" i="20"/>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D112" i="5" l="1"/>
  <c r="E112" i="5"/>
  <c r="F112" i="5"/>
  <c r="G112" i="5"/>
  <c r="I112" i="5"/>
  <c r="J112" i="5"/>
  <c r="K112" i="5"/>
  <c r="L112" i="5"/>
  <c r="M112" i="5"/>
  <c r="N112" i="5"/>
  <c r="O112" i="5"/>
  <c r="P112" i="5"/>
  <c r="Q112" i="5"/>
  <c r="R112" i="5"/>
  <c r="S112" i="5"/>
  <c r="T112" i="5"/>
  <c r="U112" i="5"/>
  <c r="V112" i="5"/>
  <c r="W112" i="5"/>
  <c r="X112" i="5"/>
  <c r="Y112" i="5"/>
  <c r="Z112" i="5"/>
  <c r="AA112" i="5"/>
  <c r="AB112" i="5"/>
  <c r="AC112" i="5"/>
  <c r="AD112" i="5"/>
  <c r="AE112" i="5"/>
  <c r="AF112" i="5"/>
  <c r="AG112" i="5"/>
  <c r="AH112" i="5"/>
  <c r="AI112" i="5"/>
  <c r="AJ112" i="5"/>
  <c r="AK112" i="5"/>
  <c r="AL112" i="5"/>
  <c r="AM112" i="5"/>
  <c r="AQ112" i="5"/>
  <c r="AR112" i="5"/>
  <c r="AU112" i="5"/>
  <c r="AW112" i="5"/>
  <c r="D113" i="5"/>
  <c r="E113" i="5"/>
  <c r="F113" i="5"/>
  <c r="G113" i="5"/>
  <c r="I113" i="5"/>
  <c r="J113" i="5"/>
  <c r="K113" i="5"/>
  <c r="L113" i="5"/>
  <c r="M113" i="5"/>
  <c r="N113" i="5"/>
  <c r="O113" i="5"/>
  <c r="P113" i="5"/>
  <c r="Q113" i="5"/>
  <c r="R113" i="5"/>
  <c r="S113" i="5"/>
  <c r="T113" i="5"/>
  <c r="U113" i="5"/>
  <c r="V113" i="5"/>
  <c r="W113" i="5"/>
  <c r="X113" i="5"/>
  <c r="Y113" i="5"/>
  <c r="Z113" i="5"/>
  <c r="AA113" i="5"/>
  <c r="AB113" i="5"/>
  <c r="AC113" i="5"/>
  <c r="AD113" i="5"/>
  <c r="AE113" i="5"/>
  <c r="AF113" i="5"/>
  <c r="AG113" i="5"/>
  <c r="AH113" i="5"/>
  <c r="AI113" i="5"/>
  <c r="AJ113" i="5"/>
  <c r="AK113" i="5"/>
  <c r="AL113" i="5"/>
  <c r="AM113" i="5"/>
  <c r="AQ113" i="5"/>
  <c r="AR113" i="5"/>
  <c r="AU113" i="5"/>
  <c r="AW113" i="5"/>
  <c r="D114" i="5"/>
  <c r="E114" i="5"/>
  <c r="F114" i="5"/>
  <c r="G114" i="5"/>
  <c r="I114" i="5"/>
  <c r="J114" i="5"/>
  <c r="K114" i="5"/>
  <c r="L114" i="5"/>
  <c r="M114" i="5"/>
  <c r="N114" i="5"/>
  <c r="O114" i="5"/>
  <c r="P114" i="5"/>
  <c r="Q114" i="5"/>
  <c r="R114" i="5"/>
  <c r="S114" i="5"/>
  <c r="T114" i="5"/>
  <c r="U114" i="5"/>
  <c r="V114" i="5"/>
  <c r="W114" i="5"/>
  <c r="X114" i="5"/>
  <c r="Y114" i="5"/>
  <c r="Z114" i="5"/>
  <c r="AA114" i="5"/>
  <c r="AB114" i="5"/>
  <c r="AC114" i="5"/>
  <c r="AD114" i="5"/>
  <c r="AE114" i="5"/>
  <c r="AF114" i="5"/>
  <c r="AG114" i="5"/>
  <c r="AH114" i="5"/>
  <c r="AI114" i="5"/>
  <c r="AJ114" i="5"/>
  <c r="AK114" i="5"/>
  <c r="AL114" i="5"/>
  <c r="AM114" i="5"/>
  <c r="AQ114" i="5"/>
  <c r="AR114" i="5"/>
  <c r="AU114" i="5"/>
  <c r="AW114" i="5"/>
  <c r="D115" i="5"/>
  <c r="E115" i="5"/>
  <c r="F115" i="5"/>
  <c r="G115" i="5"/>
  <c r="I115" i="5"/>
  <c r="J115" i="5"/>
  <c r="K115" i="5"/>
  <c r="L115" i="5"/>
  <c r="M115" i="5"/>
  <c r="N115" i="5"/>
  <c r="O115" i="5"/>
  <c r="P115" i="5"/>
  <c r="Q115" i="5"/>
  <c r="R115" i="5"/>
  <c r="S115" i="5"/>
  <c r="T115" i="5"/>
  <c r="U115" i="5"/>
  <c r="V115" i="5"/>
  <c r="W115" i="5"/>
  <c r="X115" i="5"/>
  <c r="Y115" i="5"/>
  <c r="Z115" i="5"/>
  <c r="AA115" i="5"/>
  <c r="AB115" i="5"/>
  <c r="AC115" i="5"/>
  <c r="AD115" i="5"/>
  <c r="AE115" i="5"/>
  <c r="AF115" i="5"/>
  <c r="AG115" i="5"/>
  <c r="AH115" i="5"/>
  <c r="AI115" i="5"/>
  <c r="AJ115" i="5"/>
  <c r="AK115" i="5"/>
  <c r="AL115" i="5"/>
  <c r="AM115" i="5"/>
  <c r="AQ115" i="5"/>
  <c r="AR115" i="5"/>
  <c r="AU115" i="5"/>
  <c r="AW115" i="5"/>
  <c r="D116" i="5"/>
  <c r="E116" i="5"/>
  <c r="F116" i="5"/>
  <c r="G116" i="5"/>
  <c r="I116" i="5"/>
  <c r="J116" i="5"/>
  <c r="K116" i="5"/>
  <c r="L116" i="5"/>
  <c r="M116" i="5"/>
  <c r="N116" i="5"/>
  <c r="O116" i="5"/>
  <c r="P116" i="5"/>
  <c r="Q116" i="5"/>
  <c r="R116" i="5"/>
  <c r="S116" i="5"/>
  <c r="T116" i="5"/>
  <c r="U116" i="5"/>
  <c r="V116" i="5"/>
  <c r="W116" i="5"/>
  <c r="X116" i="5"/>
  <c r="Y116" i="5"/>
  <c r="Z116" i="5"/>
  <c r="AA116" i="5"/>
  <c r="AB116" i="5"/>
  <c r="AC116" i="5"/>
  <c r="AD116" i="5"/>
  <c r="AE116" i="5"/>
  <c r="AF116" i="5"/>
  <c r="AG116" i="5"/>
  <c r="AH116" i="5"/>
  <c r="AI116" i="5"/>
  <c r="AJ116" i="5"/>
  <c r="AK116" i="5"/>
  <c r="AL116" i="5"/>
  <c r="AM116" i="5"/>
  <c r="AQ116" i="5"/>
  <c r="AR116" i="5"/>
  <c r="AU116" i="5"/>
  <c r="AW116" i="5"/>
  <c r="D117" i="5"/>
  <c r="E117" i="5"/>
  <c r="F117" i="5"/>
  <c r="G117" i="5"/>
  <c r="I117" i="5"/>
  <c r="J117" i="5"/>
  <c r="K117" i="5"/>
  <c r="L117" i="5"/>
  <c r="M117" i="5"/>
  <c r="N117" i="5"/>
  <c r="O117" i="5"/>
  <c r="P117" i="5"/>
  <c r="Q117" i="5"/>
  <c r="R117" i="5"/>
  <c r="S117" i="5"/>
  <c r="T117" i="5"/>
  <c r="U117" i="5"/>
  <c r="V117" i="5"/>
  <c r="W117" i="5"/>
  <c r="X117" i="5"/>
  <c r="Y117" i="5"/>
  <c r="Z117" i="5"/>
  <c r="AA117" i="5"/>
  <c r="AB117" i="5"/>
  <c r="AC117" i="5"/>
  <c r="AD117" i="5"/>
  <c r="AE117" i="5"/>
  <c r="AF117" i="5"/>
  <c r="AG117" i="5"/>
  <c r="AH117" i="5"/>
  <c r="AI117" i="5"/>
  <c r="AJ117" i="5"/>
  <c r="AK117" i="5"/>
  <c r="AL117" i="5"/>
  <c r="AM117" i="5"/>
  <c r="AQ117" i="5"/>
  <c r="AR117" i="5"/>
  <c r="AU117" i="5"/>
  <c r="AW117" i="5"/>
  <c r="D118" i="5"/>
  <c r="E118" i="5"/>
  <c r="F118" i="5"/>
  <c r="G118" i="5"/>
  <c r="I118" i="5"/>
  <c r="J118" i="5"/>
  <c r="K118" i="5"/>
  <c r="L118" i="5"/>
  <c r="M118" i="5"/>
  <c r="N118" i="5"/>
  <c r="O118" i="5"/>
  <c r="P118" i="5"/>
  <c r="Q118" i="5"/>
  <c r="R118" i="5"/>
  <c r="S118" i="5"/>
  <c r="T118" i="5"/>
  <c r="U118" i="5"/>
  <c r="V118" i="5"/>
  <c r="W118" i="5"/>
  <c r="X118" i="5"/>
  <c r="Y118" i="5"/>
  <c r="Z118" i="5"/>
  <c r="AA118" i="5"/>
  <c r="AB118" i="5"/>
  <c r="AC118" i="5"/>
  <c r="AD118" i="5"/>
  <c r="AE118" i="5"/>
  <c r="AF118" i="5"/>
  <c r="AG118" i="5"/>
  <c r="AH118" i="5"/>
  <c r="AI118" i="5"/>
  <c r="AJ118" i="5"/>
  <c r="AK118" i="5"/>
  <c r="AL118" i="5"/>
  <c r="AM118" i="5"/>
  <c r="AQ118" i="5"/>
  <c r="AR118" i="5"/>
  <c r="AU118" i="5"/>
  <c r="AW118" i="5"/>
  <c r="D119" i="5"/>
  <c r="E119" i="5"/>
  <c r="F119" i="5"/>
  <c r="G119" i="5"/>
  <c r="I119" i="5"/>
  <c r="J119" i="5"/>
  <c r="K119" i="5"/>
  <c r="L119" i="5"/>
  <c r="M119" i="5"/>
  <c r="N119" i="5"/>
  <c r="O119" i="5"/>
  <c r="P119" i="5"/>
  <c r="Q119" i="5"/>
  <c r="R119" i="5"/>
  <c r="S119" i="5"/>
  <c r="T119" i="5"/>
  <c r="U119" i="5"/>
  <c r="V119" i="5"/>
  <c r="W119" i="5"/>
  <c r="X119" i="5"/>
  <c r="Y119" i="5"/>
  <c r="Z119" i="5"/>
  <c r="AA119" i="5"/>
  <c r="AB119" i="5"/>
  <c r="AC119" i="5"/>
  <c r="AD119" i="5"/>
  <c r="AE119" i="5"/>
  <c r="AF119" i="5"/>
  <c r="AG119" i="5"/>
  <c r="AH119" i="5"/>
  <c r="AI119" i="5"/>
  <c r="AJ119" i="5"/>
  <c r="AK119" i="5"/>
  <c r="AL119" i="5"/>
  <c r="AM119" i="5"/>
  <c r="AQ119" i="5"/>
  <c r="AR119" i="5"/>
  <c r="AU119" i="5"/>
  <c r="AW119" i="5"/>
  <c r="D120" i="5"/>
  <c r="E120" i="5"/>
  <c r="F120" i="5"/>
  <c r="G120" i="5"/>
  <c r="I120" i="5"/>
  <c r="J120" i="5"/>
  <c r="K120" i="5"/>
  <c r="L120" i="5"/>
  <c r="M120" i="5"/>
  <c r="N120" i="5"/>
  <c r="O120" i="5"/>
  <c r="P120" i="5"/>
  <c r="Q120" i="5"/>
  <c r="R120" i="5"/>
  <c r="S120" i="5"/>
  <c r="T120" i="5"/>
  <c r="U120" i="5"/>
  <c r="V120" i="5"/>
  <c r="W120" i="5"/>
  <c r="X120" i="5"/>
  <c r="Y120" i="5"/>
  <c r="Z120" i="5"/>
  <c r="AA120" i="5"/>
  <c r="AB120" i="5"/>
  <c r="AC120" i="5"/>
  <c r="AD120" i="5"/>
  <c r="AE120" i="5"/>
  <c r="AF120" i="5"/>
  <c r="AG120" i="5"/>
  <c r="AH120" i="5"/>
  <c r="AI120" i="5"/>
  <c r="AJ120" i="5"/>
  <c r="AK120" i="5"/>
  <c r="AL120" i="5"/>
  <c r="AM120" i="5"/>
  <c r="AQ120" i="5"/>
  <c r="AR120" i="5"/>
  <c r="AU120" i="5"/>
  <c r="AW120" i="5"/>
  <c r="D121" i="5"/>
  <c r="E121" i="5"/>
  <c r="F121" i="5"/>
  <c r="G121" i="5"/>
  <c r="I121" i="5"/>
  <c r="J121" i="5"/>
  <c r="K121" i="5"/>
  <c r="L121" i="5"/>
  <c r="M121" i="5"/>
  <c r="N121" i="5"/>
  <c r="O121" i="5"/>
  <c r="P121" i="5"/>
  <c r="Q121" i="5"/>
  <c r="R121" i="5"/>
  <c r="S121" i="5"/>
  <c r="T121" i="5"/>
  <c r="U121" i="5"/>
  <c r="V121" i="5"/>
  <c r="W121" i="5"/>
  <c r="X121" i="5"/>
  <c r="Y121" i="5"/>
  <c r="Z121" i="5"/>
  <c r="AA121" i="5"/>
  <c r="AB121" i="5"/>
  <c r="AC121" i="5"/>
  <c r="AD121" i="5"/>
  <c r="AE121" i="5"/>
  <c r="AF121" i="5"/>
  <c r="AG121" i="5"/>
  <c r="AH121" i="5"/>
  <c r="AI121" i="5"/>
  <c r="AJ121" i="5"/>
  <c r="AK121" i="5"/>
  <c r="AL121" i="5"/>
  <c r="AM121" i="5"/>
  <c r="AQ121" i="5"/>
  <c r="AR121" i="5"/>
  <c r="AU121" i="5"/>
  <c r="AW121" i="5"/>
  <c r="D122" i="5"/>
  <c r="E122" i="5"/>
  <c r="F122" i="5"/>
  <c r="G122" i="5"/>
  <c r="I122" i="5"/>
  <c r="J122" i="5"/>
  <c r="K122" i="5"/>
  <c r="L122" i="5"/>
  <c r="M122" i="5"/>
  <c r="N122" i="5"/>
  <c r="O122" i="5"/>
  <c r="P122" i="5"/>
  <c r="Q122" i="5"/>
  <c r="R122" i="5"/>
  <c r="S122" i="5"/>
  <c r="T122" i="5"/>
  <c r="U122" i="5"/>
  <c r="V122" i="5"/>
  <c r="W122" i="5"/>
  <c r="X122" i="5"/>
  <c r="Y122" i="5"/>
  <c r="Z122" i="5"/>
  <c r="AA122" i="5"/>
  <c r="AB122" i="5"/>
  <c r="AC122" i="5"/>
  <c r="AD122" i="5"/>
  <c r="AE122" i="5"/>
  <c r="AF122" i="5"/>
  <c r="AG122" i="5"/>
  <c r="AH122" i="5"/>
  <c r="AI122" i="5"/>
  <c r="AJ122" i="5"/>
  <c r="AK122" i="5"/>
  <c r="AL122" i="5"/>
  <c r="AM122" i="5"/>
  <c r="AQ122" i="5"/>
  <c r="AR122" i="5"/>
  <c r="AU122" i="5"/>
  <c r="AW122" i="5"/>
  <c r="D123" i="5"/>
  <c r="E123" i="5"/>
  <c r="F123" i="5"/>
  <c r="G123" i="5"/>
  <c r="I123" i="5"/>
  <c r="J123" i="5"/>
  <c r="K123" i="5"/>
  <c r="L123" i="5"/>
  <c r="M123" i="5"/>
  <c r="N123" i="5"/>
  <c r="O123" i="5"/>
  <c r="P123" i="5"/>
  <c r="Q123" i="5"/>
  <c r="R123" i="5"/>
  <c r="S123" i="5"/>
  <c r="T123" i="5"/>
  <c r="U123" i="5"/>
  <c r="V123" i="5"/>
  <c r="W123" i="5"/>
  <c r="X123" i="5"/>
  <c r="Y123" i="5"/>
  <c r="Z123" i="5"/>
  <c r="AA123" i="5"/>
  <c r="AB123" i="5"/>
  <c r="AC123" i="5"/>
  <c r="AD123" i="5"/>
  <c r="AE123" i="5"/>
  <c r="AF123" i="5"/>
  <c r="AG123" i="5"/>
  <c r="AH123" i="5"/>
  <c r="AI123" i="5"/>
  <c r="AJ123" i="5"/>
  <c r="AK123" i="5"/>
  <c r="AL123" i="5"/>
  <c r="AM123" i="5"/>
  <c r="AQ123" i="5"/>
  <c r="AR123" i="5"/>
  <c r="AU123" i="5"/>
  <c r="AW123" i="5"/>
  <c r="D124" i="5"/>
  <c r="E124" i="5"/>
  <c r="F124" i="5"/>
  <c r="G124" i="5"/>
  <c r="I124" i="5"/>
  <c r="J124" i="5"/>
  <c r="K124" i="5"/>
  <c r="L124" i="5"/>
  <c r="M124" i="5"/>
  <c r="N124" i="5"/>
  <c r="O124" i="5"/>
  <c r="P124" i="5"/>
  <c r="Q124" i="5"/>
  <c r="R124" i="5"/>
  <c r="S124" i="5"/>
  <c r="T124" i="5"/>
  <c r="U124" i="5"/>
  <c r="V124" i="5"/>
  <c r="W124" i="5"/>
  <c r="X124" i="5"/>
  <c r="Y124" i="5"/>
  <c r="Z124" i="5"/>
  <c r="AA124" i="5"/>
  <c r="AB124" i="5"/>
  <c r="AC124" i="5"/>
  <c r="AD124" i="5"/>
  <c r="AE124" i="5"/>
  <c r="AF124" i="5"/>
  <c r="AG124" i="5"/>
  <c r="AH124" i="5"/>
  <c r="AI124" i="5"/>
  <c r="AJ124" i="5"/>
  <c r="AK124" i="5"/>
  <c r="AL124" i="5"/>
  <c r="AM124" i="5"/>
  <c r="AQ124" i="5"/>
  <c r="AR124" i="5"/>
  <c r="AU124" i="5"/>
  <c r="AW124" i="5"/>
  <c r="D125" i="5"/>
  <c r="E125" i="5"/>
  <c r="F125" i="5"/>
  <c r="G125" i="5"/>
  <c r="I125" i="5"/>
  <c r="J125" i="5"/>
  <c r="K125" i="5"/>
  <c r="L125" i="5"/>
  <c r="M125" i="5"/>
  <c r="N125" i="5"/>
  <c r="O125" i="5"/>
  <c r="P125" i="5"/>
  <c r="Q125" i="5"/>
  <c r="R125" i="5"/>
  <c r="S125" i="5"/>
  <c r="T125" i="5"/>
  <c r="U125" i="5"/>
  <c r="V125" i="5"/>
  <c r="W125" i="5"/>
  <c r="X125" i="5"/>
  <c r="Y125" i="5"/>
  <c r="Z125" i="5"/>
  <c r="AA125" i="5"/>
  <c r="AB125" i="5"/>
  <c r="AC125" i="5"/>
  <c r="AD125" i="5"/>
  <c r="AE125" i="5"/>
  <c r="AF125" i="5"/>
  <c r="AG125" i="5"/>
  <c r="AH125" i="5"/>
  <c r="AI125" i="5"/>
  <c r="AJ125" i="5"/>
  <c r="AK125" i="5"/>
  <c r="AL125" i="5"/>
  <c r="AM125" i="5"/>
  <c r="AQ125" i="5"/>
  <c r="AR125" i="5"/>
  <c r="AU125" i="5"/>
  <c r="AW125" i="5"/>
  <c r="D126" i="5"/>
  <c r="E126" i="5"/>
  <c r="F126" i="5"/>
  <c r="G126" i="5"/>
  <c r="I126" i="5"/>
  <c r="J126" i="5"/>
  <c r="K126" i="5"/>
  <c r="L126" i="5"/>
  <c r="M126" i="5"/>
  <c r="N126" i="5"/>
  <c r="O126" i="5"/>
  <c r="P126" i="5"/>
  <c r="Q126" i="5"/>
  <c r="R126" i="5"/>
  <c r="S126" i="5"/>
  <c r="T126" i="5"/>
  <c r="U126" i="5"/>
  <c r="V126" i="5"/>
  <c r="W126" i="5"/>
  <c r="X126" i="5"/>
  <c r="Y126" i="5"/>
  <c r="Z126" i="5"/>
  <c r="AA126" i="5"/>
  <c r="AB126" i="5"/>
  <c r="AC126" i="5"/>
  <c r="AD126" i="5"/>
  <c r="AE126" i="5"/>
  <c r="AF126" i="5"/>
  <c r="AG126" i="5"/>
  <c r="AH126" i="5"/>
  <c r="AI126" i="5"/>
  <c r="AJ126" i="5"/>
  <c r="AK126" i="5"/>
  <c r="AL126" i="5"/>
  <c r="AM126" i="5"/>
  <c r="AQ126" i="5"/>
  <c r="AR126" i="5"/>
  <c r="AU126" i="5"/>
  <c r="AW126" i="5"/>
  <c r="D127" i="5"/>
  <c r="E127" i="5"/>
  <c r="F127" i="5"/>
  <c r="G127" i="5"/>
  <c r="I127" i="5"/>
  <c r="J127" i="5"/>
  <c r="K127" i="5"/>
  <c r="L127" i="5"/>
  <c r="M127" i="5"/>
  <c r="N127" i="5"/>
  <c r="O127" i="5"/>
  <c r="P127" i="5"/>
  <c r="Q127" i="5"/>
  <c r="R127" i="5"/>
  <c r="S127" i="5"/>
  <c r="T127" i="5"/>
  <c r="U127" i="5"/>
  <c r="V127" i="5"/>
  <c r="W127" i="5"/>
  <c r="X127" i="5"/>
  <c r="Y127" i="5"/>
  <c r="Z127" i="5"/>
  <c r="AA127" i="5"/>
  <c r="AB127" i="5"/>
  <c r="AC127" i="5"/>
  <c r="AD127" i="5"/>
  <c r="AE127" i="5"/>
  <c r="AF127" i="5"/>
  <c r="AG127" i="5"/>
  <c r="AH127" i="5"/>
  <c r="AI127" i="5"/>
  <c r="AJ127" i="5"/>
  <c r="AK127" i="5"/>
  <c r="AL127" i="5"/>
  <c r="AM127" i="5"/>
  <c r="AQ127" i="5"/>
  <c r="AR127" i="5"/>
  <c r="AU127" i="5"/>
  <c r="AW127" i="5"/>
  <c r="D128" i="5"/>
  <c r="E128" i="5"/>
  <c r="F128" i="5"/>
  <c r="G128" i="5"/>
  <c r="I128" i="5"/>
  <c r="J128" i="5"/>
  <c r="K128" i="5"/>
  <c r="L128" i="5"/>
  <c r="M128" i="5"/>
  <c r="N128" i="5"/>
  <c r="O128" i="5"/>
  <c r="P128" i="5"/>
  <c r="Q128" i="5"/>
  <c r="R128" i="5"/>
  <c r="S128" i="5"/>
  <c r="T128" i="5"/>
  <c r="U128" i="5"/>
  <c r="V128" i="5"/>
  <c r="W128" i="5"/>
  <c r="X128" i="5"/>
  <c r="Y128" i="5"/>
  <c r="Z128" i="5"/>
  <c r="AA128" i="5"/>
  <c r="AB128" i="5"/>
  <c r="AC128" i="5"/>
  <c r="AD128" i="5"/>
  <c r="AE128" i="5"/>
  <c r="AF128" i="5"/>
  <c r="AG128" i="5"/>
  <c r="AH128" i="5"/>
  <c r="AI128" i="5"/>
  <c r="AJ128" i="5"/>
  <c r="AK128" i="5"/>
  <c r="AL128" i="5"/>
  <c r="AM128" i="5"/>
  <c r="AQ128" i="5"/>
  <c r="AR128" i="5"/>
  <c r="AU128" i="5"/>
  <c r="AW128" i="5"/>
  <c r="D129" i="5"/>
  <c r="E129" i="5"/>
  <c r="F129" i="5"/>
  <c r="G129" i="5"/>
  <c r="I129" i="5"/>
  <c r="J129" i="5"/>
  <c r="K129" i="5"/>
  <c r="L129" i="5"/>
  <c r="M129" i="5"/>
  <c r="N129" i="5"/>
  <c r="O129" i="5"/>
  <c r="P129" i="5"/>
  <c r="Q129" i="5"/>
  <c r="R129" i="5"/>
  <c r="S129" i="5"/>
  <c r="T129" i="5"/>
  <c r="U129" i="5"/>
  <c r="V129" i="5"/>
  <c r="W129" i="5"/>
  <c r="X129" i="5"/>
  <c r="Y129" i="5"/>
  <c r="Z129" i="5"/>
  <c r="AA129" i="5"/>
  <c r="AB129" i="5"/>
  <c r="AC129" i="5"/>
  <c r="AD129" i="5"/>
  <c r="AE129" i="5"/>
  <c r="AF129" i="5"/>
  <c r="AG129" i="5"/>
  <c r="AH129" i="5"/>
  <c r="AI129" i="5"/>
  <c r="AJ129" i="5"/>
  <c r="AK129" i="5"/>
  <c r="AL129" i="5"/>
  <c r="AM129" i="5"/>
  <c r="AQ129" i="5"/>
  <c r="AR129" i="5"/>
  <c r="AU129" i="5"/>
  <c r="AW129" i="5"/>
  <c r="D130" i="5"/>
  <c r="E130" i="5"/>
  <c r="F130" i="5"/>
  <c r="G130" i="5"/>
  <c r="I130" i="5"/>
  <c r="J130" i="5"/>
  <c r="K130" i="5"/>
  <c r="L130" i="5"/>
  <c r="M130" i="5"/>
  <c r="N130" i="5"/>
  <c r="O130" i="5"/>
  <c r="P130" i="5"/>
  <c r="Q130" i="5"/>
  <c r="R130" i="5"/>
  <c r="S130" i="5"/>
  <c r="T130" i="5"/>
  <c r="U130" i="5"/>
  <c r="V130" i="5"/>
  <c r="W130" i="5"/>
  <c r="X130" i="5"/>
  <c r="Y130" i="5"/>
  <c r="Z130" i="5"/>
  <c r="AA130" i="5"/>
  <c r="AB130" i="5"/>
  <c r="AC130" i="5"/>
  <c r="AD130" i="5"/>
  <c r="AE130" i="5"/>
  <c r="AF130" i="5"/>
  <c r="AG130" i="5"/>
  <c r="AH130" i="5"/>
  <c r="AI130" i="5"/>
  <c r="AJ130" i="5"/>
  <c r="AK130" i="5"/>
  <c r="AL130" i="5"/>
  <c r="AM130" i="5"/>
  <c r="AQ130" i="5"/>
  <c r="AR130" i="5"/>
  <c r="AU130" i="5"/>
  <c r="AW130" i="5"/>
  <c r="D131" i="5"/>
  <c r="E131" i="5"/>
  <c r="F131" i="5"/>
  <c r="G131" i="5"/>
  <c r="I131" i="5"/>
  <c r="J131" i="5"/>
  <c r="K131" i="5"/>
  <c r="L131" i="5"/>
  <c r="M131" i="5"/>
  <c r="N131" i="5"/>
  <c r="O131" i="5"/>
  <c r="P131" i="5"/>
  <c r="Q131" i="5"/>
  <c r="R131" i="5"/>
  <c r="S131" i="5"/>
  <c r="T131" i="5"/>
  <c r="U131" i="5"/>
  <c r="V131" i="5"/>
  <c r="W131" i="5"/>
  <c r="X131" i="5"/>
  <c r="Y131" i="5"/>
  <c r="Z131" i="5"/>
  <c r="AA131" i="5"/>
  <c r="AB131" i="5"/>
  <c r="AC131" i="5"/>
  <c r="AD131" i="5"/>
  <c r="AE131" i="5"/>
  <c r="AF131" i="5"/>
  <c r="AG131" i="5"/>
  <c r="AH131" i="5"/>
  <c r="AI131" i="5"/>
  <c r="AJ131" i="5"/>
  <c r="AK131" i="5"/>
  <c r="AL131" i="5"/>
  <c r="AM131" i="5"/>
  <c r="AQ131" i="5"/>
  <c r="AR131" i="5"/>
  <c r="AU131" i="5"/>
  <c r="AW131" i="5"/>
  <c r="D132" i="5"/>
  <c r="E132" i="5"/>
  <c r="F132" i="5"/>
  <c r="G132" i="5"/>
  <c r="I132" i="5"/>
  <c r="J132" i="5"/>
  <c r="K132" i="5"/>
  <c r="L132" i="5"/>
  <c r="M132" i="5"/>
  <c r="N132" i="5"/>
  <c r="O132" i="5"/>
  <c r="P132" i="5"/>
  <c r="Q132" i="5"/>
  <c r="R132" i="5"/>
  <c r="S132" i="5"/>
  <c r="T132" i="5"/>
  <c r="U132" i="5"/>
  <c r="V132" i="5"/>
  <c r="W132" i="5"/>
  <c r="X132" i="5"/>
  <c r="Y132" i="5"/>
  <c r="Z132" i="5"/>
  <c r="AA132" i="5"/>
  <c r="AB132" i="5"/>
  <c r="AC132" i="5"/>
  <c r="AD132" i="5"/>
  <c r="AE132" i="5"/>
  <c r="AF132" i="5"/>
  <c r="AG132" i="5"/>
  <c r="AH132" i="5"/>
  <c r="AI132" i="5"/>
  <c r="AJ132" i="5"/>
  <c r="AK132" i="5"/>
  <c r="AL132" i="5"/>
  <c r="AM132" i="5"/>
  <c r="AQ132" i="5"/>
  <c r="AR132" i="5"/>
  <c r="AU132" i="5"/>
  <c r="AW132" i="5"/>
  <c r="D133" i="5"/>
  <c r="E133" i="5"/>
  <c r="F133" i="5"/>
  <c r="G133" i="5"/>
  <c r="I133" i="5"/>
  <c r="J133" i="5"/>
  <c r="K133" i="5"/>
  <c r="L133" i="5"/>
  <c r="M133" i="5"/>
  <c r="N133" i="5"/>
  <c r="O133" i="5"/>
  <c r="P133" i="5"/>
  <c r="Q133" i="5"/>
  <c r="R133" i="5"/>
  <c r="S133" i="5"/>
  <c r="T133" i="5"/>
  <c r="U133" i="5"/>
  <c r="V133" i="5"/>
  <c r="W133" i="5"/>
  <c r="X133" i="5"/>
  <c r="Y133" i="5"/>
  <c r="Z133" i="5"/>
  <c r="AA133" i="5"/>
  <c r="AB133" i="5"/>
  <c r="AC133" i="5"/>
  <c r="AD133" i="5"/>
  <c r="AE133" i="5"/>
  <c r="AF133" i="5"/>
  <c r="AG133" i="5"/>
  <c r="AH133" i="5"/>
  <c r="AI133" i="5"/>
  <c r="AJ133" i="5"/>
  <c r="AK133" i="5"/>
  <c r="AL133" i="5"/>
  <c r="AM133" i="5"/>
  <c r="AQ133" i="5"/>
  <c r="AR133" i="5"/>
  <c r="AU133" i="5"/>
  <c r="AW133" i="5"/>
  <c r="D134" i="5"/>
  <c r="E134" i="5"/>
  <c r="F134" i="5"/>
  <c r="G134" i="5"/>
  <c r="I134" i="5"/>
  <c r="J134" i="5"/>
  <c r="K134" i="5"/>
  <c r="L134" i="5"/>
  <c r="M134" i="5"/>
  <c r="N134" i="5"/>
  <c r="O134" i="5"/>
  <c r="P134" i="5"/>
  <c r="Q134" i="5"/>
  <c r="R134" i="5"/>
  <c r="S134" i="5"/>
  <c r="T134" i="5"/>
  <c r="U134" i="5"/>
  <c r="V134" i="5"/>
  <c r="W134" i="5"/>
  <c r="X134" i="5"/>
  <c r="Y134" i="5"/>
  <c r="Z134" i="5"/>
  <c r="AA134" i="5"/>
  <c r="AB134" i="5"/>
  <c r="AC134" i="5"/>
  <c r="AD134" i="5"/>
  <c r="AE134" i="5"/>
  <c r="AF134" i="5"/>
  <c r="AG134" i="5"/>
  <c r="AH134" i="5"/>
  <c r="AI134" i="5"/>
  <c r="AJ134" i="5"/>
  <c r="AK134" i="5"/>
  <c r="AL134" i="5"/>
  <c r="AM134" i="5"/>
  <c r="AQ134" i="5"/>
  <c r="AR134" i="5"/>
  <c r="AU134" i="5"/>
  <c r="AW134" i="5"/>
  <c r="D135" i="5"/>
  <c r="E135" i="5"/>
  <c r="F135" i="5"/>
  <c r="G135" i="5"/>
  <c r="I135" i="5"/>
  <c r="J135" i="5"/>
  <c r="K135" i="5"/>
  <c r="L135" i="5"/>
  <c r="M135" i="5"/>
  <c r="N135" i="5"/>
  <c r="O135" i="5"/>
  <c r="P135" i="5"/>
  <c r="Q135" i="5"/>
  <c r="R135" i="5"/>
  <c r="S135" i="5"/>
  <c r="T135" i="5"/>
  <c r="U135" i="5"/>
  <c r="V135" i="5"/>
  <c r="W135" i="5"/>
  <c r="X135" i="5"/>
  <c r="Y135" i="5"/>
  <c r="Z135" i="5"/>
  <c r="AA135" i="5"/>
  <c r="AB135" i="5"/>
  <c r="AC135" i="5"/>
  <c r="AD135" i="5"/>
  <c r="AE135" i="5"/>
  <c r="AF135" i="5"/>
  <c r="AG135" i="5"/>
  <c r="AH135" i="5"/>
  <c r="AI135" i="5"/>
  <c r="AJ135" i="5"/>
  <c r="AK135" i="5"/>
  <c r="AL135" i="5"/>
  <c r="AM135" i="5"/>
  <c r="AQ135" i="5"/>
  <c r="AR135" i="5"/>
  <c r="AU135" i="5"/>
  <c r="AW135" i="5"/>
  <c r="D136" i="5"/>
  <c r="E136" i="5"/>
  <c r="F136" i="5"/>
  <c r="G136" i="5"/>
  <c r="I136" i="5"/>
  <c r="J136" i="5"/>
  <c r="K136" i="5"/>
  <c r="L136" i="5"/>
  <c r="M136" i="5"/>
  <c r="N136" i="5"/>
  <c r="O136" i="5"/>
  <c r="P136" i="5"/>
  <c r="Q136" i="5"/>
  <c r="R136" i="5"/>
  <c r="S136" i="5"/>
  <c r="T136" i="5"/>
  <c r="U136" i="5"/>
  <c r="V136" i="5"/>
  <c r="W136" i="5"/>
  <c r="X136" i="5"/>
  <c r="Y136" i="5"/>
  <c r="Z136" i="5"/>
  <c r="AA136" i="5"/>
  <c r="AB136" i="5"/>
  <c r="AC136" i="5"/>
  <c r="AD136" i="5"/>
  <c r="AE136" i="5"/>
  <c r="AF136" i="5"/>
  <c r="AG136" i="5"/>
  <c r="AH136" i="5"/>
  <c r="AI136" i="5"/>
  <c r="AJ136" i="5"/>
  <c r="AK136" i="5"/>
  <c r="AL136" i="5"/>
  <c r="AM136" i="5"/>
  <c r="AQ136" i="5"/>
  <c r="AR136" i="5"/>
  <c r="AU136" i="5"/>
  <c r="AW136" i="5"/>
  <c r="D137" i="5"/>
  <c r="E137" i="5"/>
  <c r="F137" i="5"/>
  <c r="G137" i="5"/>
  <c r="I137" i="5"/>
  <c r="J137" i="5"/>
  <c r="K137" i="5"/>
  <c r="L137" i="5"/>
  <c r="M137" i="5"/>
  <c r="N137" i="5"/>
  <c r="O137" i="5"/>
  <c r="P137" i="5"/>
  <c r="Q137" i="5"/>
  <c r="R137" i="5"/>
  <c r="S137" i="5"/>
  <c r="T137" i="5"/>
  <c r="U137" i="5"/>
  <c r="V137" i="5"/>
  <c r="W137" i="5"/>
  <c r="X137" i="5"/>
  <c r="Y137" i="5"/>
  <c r="Z137" i="5"/>
  <c r="AA137" i="5"/>
  <c r="AB137" i="5"/>
  <c r="AC137" i="5"/>
  <c r="AD137" i="5"/>
  <c r="AE137" i="5"/>
  <c r="AF137" i="5"/>
  <c r="AG137" i="5"/>
  <c r="AH137" i="5"/>
  <c r="AI137" i="5"/>
  <c r="AJ137" i="5"/>
  <c r="AK137" i="5"/>
  <c r="AL137" i="5"/>
  <c r="AM137" i="5"/>
  <c r="AQ137" i="5"/>
  <c r="AR137" i="5"/>
  <c r="AU137" i="5"/>
  <c r="AW137" i="5"/>
  <c r="D138" i="5"/>
  <c r="E138" i="5"/>
  <c r="F138" i="5"/>
  <c r="G138" i="5"/>
  <c r="I138" i="5"/>
  <c r="J138" i="5"/>
  <c r="K138" i="5"/>
  <c r="L138" i="5"/>
  <c r="M138" i="5"/>
  <c r="N138" i="5"/>
  <c r="O138" i="5"/>
  <c r="P138" i="5"/>
  <c r="Q138" i="5"/>
  <c r="R138" i="5"/>
  <c r="S138" i="5"/>
  <c r="T138" i="5"/>
  <c r="U138" i="5"/>
  <c r="V138" i="5"/>
  <c r="W138" i="5"/>
  <c r="X138" i="5"/>
  <c r="Y138" i="5"/>
  <c r="Z138" i="5"/>
  <c r="AA138" i="5"/>
  <c r="AB138" i="5"/>
  <c r="AC138" i="5"/>
  <c r="AD138" i="5"/>
  <c r="AE138" i="5"/>
  <c r="AF138" i="5"/>
  <c r="AG138" i="5"/>
  <c r="AH138" i="5"/>
  <c r="AI138" i="5"/>
  <c r="AJ138" i="5"/>
  <c r="AK138" i="5"/>
  <c r="AL138" i="5"/>
  <c r="AM138" i="5"/>
  <c r="AQ138" i="5"/>
  <c r="AR138" i="5"/>
  <c r="AU138" i="5"/>
  <c r="AW138" i="5"/>
  <c r="D139" i="5"/>
  <c r="E139" i="5"/>
  <c r="F139" i="5"/>
  <c r="G139" i="5"/>
  <c r="I139" i="5"/>
  <c r="J139" i="5"/>
  <c r="K139" i="5"/>
  <c r="L139" i="5"/>
  <c r="M139" i="5"/>
  <c r="N139" i="5"/>
  <c r="O139" i="5"/>
  <c r="P139" i="5"/>
  <c r="Q139" i="5"/>
  <c r="R139" i="5"/>
  <c r="S139" i="5"/>
  <c r="T139" i="5"/>
  <c r="U139" i="5"/>
  <c r="V139" i="5"/>
  <c r="W139" i="5"/>
  <c r="X139" i="5"/>
  <c r="Y139" i="5"/>
  <c r="Z139" i="5"/>
  <c r="AA139" i="5"/>
  <c r="AB139" i="5"/>
  <c r="AC139" i="5"/>
  <c r="AD139" i="5"/>
  <c r="AE139" i="5"/>
  <c r="AF139" i="5"/>
  <c r="AG139" i="5"/>
  <c r="AH139" i="5"/>
  <c r="AI139" i="5"/>
  <c r="AJ139" i="5"/>
  <c r="AK139" i="5"/>
  <c r="AL139" i="5"/>
  <c r="AM139" i="5"/>
  <c r="AQ139" i="5"/>
  <c r="AR139" i="5"/>
  <c r="AU139" i="5"/>
  <c r="AW139" i="5"/>
  <c r="D140" i="5"/>
  <c r="E140" i="5"/>
  <c r="F140" i="5"/>
  <c r="G140" i="5"/>
  <c r="I140" i="5"/>
  <c r="J140" i="5"/>
  <c r="K140" i="5"/>
  <c r="L140" i="5"/>
  <c r="M140" i="5"/>
  <c r="N140" i="5"/>
  <c r="O140" i="5"/>
  <c r="P140" i="5"/>
  <c r="Q140" i="5"/>
  <c r="R140" i="5"/>
  <c r="S140" i="5"/>
  <c r="T140" i="5"/>
  <c r="U140" i="5"/>
  <c r="V140" i="5"/>
  <c r="W140" i="5"/>
  <c r="X140" i="5"/>
  <c r="Y140" i="5"/>
  <c r="Z140" i="5"/>
  <c r="AA140" i="5"/>
  <c r="AB140" i="5"/>
  <c r="AC140" i="5"/>
  <c r="AD140" i="5"/>
  <c r="AE140" i="5"/>
  <c r="AF140" i="5"/>
  <c r="AG140" i="5"/>
  <c r="AH140" i="5"/>
  <c r="AI140" i="5"/>
  <c r="AJ140" i="5"/>
  <c r="AK140" i="5"/>
  <c r="AL140" i="5"/>
  <c r="AM140" i="5"/>
  <c r="AQ140" i="5"/>
  <c r="AR140" i="5"/>
  <c r="AU140" i="5"/>
  <c r="AW140" i="5"/>
  <c r="D141" i="5"/>
  <c r="E141" i="5"/>
  <c r="F141" i="5"/>
  <c r="G141" i="5"/>
  <c r="I141" i="5"/>
  <c r="J141" i="5"/>
  <c r="K141" i="5"/>
  <c r="L141" i="5"/>
  <c r="M141" i="5"/>
  <c r="N141" i="5"/>
  <c r="O141" i="5"/>
  <c r="P141" i="5"/>
  <c r="Q141" i="5"/>
  <c r="R141" i="5"/>
  <c r="S141" i="5"/>
  <c r="T141" i="5"/>
  <c r="U141" i="5"/>
  <c r="V141" i="5"/>
  <c r="W141" i="5"/>
  <c r="X141" i="5"/>
  <c r="Y141" i="5"/>
  <c r="Z141" i="5"/>
  <c r="AA141" i="5"/>
  <c r="AB141" i="5"/>
  <c r="AC141" i="5"/>
  <c r="AD141" i="5"/>
  <c r="AE141" i="5"/>
  <c r="AF141" i="5"/>
  <c r="AG141" i="5"/>
  <c r="AH141" i="5"/>
  <c r="AI141" i="5"/>
  <c r="AJ141" i="5"/>
  <c r="AK141" i="5"/>
  <c r="AL141" i="5"/>
  <c r="AM141" i="5"/>
  <c r="AQ141" i="5"/>
  <c r="AR141" i="5"/>
  <c r="AU141" i="5"/>
  <c r="AW141" i="5"/>
  <c r="D142" i="5"/>
  <c r="E142" i="5"/>
  <c r="F142" i="5"/>
  <c r="G142" i="5"/>
  <c r="I142" i="5"/>
  <c r="J142" i="5"/>
  <c r="K142" i="5"/>
  <c r="L142" i="5"/>
  <c r="M142" i="5"/>
  <c r="N142" i="5"/>
  <c r="O142" i="5"/>
  <c r="P142" i="5"/>
  <c r="Q142" i="5"/>
  <c r="R142" i="5"/>
  <c r="S142" i="5"/>
  <c r="T142" i="5"/>
  <c r="U142" i="5"/>
  <c r="V142" i="5"/>
  <c r="W142" i="5"/>
  <c r="X142" i="5"/>
  <c r="Y142" i="5"/>
  <c r="Z142" i="5"/>
  <c r="AA142" i="5"/>
  <c r="AB142" i="5"/>
  <c r="AC142" i="5"/>
  <c r="AD142" i="5"/>
  <c r="AE142" i="5"/>
  <c r="AF142" i="5"/>
  <c r="AG142" i="5"/>
  <c r="AH142" i="5"/>
  <c r="AI142" i="5"/>
  <c r="AJ142" i="5"/>
  <c r="AK142" i="5"/>
  <c r="AL142" i="5"/>
  <c r="AM142" i="5"/>
  <c r="AQ142" i="5"/>
  <c r="AR142" i="5"/>
  <c r="AU142" i="5"/>
  <c r="AW142" i="5"/>
  <c r="D143" i="5"/>
  <c r="E143" i="5"/>
  <c r="F143" i="5"/>
  <c r="G143" i="5"/>
  <c r="I143" i="5"/>
  <c r="J143" i="5"/>
  <c r="K143" i="5"/>
  <c r="L143" i="5"/>
  <c r="M143" i="5"/>
  <c r="N143" i="5"/>
  <c r="O143" i="5"/>
  <c r="P143" i="5"/>
  <c r="Q143" i="5"/>
  <c r="R143" i="5"/>
  <c r="S143" i="5"/>
  <c r="T143" i="5"/>
  <c r="U143" i="5"/>
  <c r="V143" i="5"/>
  <c r="W143" i="5"/>
  <c r="X143" i="5"/>
  <c r="Y143" i="5"/>
  <c r="Z143" i="5"/>
  <c r="AA143" i="5"/>
  <c r="AB143" i="5"/>
  <c r="AC143" i="5"/>
  <c r="AD143" i="5"/>
  <c r="AE143" i="5"/>
  <c r="AF143" i="5"/>
  <c r="AG143" i="5"/>
  <c r="AH143" i="5"/>
  <c r="AI143" i="5"/>
  <c r="AJ143" i="5"/>
  <c r="AK143" i="5"/>
  <c r="AL143" i="5"/>
  <c r="AM143" i="5"/>
  <c r="AQ143" i="5"/>
  <c r="AR143" i="5"/>
  <c r="AU143" i="5"/>
  <c r="AW143" i="5"/>
  <c r="D144" i="5"/>
  <c r="E144" i="5"/>
  <c r="F144" i="5"/>
  <c r="G144" i="5"/>
  <c r="I144" i="5"/>
  <c r="J144" i="5"/>
  <c r="K144" i="5"/>
  <c r="L144" i="5"/>
  <c r="M144" i="5"/>
  <c r="N144" i="5"/>
  <c r="O144" i="5"/>
  <c r="P144" i="5"/>
  <c r="Q144" i="5"/>
  <c r="R144" i="5"/>
  <c r="S144" i="5"/>
  <c r="T144" i="5"/>
  <c r="U144" i="5"/>
  <c r="V144" i="5"/>
  <c r="W144" i="5"/>
  <c r="X144" i="5"/>
  <c r="Y144" i="5"/>
  <c r="Z144" i="5"/>
  <c r="AA144" i="5"/>
  <c r="AB144" i="5"/>
  <c r="AC144" i="5"/>
  <c r="AD144" i="5"/>
  <c r="AE144" i="5"/>
  <c r="AF144" i="5"/>
  <c r="AG144" i="5"/>
  <c r="AH144" i="5"/>
  <c r="AI144" i="5"/>
  <c r="AJ144" i="5"/>
  <c r="AK144" i="5"/>
  <c r="AL144" i="5"/>
  <c r="AM144" i="5"/>
  <c r="AQ144" i="5"/>
  <c r="AR144" i="5"/>
  <c r="AU144" i="5"/>
  <c r="AW144" i="5"/>
  <c r="D145" i="5"/>
  <c r="E145" i="5"/>
  <c r="F145" i="5"/>
  <c r="G145" i="5"/>
  <c r="I145" i="5"/>
  <c r="J145" i="5"/>
  <c r="K145" i="5"/>
  <c r="L145" i="5"/>
  <c r="M145" i="5"/>
  <c r="N145" i="5"/>
  <c r="O145" i="5"/>
  <c r="P145" i="5"/>
  <c r="Q145" i="5"/>
  <c r="R145" i="5"/>
  <c r="S145" i="5"/>
  <c r="T145" i="5"/>
  <c r="U145" i="5"/>
  <c r="V145" i="5"/>
  <c r="W145" i="5"/>
  <c r="X145" i="5"/>
  <c r="Y145" i="5"/>
  <c r="Z145" i="5"/>
  <c r="AA145" i="5"/>
  <c r="AB145" i="5"/>
  <c r="AC145" i="5"/>
  <c r="AD145" i="5"/>
  <c r="AE145" i="5"/>
  <c r="AF145" i="5"/>
  <c r="AG145" i="5"/>
  <c r="AH145" i="5"/>
  <c r="AI145" i="5"/>
  <c r="AJ145" i="5"/>
  <c r="AK145" i="5"/>
  <c r="AL145" i="5"/>
  <c r="AM145" i="5"/>
  <c r="AQ145" i="5"/>
  <c r="AR145" i="5"/>
  <c r="AU145" i="5"/>
  <c r="AW145" i="5"/>
  <c r="D146" i="5"/>
  <c r="E146" i="5"/>
  <c r="F146" i="5"/>
  <c r="G146" i="5"/>
  <c r="I146" i="5"/>
  <c r="J146" i="5"/>
  <c r="K146" i="5"/>
  <c r="L146" i="5"/>
  <c r="M146" i="5"/>
  <c r="N146" i="5"/>
  <c r="O146" i="5"/>
  <c r="P146" i="5"/>
  <c r="Q146" i="5"/>
  <c r="R146" i="5"/>
  <c r="S146" i="5"/>
  <c r="T146" i="5"/>
  <c r="U146" i="5"/>
  <c r="V146" i="5"/>
  <c r="W146" i="5"/>
  <c r="X146" i="5"/>
  <c r="Y146" i="5"/>
  <c r="Z146" i="5"/>
  <c r="AA146" i="5"/>
  <c r="AB146" i="5"/>
  <c r="AC146" i="5"/>
  <c r="AD146" i="5"/>
  <c r="AE146" i="5"/>
  <c r="AF146" i="5"/>
  <c r="AG146" i="5"/>
  <c r="AH146" i="5"/>
  <c r="AI146" i="5"/>
  <c r="AJ146" i="5"/>
  <c r="AK146" i="5"/>
  <c r="AL146" i="5"/>
  <c r="AM146" i="5"/>
  <c r="AQ146" i="5"/>
  <c r="AR146" i="5"/>
  <c r="AU146" i="5"/>
  <c r="AW146" i="5"/>
  <c r="D147" i="5"/>
  <c r="E147" i="5"/>
  <c r="F147" i="5"/>
  <c r="G147" i="5"/>
  <c r="I147" i="5"/>
  <c r="J147" i="5"/>
  <c r="K147" i="5"/>
  <c r="L147" i="5"/>
  <c r="M147" i="5"/>
  <c r="N147" i="5"/>
  <c r="O147" i="5"/>
  <c r="P147" i="5"/>
  <c r="Q147" i="5"/>
  <c r="R147" i="5"/>
  <c r="S147" i="5"/>
  <c r="T147" i="5"/>
  <c r="U147" i="5"/>
  <c r="V147" i="5"/>
  <c r="W147" i="5"/>
  <c r="X147" i="5"/>
  <c r="Y147" i="5"/>
  <c r="Z147" i="5"/>
  <c r="AA147" i="5"/>
  <c r="AB147" i="5"/>
  <c r="AC147" i="5"/>
  <c r="AD147" i="5"/>
  <c r="AE147" i="5"/>
  <c r="AF147" i="5"/>
  <c r="AG147" i="5"/>
  <c r="AH147" i="5"/>
  <c r="AI147" i="5"/>
  <c r="AJ147" i="5"/>
  <c r="AK147" i="5"/>
  <c r="AL147" i="5"/>
  <c r="AM147" i="5"/>
  <c r="AQ147" i="5"/>
  <c r="AR147" i="5"/>
  <c r="AU147" i="5"/>
  <c r="AW147" i="5"/>
  <c r="D148" i="5"/>
  <c r="E148" i="5"/>
  <c r="F148" i="5"/>
  <c r="G148" i="5"/>
  <c r="I148" i="5"/>
  <c r="J148" i="5"/>
  <c r="K148" i="5"/>
  <c r="L148" i="5"/>
  <c r="M148" i="5"/>
  <c r="N148" i="5"/>
  <c r="O148" i="5"/>
  <c r="P148" i="5"/>
  <c r="Q148" i="5"/>
  <c r="R148" i="5"/>
  <c r="S148" i="5"/>
  <c r="T148" i="5"/>
  <c r="U148" i="5"/>
  <c r="V148" i="5"/>
  <c r="W148" i="5"/>
  <c r="X148" i="5"/>
  <c r="Y148" i="5"/>
  <c r="Z148" i="5"/>
  <c r="AA148" i="5"/>
  <c r="AB148" i="5"/>
  <c r="AC148" i="5"/>
  <c r="AD148" i="5"/>
  <c r="AE148" i="5"/>
  <c r="AF148" i="5"/>
  <c r="AG148" i="5"/>
  <c r="AH148" i="5"/>
  <c r="AI148" i="5"/>
  <c r="AJ148" i="5"/>
  <c r="AK148" i="5"/>
  <c r="AL148" i="5"/>
  <c r="AM148" i="5"/>
  <c r="AQ148" i="5"/>
  <c r="AR148" i="5"/>
  <c r="AU148" i="5"/>
  <c r="AW148" i="5"/>
  <c r="D149" i="5"/>
  <c r="E149" i="5"/>
  <c r="F149" i="5"/>
  <c r="G149" i="5"/>
  <c r="I149" i="5"/>
  <c r="J149" i="5"/>
  <c r="K149" i="5"/>
  <c r="L149" i="5"/>
  <c r="M149" i="5"/>
  <c r="N149" i="5"/>
  <c r="O149" i="5"/>
  <c r="P149" i="5"/>
  <c r="Q149" i="5"/>
  <c r="R149" i="5"/>
  <c r="S149" i="5"/>
  <c r="T149" i="5"/>
  <c r="U149" i="5"/>
  <c r="V149" i="5"/>
  <c r="W149" i="5"/>
  <c r="X149" i="5"/>
  <c r="Y149" i="5"/>
  <c r="Z149" i="5"/>
  <c r="AA149" i="5"/>
  <c r="AB149" i="5"/>
  <c r="AC149" i="5"/>
  <c r="AD149" i="5"/>
  <c r="AE149" i="5"/>
  <c r="AF149" i="5"/>
  <c r="AG149" i="5"/>
  <c r="AH149" i="5"/>
  <c r="AI149" i="5"/>
  <c r="AJ149" i="5"/>
  <c r="AK149" i="5"/>
  <c r="AL149" i="5"/>
  <c r="AM149" i="5"/>
  <c r="AQ149" i="5"/>
  <c r="AR149" i="5"/>
  <c r="AU149" i="5"/>
  <c r="AW149" i="5"/>
  <c r="D150" i="5"/>
  <c r="E150" i="5"/>
  <c r="F150" i="5"/>
  <c r="G150" i="5"/>
  <c r="I150" i="5"/>
  <c r="J150" i="5"/>
  <c r="K150" i="5"/>
  <c r="L150" i="5"/>
  <c r="M150" i="5"/>
  <c r="N150" i="5"/>
  <c r="O150" i="5"/>
  <c r="P150" i="5"/>
  <c r="Q150" i="5"/>
  <c r="R150" i="5"/>
  <c r="S150" i="5"/>
  <c r="T150" i="5"/>
  <c r="U150" i="5"/>
  <c r="V150" i="5"/>
  <c r="W150" i="5"/>
  <c r="X150" i="5"/>
  <c r="Y150" i="5"/>
  <c r="Z150" i="5"/>
  <c r="AA150" i="5"/>
  <c r="AB150" i="5"/>
  <c r="AC150" i="5"/>
  <c r="AD150" i="5"/>
  <c r="AE150" i="5"/>
  <c r="AF150" i="5"/>
  <c r="AG150" i="5"/>
  <c r="AH150" i="5"/>
  <c r="AI150" i="5"/>
  <c r="AJ150" i="5"/>
  <c r="AK150" i="5"/>
  <c r="AL150" i="5"/>
  <c r="AM150" i="5"/>
  <c r="AQ150" i="5"/>
  <c r="AR150" i="5"/>
  <c r="AU150" i="5"/>
  <c r="AW150" i="5"/>
  <c r="D151" i="5"/>
  <c r="E151" i="5"/>
  <c r="F151" i="5"/>
  <c r="G151" i="5"/>
  <c r="I151" i="5"/>
  <c r="J151" i="5"/>
  <c r="K151" i="5"/>
  <c r="L151" i="5"/>
  <c r="M151" i="5"/>
  <c r="N151" i="5"/>
  <c r="O151" i="5"/>
  <c r="P151" i="5"/>
  <c r="Q151" i="5"/>
  <c r="R151" i="5"/>
  <c r="S151" i="5"/>
  <c r="T151" i="5"/>
  <c r="U151" i="5"/>
  <c r="V151" i="5"/>
  <c r="W151" i="5"/>
  <c r="X151" i="5"/>
  <c r="Y151" i="5"/>
  <c r="Z151" i="5"/>
  <c r="AA151" i="5"/>
  <c r="AB151" i="5"/>
  <c r="AC151" i="5"/>
  <c r="AD151" i="5"/>
  <c r="AE151" i="5"/>
  <c r="AF151" i="5"/>
  <c r="AG151" i="5"/>
  <c r="AH151" i="5"/>
  <c r="AI151" i="5"/>
  <c r="AJ151" i="5"/>
  <c r="AK151" i="5"/>
  <c r="AL151" i="5"/>
  <c r="AM151" i="5"/>
  <c r="AQ151" i="5"/>
  <c r="AR151" i="5"/>
  <c r="AU151" i="5"/>
  <c r="AW151" i="5"/>
  <c r="D152" i="5"/>
  <c r="E152" i="5"/>
  <c r="F152" i="5"/>
  <c r="G152" i="5"/>
  <c r="I152" i="5"/>
  <c r="J152" i="5"/>
  <c r="K152" i="5"/>
  <c r="L152" i="5"/>
  <c r="M152" i="5"/>
  <c r="N152" i="5"/>
  <c r="O152" i="5"/>
  <c r="P152" i="5"/>
  <c r="Q152" i="5"/>
  <c r="R152" i="5"/>
  <c r="S152" i="5"/>
  <c r="T152" i="5"/>
  <c r="U152" i="5"/>
  <c r="V152" i="5"/>
  <c r="W152" i="5"/>
  <c r="X152" i="5"/>
  <c r="Y152" i="5"/>
  <c r="Z152" i="5"/>
  <c r="AA152" i="5"/>
  <c r="AB152" i="5"/>
  <c r="AC152" i="5"/>
  <c r="AD152" i="5"/>
  <c r="AE152" i="5"/>
  <c r="AF152" i="5"/>
  <c r="AG152" i="5"/>
  <c r="AH152" i="5"/>
  <c r="AI152" i="5"/>
  <c r="AJ152" i="5"/>
  <c r="AK152" i="5"/>
  <c r="AL152" i="5"/>
  <c r="AM152" i="5"/>
  <c r="AQ152" i="5"/>
  <c r="AR152" i="5"/>
  <c r="AU152" i="5"/>
  <c r="AW152" i="5"/>
  <c r="D153" i="5"/>
  <c r="E153" i="5"/>
  <c r="F153" i="5"/>
  <c r="G153" i="5"/>
  <c r="I153" i="5"/>
  <c r="J153" i="5"/>
  <c r="K153" i="5"/>
  <c r="L153" i="5"/>
  <c r="M153" i="5"/>
  <c r="N153" i="5"/>
  <c r="O153" i="5"/>
  <c r="P153" i="5"/>
  <c r="Q153" i="5"/>
  <c r="R153" i="5"/>
  <c r="S153" i="5"/>
  <c r="T153" i="5"/>
  <c r="U153" i="5"/>
  <c r="V153" i="5"/>
  <c r="W153" i="5"/>
  <c r="X153" i="5"/>
  <c r="Y153" i="5"/>
  <c r="Z153" i="5"/>
  <c r="AA153" i="5"/>
  <c r="AB153" i="5"/>
  <c r="AC153" i="5"/>
  <c r="AD153" i="5"/>
  <c r="AE153" i="5"/>
  <c r="AF153" i="5"/>
  <c r="AG153" i="5"/>
  <c r="AH153" i="5"/>
  <c r="AI153" i="5"/>
  <c r="AJ153" i="5"/>
  <c r="AK153" i="5"/>
  <c r="AL153" i="5"/>
  <c r="AM153" i="5"/>
  <c r="AQ153" i="5"/>
  <c r="AR153" i="5"/>
  <c r="AU153" i="5"/>
  <c r="AW153" i="5"/>
  <c r="D154" i="5"/>
  <c r="E154" i="5"/>
  <c r="F154" i="5"/>
  <c r="G154" i="5"/>
  <c r="I154" i="5"/>
  <c r="J154" i="5"/>
  <c r="K154" i="5"/>
  <c r="L154" i="5"/>
  <c r="M154" i="5"/>
  <c r="N154" i="5"/>
  <c r="O154" i="5"/>
  <c r="P154" i="5"/>
  <c r="Q154" i="5"/>
  <c r="R154" i="5"/>
  <c r="S154" i="5"/>
  <c r="T154" i="5"/>
  <c r="U154" i="5"/>
  <c r="V154" i="5"/>
  <c r="W154" i="5"/>
  <c r="X154" i="5"/>
  <c r="Y154" i="5"/>
  <c r="Z154" i="5"/>
  <c r="AA154" i="5"/>
  <c r="AB154" i="5"/>
  <c r="AC154" i="5"/>
  <c r="AD154" i="5"/>
  <c r="AE154" i="5"/>
  <c r="AF154" i="5"/>
  <c r="AG154" i="5"/>
  <c r="AH154" i="5"/>
  <c r="AI154" i="5"/>
  <c r="AJ154" i="5"/>
  <c r="AK154" i="5"/>
  <c r="AL154" i="5"/>
  <c r="AM154" i="5"/>
  <c r="AQ154" i="5"/>
  <c r="AR154" i="5"/>
  <c r="AU154" i="5"/>
  <c r="AW154" i="5"/>
  <c r="D155" i="5"/>
  <c r="E155" i="5"/>
  <c r="F155" i="5"/>
  <c r="G155" i="5"/>
  <c r="I155" i="5"/>
  <c r="J155" i="5"/>
  <c r="K155" i="5"/>
  <c r="L155" i="5"/>
  <c r="M155" i="5"/>
  <c r="N155" i="5"/>
  <c r="O155" i="5"/>
  <c r="P155" i="5"/>
  <c r="Q155" i="5"/>
  <c r="R155" i="5"/>
  <c r="S155" i="5"/>
  <c r="T155" i="5"/>
  <c r="U155" i="5"/>
  <c r="V155" i="5"/>
  <c r="W155" i="5"/>
  <c r="X155" i="5"/>
  <c r="Y155" i="5"/>
  <c r="Z155" i="5"/>
  <c r="AA155" i="5"/>
  <c r="AB155" i="5"/>
  <c r="AC155" i="5"/>
  <c r="AD155" i="5"/>
  <c r="AE155" i="5"/>
  <c r="AF155" i="5"/>
  <c r="AG155" i="5"/>
  <c r="AH155" i="5"/>
  <c r="AI155" i="5"/>
  <c r="AJ155" i="5"/>
  <c r="AK155" i="5"/>
  <c r="AL155" i="5"/>
  <c r="AM155" i="5"/>
  <c r="AQ155" i="5"/>
  <c r="AR155" i="5"/>
  <c r="AU155" i="5"/>
  <c r="AW155" i="5"/>
  <c r="D156" i="5"/>
  <c r="E156" i="5"/>
  <c r="F156" i="5"/>
  <c r="G156" i="5"/>
  <c r="I156" i="5"/>
  <c r="J156" i="5"/>
  <c r="K156" i="5"/>
  <c r="L156" i="5"/>
  <c r="M156" i="5"/>
  <c r="N156" i="5"/>
  <c r="O156" i="5"/>
  <c r="P156" i="5"/>
  <c r="Q156" i="5"/>
  <c r="R156" i="5"/>
  <c r="S156" i="5"/>
  <c r="T156" i="5"/>
  <c r="U156" i="5"/>
  <c r="V156" i="5"/>
  <c r="W156" i="5"/>
  <c r="X156" i="5"/>
  <c r="Y156" i="5"/>
  <c r="Z156" i="5"/>
  <c r="AA156" i="5"/>
  <c r="AB156" i="5"/>
  <c r="AC156" i="5"/>
  <c r="AD156" i="5"/>
  <c r="AE156" i="5"/>
  <c r="AF156" i="5"/>
  <c r="AG156" i="5"/>
  <c r="AH156" i="5"/>
  <c r="AI156" i="5"/>
  <c r="AJ156" i="5"/>
  <c r="AK156" i="5"/>
  <c r="AL156" i="5"/>
  <c r="AM156" i="5"/>
  <c r="AQ156" i="5"/>
  <c r="AR156" i="5"/>
  <c r="AU156" i="5"/>
  <c r="AW156" i="5"/>
  <c r="D157" i="5"/>
  <c r="E157" i="5"/>
  <c r="F157" i="5"/>
  <c r="G157" i="5"/>
  <c r="I157" i="5"/>
  <c r="J157" i="5"/>
  <c r="K157" i="5"/>
  <c r="L157" i="5"/>
  <c r="M157" i="5"/>
  <c r="N157" i="5"/>
  <c r="O157" i="5"/>
  <c r="P157" i="5"/>
  <c r="Q157" i="5"/>
  <c r="R157" i="5"/>
  <c r="S157" i="5"/>
  <c r="T157" i="5"/>
  <c r="U157" i="5"/>
  <c r="V157" i="5"/>
  <c r="W157" i="5"/>
  <c r="X157" i="5"/>
  <c r="Y157" i="5"/>
  <c r="Z157" i="5"/>
  <c r="AA157" i="5"/>
  <c r="AB157" i="5"/>
  <c r="AC157" i="5"/>
  <c r="AD157" i="5"/>
  <c r="AE157" i="5"/>
  <c r="AF157" i="5"/>
  <c r="AG157" i="5"/>
  <c r="AH157" i="5"/>
  <c r="AI157" i="5"/>
  <c r="AJ157" i="5"/>
  <c r="AK157" i="5"/>
  <c r="AL157" i="5"/>
  <c r="AM157" i="5"/>
  <c r="AQ157" i="5"/>
  <c r="AR157" i="5"/>
  <c r="AU157" i="5"/>
  <c r="AW157" i="5"/>
  <c r="D158" i="5"/>
  <c r="E158" i="5"/>
  <c r="F158" i="5"/>
  <c r="G158" i="5"/>
  <c r="I158" i="5"/>
  <c r="J158" i="5"/>
  <c r="K158" i="5"/>
  <c r="L158" i="5"/>
  <c r="M158" i="5"/>
  <c r="N158" i="5"/>
  <c r="O158" i="5"/>
  <c r="P158" i="5"/>
  <c r="Q158" i="5"/>
  <c r="R158" i="5"/>
  <c r="S158" i="5"/>
  <c r="T158" i="5"/>
  <c r="U158" i="5"/>
  <c r="V158" i="5"/>
  <c r="W158" i="5"/>
  <c r="X158" i="5"/>
  <c r="Y158" i="5"/>
  <c r="Z158" i="5"/>
  <c r="AA158" i="5"/>
  <c r="AB158" i="5"/>
  <c r="AC158" i="5"/>
  <c r="AD158" i="5"/>
  <c r="AE158" i="5"/>
  <c r="AF158" i="5"/>
  <c r="AG158" i="5"/>
  <c r="AH158" i="5"/>
  <c r="AI158" i="5"/>
  <c r="AJ158" i="5"/>
  <c r="AK158" i="5"/>
  <c r="AL158" i="5"/>
  <c r="AM158" i="5"/>
  <c r="AQ158" i="5"/>
  <c r="AR158" i="5"/>
  <c r="AU158" i="5"/>
  <c r="AW158" i="5"/>
  <c r="D159" i="5"/>
  <c r="E159" i="5"/>
  <c r="F159" i="5"/>
  <c r="G159" i="5"/>
  <c r="I159" i="5"/>
  <c r="J159" i="5"/>
  <c r="K159" i="5"/>
  <c r="L159" i="5"/>
  <c r="M159" i="5"/>
  <c r="N159" i="5"/>
  <c r="O159" i="5"/>
  <c r="P159" i="5"/>
  <c r="Q159" i="5"/>
  <c r="R159" i="5"/>
  <c r="S159" i="5"/>
  <c r="T159" i="5"/>
  <c r="U159" i="5"/>
  <c r="V159" i="5"/>
  <c r="W159" i="5"/>
  <c r="X159" i="5"/>
  <c r="Y159" i="5"/>
  <c r="Z159" i="5"/>
  <c r="AA159" i="5"/>
  <c r="AB159" i="5"/>
  <c r="AC159" i="5"/>
  <c r="AD159" i="5"/>
  <c r="AE159" i="5"/>
  <c r="AF159" i="5"/>
  <c r="AG159" i="5"/>
  <c r="AH159" i="5"/>
  <c r="AI159" i="5"/>
  <c r="AJ159" i="5"/>
  <c r="AK159" i="5"/>
  <c r="AL159" i="5"/>
  <c r="AM159" i="5"/>
  <c r="AQ159" i="5"/>
  <c r="AR159" i="5"/>
  <c r="AU159" i="5"/>
  <c r="AW159" i="5"/>
  <c r="D160" i="5"/>
  <c r="E160" i="5"/>
  <c r="F160" i="5"/>
  <c r="G160" i="5"/>
  <c r="I160" i="5"/>
  <c r="J160" i="5"/>
  <c r="K160" i="5"/>
  <c r="L160" i="5"/>
  <c r="M160" i="5"/>
  <c r="N160" i="5"/>
  <c r="O160" i="5"/>
  <c r="P160" i="5"/>
  <c r="Q160" i="5"/>
  <c r="R160" i="5"/>
  <c r="S160" i="5"/>
  <c r="T160" i="5"/>
  <c r="U160" i="5"/>
  <c r="V160" i="5"/>
  <c r="W160" i="5"/>
  <c r="X160" i="5"/>
  <c r="Y160" i="5"/>
  <c r="Z160" i="5"/>
  <c r="AA160" i="5"/>
  <c r="AB160" i="5"/>
  <c r="AC160" i="5"/>
  <c r="AD160" i="5"/>
  <c r="AE160" i="5"/>
  <c r="AF160" i="5"/>
  <c r="AG160" i="5"/>
  <c r="AH160" i="5"/>
  <c r="AI160" i="5"/>
  <c r="AJ160" i="5"/>
  <c r="AK160" i="5"/>
  <c r="AL160" i="5"/>
  <c r="AM160" i="5"/>
  <c r="AQ160" i="5"/>
  <c r="AR160" i="5"/>
  <c r="AU160" i="5"/>
  <c r="AW160" i="5"/>
  <c r="D161" i="5"/>
  <c r="E161" i="5"/>
  <c r="F161" i="5"/>
  <c r="G161" i="5"/>
  <c r="I161" i="5"/>
  <c r="J161" i="5"/>
  <c r="K161" i="5"/>
  <c r="L161" i="5"/>
  <c r="M161" i="5"/>
  <c r="N161" i="5"/>
  <c r="O161" i="5"/>
  <c r="P161" i="5"/>
  <c r="Q161" i="5"/>
  <c r="R161" i="5"/>
  <c r="S161" i="5"/>
  <c r="T161" i="5"/>
  <c r="U161" i="5"/>
  <c r="V161" i="5"/>
  <c r="W161" i="5"/>
  <c r="X161" i="5"/>
  <c r="Y161" i="5"/>
  <c r="Z161" i="5"/>
  <c r="AA161" i="5"/>
  <c r="AB161" i="5"/>
  <c r="AC161" i="5"/>
  <c r="AD161" i="5"/>
  <c r="AE161" i="5"/>
  <c r="AF161" i="5"/>
  <c r="AG161" i="5"/>
  <c r="AH161" i="5"/>
  <c r="AI161" i="5"/>
  <c r="AJ161" i="5"/>
  <c r="AK161" i="5"/>
  <c r="AL161" i="5"/>
  <c r="AM161" i="5"/>
  <c r="AQ161" i="5"/>
  <c r="AR161" i="5"/>
  <c r="AU161" i="5"/>
  <c r="AW161" i="5"/>
  <c r="D162" i="5"/>
  <c r="E162" i="5"/>
  <c r="F162" i="5"/>
  <c r="G162" i="5"/>
  <c r="I162" i="5"/>
  <c r="J162" i="5"/>
  <c r="K162" i="5"/>
  <c r="L162" i="5"/>
  <c r="M162" i="5"/>
  <c r="N162" i="5"/>
  <c r="O162" i="5"/>
  <c r="P162" i="5"/>
  <c r="Q162" i="5"/>
  <c r="R162" i="5"/>
  <c r="S162" i="5"/>
  <c r="T162" i="5"/>
  <c r="U162" i="5"/>
  <c r="V162" i="5"/>
  <c r="W162" i="5"/>
  <c r="X162" i="5"/>
  <c r="Y162" i="5"/>
  <c r="Z162" i="5"/>
  <c r="AA162" i="5"/>
  <c r="AB162" i="5"/>
  <c r="AC162" i="5"/>
  <c r="AD162" i="5"/>
  <c r="AE162" i="5"/>
  <c r="AF162" i="5"/>
  <c r="AG162" i="5"/>
  <c r="AH162" i="5"/>
  <c r="AI162" i="5"/>
  <c r="AJ162" i="5"/>
  <c r="AK162" i="5"/>
  <c r="AL162" i="5"/>
  <c r="AM162" i="5"/>
  <c r="AQ162" i="5"/>
  <c r="AR162" i="5"/>
  <c r="AU162" i="5"/>
  <c r="AW162" i="5"/>
  <c r="D163" i="5"/>
  <c r="E163" i="5"/>
  <c r="F163" i="5"/>
  <c r="G163" i="5"/>
  <c r="I163" i="5"/>
  <c r="J163" i="5"/>
  <c r="K163" i="5"/>
  <c r="L163" i="5"/>
  <c r="M163" i="5"/>
  <c r="N163" i="5"/>
  <c r="O163" i="5"/>
  <c r="P163" i="5"/>
  <c r="Q163" i="5"/>
  <c r="R163" i="5"/>
  <c r="S163" i="5"/>
  <c r="T163" i="5"/>
  <c r="U163" i="5"/>
  <c r="V163" i="5"/>
  <c r="W163" i="5"/>
  <c r="X163" i="5"/>
  <c r="Y163" i="5"/>
  <c r="Z163" i="5"/>
  <c r="AA163" i="5"/>
  <c r="AB163" i="5"/>
  <c r="AC163" i="5"/>
  <c r="AD163" i="5"/>
  <c r="AE163" i="5"/>
  <c r="AF163" i="5"/>
  <c r="AG163" i="5"/>
  <c r="AH163" i="5"/>
  <c r="AI163" i="5"/>
  <c r="AJ163" i="5"/>
  <c r="AK163" i="5"/>
  <c r="AL163" i="5"/>
  <c r="AM163" i="5"/>
  <c r="AQ163" i="5"/>
  <c r="AR163" i="5"/>
  <c r="AU163" i="5"/>
  <c r="AW163" i="5"/>
  <c r="D164" i="5"/>
  <c r="E164" i="5"/>
  <c r="F164" i="5"/>
  <c r="G164" i="5"/>
  <c r="I164" i="5"/>
  <c r="J164" i="5"/>
  <c r="K164" i="5"/>
  <c r="L164" i="5"/>
  <c r="M164" i="5"/>
  <c r="N164" i="5"/>
  <c r="O164" i="5"/>
  <c r="P164" i="5"/>
  <c r="Q164" i="5"/>
  <c r="R164" i="5"/>
  <c r="S164" i="5"/>
  <c r="T164" i="5"/>
  <c r="U164" i="5"/>
  <c r="V164" i="5"/>
  <c r="W164" i="5"/>
  <c r="X164" i="5"/>
  <c r="Y164" i="5"/>
  <c r="Z164" i="5"/>
  <c r="AA164" i="5"/>
  <c r="AB164" i="5"/>
  <c r="AC164" i="5"/>
  <c r="AD164" i="5"/>
  <c r="AE164" i="5"/>
  <c r="AF164" i="5"/>
  <c r="AG164" i="5"/>
  <c r="AH164" i="5"/>
  <c r="AI164" i="5"/>
  <c r="AJ164" i="5"/>
  <c r="AK164" i="5"/>
  <c r="AL164" i="5"/>
  <c r="AM164" i="5"/>
  <c r="AQ164" i="5"/>
  <c r="AR164" i="5"/>
  <c r="AU164" i="5"/>
  <c r="AW164" i="5"/>
  <c r="D165" i="5"/>
  <c r="E165" i="5"/>
  <c r="F165" i="5"/>
  <c r="G165" i="5"/>
  <c r="I165" i="5"/>
  <c r="J165" i="5"/>
  <c r="K165" i="5"/>
  <c r="L165" i="5"/>
  <c r="M165" i="5"/>
  <c r="N165" i="5"/>
  <c r="O165" i="5"/>
  <c r="P165" i="5"/>
  <c r="Q165" i="5"/>
  <c r="R165" i="5"/>
  <c r="S165" i="5"/>
  <c r="T165" i="5"/>
  <c r="U165" i="5"/>
  <c r="V165" i="5"/>
  <c r="W165" i="5"/>
  <c r="X165" i="5"/>
  <c r="Y165" i="5"/>
  <c r="Z165" i="5"/>
  <c r="AA165" i="5"/>
  <c r="AB165" i="5"/>
  <c r="AC165" i="5"/>
  <c r="AD165" i="5"/>
  <c r="AE165" i="5"/>
  <c r="AF165" i="5"/>
  <c r="AG165" i="5"/>
  <c r="AH165" i="5"/>
  <c r="AI165" i="5"/>
  <c r="AJ165" i="5"/>
  <c r="AK165" i="5"/>
  <c r="AL165" i="5"/>
  <c r="AM165" i="5"/>
  <c r="AQ165" i="5"/>
  <c r="AR165" i="5"/>
  <c r="AU165" i="5"/>
  <c r="AW165" i="5"/>
  <c r="D166" i="5"/>
  <c r="E166" i="5"/>
  <c r="F166" i="5"/>
  <c r="G166" i="5"/>
  <c r="I166" i="5"/>
  <c r="J166" i="5"/>
  <c r="K166" i="5"/>
  <c r="L166" i="5"/>
  <c r="M166" i="5"/>
  <c r="N166" i="5"/>
  <c r="O166" i="5"/>
  <c r="P166" i="5"/>
  <c r="Q166" i="5"/>
  <c r="R166" i="5"/>
  <c r="S166" i="5"/>
  <c r="T166" i="5"/>
  <c r="U166" i="5"/>
  <c r="V166" i="5"/>
  <c r="W166" i="5"/>
  <c r="X166" i="5"/>
  <c r="Y166" i="5"/>
  <c r="Z166" i="5"/>
  <c r="AA166" i="5"/>
  <c r="AB166" i="5"/>
  <c r="AC166" i="5"/>
  <c r="AD166" i="5"/>
  <c r="AE166" i="5"/>
  <c r="AF166" i="5"/>
  <c r="AG166" i="5"/>
  <c r="AH166" i="5"/>
  <c r="AI166" i="5"/>
  <c r="AJ166" i="5"/>
  <c r="AK166" i="5"/>
  <c r="AL166" i="5"/>
  <c r="AM166" i="5"/>
  <c r="AQ166" i="5"/>
  <c r="AR166" i="5"/>
  <c r="AU166" i="5"/>
  <c r="AW166" i="5"/>
  <c r="D167" i="5"/>
  <c r="E167" i="5"/>
  <c r="F167" i="5"/>
  <c r="G167" i="5"/>
  <c r="I167" i="5"/>
  <c r="J167" i="5"/>
  <c r="K167" i="5"/>
  <c r="L167" i="5"/>
  <c r="M167" i="5"/>
  <c r="N167" i="5"/>
  <c r="O167" i="5"/>
  <c r="P167" i="5"/>
  <c r="Q167" i="5"/>
  <c r="R167" i="5"/>
  <c r="S167" i="5"/>
  <c r="T167" i="5"/>
  <c r="U167" i="5"/>
  <c r="V167" i="5"/>
  <c r="W167" i="5"/>
  <c r="X167" i="5"/>
  <c r="Y167" i="5"/>
  <c r="Z167" i="5"/>
  <c r="AA167" i="5"/>
  <c r="AB167" i="5"/>
  <c r="AC167" i="5"/>
  <c r="AD167" i="5"/>
  <c r="AE167" i="5"/>
  <c r="AF167" i="5"/>
  <c r="AG167" i="5"/>
  <c r="AH167" i="5"/>
  <c r="AI167" i="5"/>
  <c r="AJ167" i="5"/>
  <c r="AK167" i="5"/>
  <c r="AL167" i="5"/>
  <c r="AM167" i="5"/>
  <c r="AQ167" i="5"/>
  <c r="AR167" i="5"/>
  <c r="AU167" i="5"/>
  <c r="AW167" i="5"/>
  <c r="D168" i="5"/>
  <c r="E168" i="5"/>
  <c r="F168" i="5"/>
  <c r="G168" i="5"/>
  <c r="I168" i="5"/>
  <c r="J168" i="5"/>
  <c r="K168" i="5"/>
  <c r="L168" i="5"/>
  <c r="M168" i="5"/>
  <c r="N168" i="5"/>
  <c r="O168" i="5"/>
  <c r="P168" i="5"/>
  <c r="Q168" i="5"/>
  <c r="R168" i="5"/>
  <c r="S168" i="5"/>
  <c r="T168" i="5"/>
  <c r="U168" i="5"/>
  <c r="V168" i="5"/>
  <c r="W168" i="5"/>
  <c r="X168" i="5"/>
  <c r="Y168" i="5"/>
  <c r="Z168" i="5"/>
  <c r="AA168" i="5"/>
  <c r="AB168" i="5"/>
  <c r="AC168" i="5"/>
  <c r="AD168" i="5"/>
  <c r="AE168" i="5"/>
  <c r="AF168" i="5"/>
  <c r="AG168" i="5"/>
  <c r="AH168" i="5"/>
  <c r="AI168" i="5"/>
  <c r="AJ168" i="5"/>
  <c r="AK168" i="5"/>
  <c r="AL168" i="5"/>
  <c r="AM168" i="5"/>
  <c r="AQ168" i="5"/>
  <c r="AR168" i="5"/>
  <c r="AU168" i="5"/>
  <c r="AW168" i="5"/>
  <c r="D169" i="5"/>
  <c r="E169" i="5"/>
  <c r="F169" i="5"/>
  <c r="G169" i="5"/>
  <c r="I169" i="5"/>
  <c r="J169" i="5"/>
  <c r="K169" i="5"/>
  <c r="L169" i="5"/>
  <c r="M169" i="5"/>
  <c r="N169" i="5"/>
  <c r="O169" i="5"/>
  <c r="P169" i="5"/>
  <c r="Q169" i="5"/>
  <c r="R169" i="5"/>
  <c r="S169" i="5"/>
  <c r="T169" i="5"/>
  <c r="U169" i="5"/>
  <c r="V169" i="5"/>
  <c r="W169" i="5"/>
  <c r="X169" i="5"/>
  <c r="Y169" i="5"/>
  <c r="Z169" i="5"/>
  <c r="AA169" i="5"/>
  <c r="AB169" i="5"/>
  <c r="AC169" i="5"/>
  <c r="AD169" i="5"/>
  <c r="AE169" i="5"/>
  <c r="AF169" i="5"/>
  <c r="AG169" i="5"/>
  <c r="AH169" i="5"/>
  <c r="AI169" i="5"/>
  <c r="AJ169" i="5"/>
  <c r="AK169" i="5"/>
  <c r="AL169" i="5"/>
  <c r="AM169" i="5"/>
  <c r="AQ169" i="5"/>
  <c r="AR169" i="5"/>
  <c r="AU169" i="5"/>
  <c r="AW169" i="5"/>
  <c r="D170" i="5"/>
  <c r="E170" i="5"/>
  <c r="F170" i="5"/>
  <c r="G170" i="5"/>
  <c r="I170" i="5"/>
  <c r="J170" i="5"/>
  <c r="K170" i="5"/>
  <c r="L170" i="5"/>
  <c r="M170" i="5"/>
  <c r="N170" i="5"/>
  <c r="O170" i="5"/>
  <c r="P170" i="5"/>
  <c r="Q170" i="5"/>
  <c r="R170" i="5"/>
  <c r="S170" i="5"/>
  <c r="T170" i="5"/>
  <c r="U170" i="5"/>
  <c r="V170" i="5"/>
  <c r="W170" i="5"/>
  <c r="X170" i="5"/>
  <c r="Y170" i="5"/>
  <c r="Z170" i="5"/>
  <c r="AA170" i="5"/>
  <c r="AB170" i="5"/>
  <c r="AC170" i="5"/>
  <c r="AD170" i="5"/>
  <c r="AE170" i="5"/>
  <c r="AF170" i="5"/>
  <c r="AG170" i="5"/>
  <c r="AH170" i="5"/>
  <c r="AI170" i="5"/>
  <c r="AJ170" i="5"/>
  <c r="AK170" i="5"/>
  <c r="AL170" i="5"/>
  <c r="AM170" i="5"/>
  <c r="AQ170" i="5"/>
  <c r="AR170" i="5"/>
  <c r="AU170" i="5"/>
  <c r="AW170" i="5"/>
  <c r="D171" i="5"/>
  <c r="E171" i="5"/>
  <c r="F171" i="5"/>
  <c r="G171" i="5"/>
  <c r="I171" i="5"/>
  <c r="J171" i="5"/>
  <c r="K171" i="5"/>
  <c r="L171" i="5"/>
  <c r="M171" i="5"/>
  <c r="N171" i="5"/>
  <c r="O171" i="5"/>
  <c r="P171" i="5"/>
  <c r="Q171" i="5"/>
  <c r="R171" i="5"/>
  <c r="S171" i="5"/>
  <c r="T171" i="5"/>
  <c r="U171" i="5"/>
  <c r="V171" i="5"/>
  <c r="W171" i="5"/>
  <c r="X171" i="5"/>
  <c r="Y171" i="5"/>
  <c r="Z171" i="5"/>
  <c r="AA171" i="5"/>
  <c r="AB171" i="5"/>
  <c r="AC171" i="5"/>
  <c r="AD171" i="5"/>
  <c r="AE171" i="5"/>
  <c r="AF171" i="5"/>
  <c r="AG171" i="5"/>
  <c r="AH171" i="5"/>
  <c r="AI171" i="5"/>
  <c r="AJ171" i="5"/>
  <c r="AK171" i="5"/>
  <c r="AL171" i="5"/>
  <c r="AM171" i="5"/>
  <c r="AQ171" i="5"/>
  <c r="AR171" i="5"/>
  <c r="AU171" i="5"/>
  <c r="AW171" i="5"/>
  <c r="D172" i="5"/>
  <c r="E172" i="5"/>
  <c r="F172" i="5"/>
  <c r="G172" i="5"/>
  <c r="I172" i="5"/>
  <c r="J172" i="5"/>
  <c r="K172" i="5"/>
  <c r="L172" i="5"/>
  <c r="M172" i="5"/>
  <c r="N172" i="5"/>
  <c r="O172" i="5"/>
  <c r="P172" i="5"/>
  <c r="Q172" i="5"/>
  <c r="R172" i="5"/>
  <c r="S172" i="5"/>
  <c r="T172" i="5"/>
  <c r="U172" i="5"/>
  <c r="V172" i="5"/>
  <c r="W172" i="5"/>
  <c r="X172" i="5"/>
  <c r="Y172" i="5"/>
  <c r="Z172" i="5"/>
  <c r="AA172" i="5"/>
  <c r="AB172" i="5"/>
  <c r="AC172" i="5"/>
  <c r="AD172" i="5"/>
  <c r="AE172" i="5"/>
  <c r="AF172" i="5"/>
  <c r="AG172" i="5"/>
  <c r="AH172" i="5"/>
  <c r="AI172" i="5"/>
  <c r="AJ172" i="5"/>
  <c r="AK172" i="5"/>
  <c r="AL172" i="5"/>
  <c r="AM172" i="5"/>
  <c r="AQ172" i="5"/>
  <c r="AR172" i="5"/>
  <c r="AU172" i="5"/>
  <c r="AW172" i="5"/>
  <c r="D173" i="5"/>
  <c r="E173" i="5"/>
  <c r="F173" i="5"/>
  <c r="G173" i="5"/>
  <c r="I173" i="5"/>
  <c r="J173" i="5"/>
  <c r="K173" i="5"/>
  <c r="L173" i="5"/>
  <c r="M173" i="5"/>
  <c r="N173" i="5"/>
  <c r="O173" i="5"/>
  <c r="P173" i="5"/>
  <c r="Q173" i="5"/>
  <c r="R173" i="5"/>
  <c r="S173" i="5"/>
  <c r="T173" i="5"/>
  <c r="U173" i="5"/>
  <c r="V173" i="5"/>
  <c r="W173" i="5"/>
  <c r="X173" i="5"/>
  <c r="Y173" i="5"/>
  <c r="Z173" i="5"/>
  <c r="AA173" i="5"/>
  <c r="AB173" i="5"/>
  <c r="AC173" i="5"/>
  <c r="AD173" i="5"/>
  <c r="AE173" i="5"/>
  <c r="AF173" i="5"/>
  <c r="AG173" i="5"/>
  <c r="AH173" i="5"/>
  <c r="AI173" i="5"/>
  <c r="AJ173" i="5"/>
  <c r="AK173" i="5"/>
  <c r="AL173" i="5"/>
  <c r="AM173" i="5"/>
  <c r="AQ173" i="5"/>
  <c r="AR173" i="5"/>
  <c r="AU173" i="5"/>
  <c r="AW173" i="5"/>
  <c r="D174" i="5"/>
  <c r="E174" i="5"/>
  <c r="F174" i="5"/>
  <c r="G174" i="5"/>
  <c r="I174" i="5"/>
  <c r="J174" i="5"/>
  <c r="K174" i="5"/>
  <c r="L174" i="5"/>
  <c r="M174" i="5"/>
  <c r="N174" i="5"/>
  <c r="O174" i="5"/>
  <c r="P174" i="5"/>
  <c r="Q174" i="5"/>
  <c r="R174" i="5"/>
  <c r="S174" i="5"/>
  <c r="T174" i="5"/>
  <c r="U174" i="5"/>
  <c r="V174" i="5"/>
  <c r="W174" i="5"/>
  <c r="X174" i="5"/>
  <c r="Y174" i="5"/>
  <c r="Z174" i="5"/>
  <c r="AA174" i="5"/>
  <c r="AB174" i="5"/>
  <c r="AC174" i="5"/>
  <c r="AD174" i="5"/>
  <c r="AE174" i="5"/>
  <c r="AF174" i="5"/>
  <c r="AG174" i="5"/>
  <c r="AH174" i="5"/>
  <c r="AI174" i="5"/>
  <c r="AJ174" i="5"/>
  <c r="AK174" i="5"/>
  <c r="AL174" i="5"/>
  <c r="AM174" i="5"/>
  <c r="AQ174" i="5"/>
  <c r="AR174" i="5"/>
  <c r="AU174" i="5"/>
  <c r="AW174" i="5"/>
  <c r="D175" i="5"/>
  <c r="E175" i="5"/>
  <c r="F175" i="5"/>
  <c r="G175" i="5"/>
  <c r="I175" i="5"/>
  <c r="J175" i="5"/>
  <c r="K175" i="5"/>
  <c r="L175" i="5"/>
  <c r="M175" i="5"/>
  <c r="N175" i="5"/>
  <c r="O175" i="5"/>
  <c r="P175" i="5"/>
  <c r="Q175" i="5"/>
  <c r="R175" i="5"/>
  <c r="S175" i="5"/>
  <c r="T175" i="5"/>
  <c r="U175" i="5"/>
  <c r="V175" i="5"/>
  <c r="W175" i="5"/>
  <c r="X175" i="5"/>
  <c r="Y175" i="5"/>
  <c r="Z175" i="5"/>
  <c r="AA175" i="5"/>
  <c r="AB175" i="5"/>
  <c r="AC175" i="5"/>
  <c r="AD175" i="5"/>
  <c r="AE175" i="5"/>
  <c r="AF175" i="5"/>
  <c r="AG175" i="5"/>
  <c r="AH175" i="5"/>
  <c r="AI175" i="5"/>
  <c r="AJ175" i="5"/>
  <c r="AK175" i="5"/>
  <c r="AL175" i="5"/>
  <c r="AM175" i="5"/>
  <c r="AQ175" i="5"/>
  <c r="AR175" i="5"/>
  <c r="AU175" i="5"/>
  <c r="AW175" i="5"/>
  <c r="D176" i="5"/>
  <c r="E176" i="5"/>
  <c r="F176" i="5"/>
  <c r="G176" i="5"/>
  <c r="I176" i="5"/>
  <c r="J176" i="5"/>
  <c r="K176" i="5"/>
  <c r="L176" i="5"/>
  <c r="M176" i="5"/>
  <c r="N176" i="5"/>
  <c r="O176" i="5"/>
  <c r="P176" i="5"/>
  <c r="Q176" i="5"/>
  <c r="R176" i="5"/>
  <c r="S176" i="5"/>
  <c r="T176" i="5"/>
  <c r="U176" i="5"/>
  <c r="V176" i="5"/>
  <c r="W176" i="5"/>
  <c r="X176" i="5"/>
  <c r="Y176" i="5"/>
  <c r="Z176" i="5"/>
  <c r="AA176" i="5"/>
  <c r="AB176" i="5"/>
  <c r="AC176" i="5"/>
  <c r="AD176" i="5"/>
  <c r="AE176" i="5"/>
  <c r="AF176" i="5"/>
  <c r="AG176" i="5"/>
  <c r="AH176" i="5"/>
  <c r="AI176" i="5"/>
  <c r="AJ176" i="5"/>
  <c r="AK176" i="5"/>
  <c r="AL176" i="5"/>
  <c r="AM176" i="5"/>
  <c r="AQ176" i="5"/>
  <c r="AR176" i="5"/>
  <c r="AU176" i="5"/>
  <c r="AW176" i="5"/>
  <c r="D177" i="5"/>
  <c r="E177" i="5"/>
  <c r="F177" i="5"/>
  <c r="G177" i="5"/>
  <c r="I177" i="5"/>
  <c r="J177" i="5"/>
  <c r="K177" i="5"/>
  <c r="L177" i="5"/>
  <c r="M177" i="5"/>
  <c r="N177" i="5"/>
  <c r="O177" i="5"/>
  <c r="P177" i="5"/>
  <c r="Q177" i="5"/>
  <c r="R177" i="5"/>
  <c r="S177" i="5"/>
  <c r="T177" i="5"/>
  <c r="U177" i="5"/>
  <c r="V177" i="5"/>
  <c r="W177" i="5"/>
  <c r="X177" i="5"/>
  <c r="Y177" i="5"/>
  <c r="Z177" i="5"/>
  <c r="AA177" i="5"/>
  <c r="AB177" i="5"/>
  <c r="AC177" i="5"/>
  <c r="AD177" i="5"/>
  <c r="AE177" i="5"/>
  <c r="AF177" i="5"/>
  <c r="AG177" i="5"/>
  <c r="AH177" i="5"/>
  <c r="AI177" i="5"/>
  <c r="AJ177" i="5"/>
  <c r="AK177" i="5"/>
  <c r="AL177" i="5"/>
  <c r="AM177" i="5"/>
  <c r="AQ177" i="5"/>
  <c r="AR177" i="5"/>
  <c r="AU177" i="5"/>
  <c r="AW177" i="5"/>
  <c r="D178" i="5"/>
  <c r="E178" i="5"/>
  <c r="F178" i="5"/>
  <c r="G178" i="5"/>
  <c r="I178" i="5"/>
  <c r="J178" i="5"/>
  <c r="K178" i="5"/>
  <c r="L178" i="5"/>
  <c r="M178" i="5"/>
  <c r="N178" i="5"/>
  <c r="O178" i="5"/>
  <c r="P178" i="5"/>
  <c r="Q178" i="5"/>
  <c r="R178" i="5"/>
  <c r="S178" i="5"/>
  <c r="T178" i="5"/>
  <c r="U178" i="5"/>
  <c r="V178" i="5"/>
  <c r="W178" i="5"/>
  <c r="X178" i="5"/>
  <c r="Y178" i="5"/>
  <c r="Z178" i="5"/>
  <c r="AA178" i="5"/>
  <c r="AB178" i="5"/>
  <c r="AC178" i="5"/>
  <c r="AD178" i="5"/>
  <c r="AE178" i="5"/>
  <c r="AF178" i="5"/>
  <c r="AG178" i="5"/>
  <c r="AH178" i="5"/>
  <c r="AI178" i="5"/>
  <c r="AJ178" i="5"/>
  <c r="AK178" i="5"/>
  <c r="AL178" i="5"/>
  <c r="AM178" i="5"/>
  <c r="AQ178" i="5"/>
  <c r="AR178" i="5"/>
  <c r="AU178" i="5"/>
  <c r="AW178" i="5"/>
  <c r="D179" i="5"/>
  <c r="E179" i="5"/>
  <c r="F179" i="5"/>
  <c r="G179" i="5"/>
  <c r="I179" i="5"/>
  <c r="J179" i="5"/>
  <c r="K179" i="5"/>
  <c r="L179" i="5"/>
  <c r="M179" i="5"/>
  <c r="N179" i="5"/>
  <c r="O179" i="5"/>
  <c r="P179" i="5"/>
  <c r="Q179" i="5"/>
  <c r="R179" i="5"/>
  <c r="S179" i="5"/>
  <c r="T179" i="5"/>
  <c r="U179" i="5"/>
  <c r="V179" i="5"/>
  <c r="W179" i="5"/>
  <c r="X179" i="5"/>
  <c r="Y179" i="5"/>
  <c r="Z179" i="5"/>
  <c r="AA179" i="5"/>
  <c r="AB179" i="5"/>
  <c r="AC179" i="5"/>
  <c r="AD179" i="5"/>
  <c r="AE179" i="5"/>
  <c r="AF179" i="5"/>
  <c r="AG179" i="5"/>
  <c r="AH179" i="5"/>
  <c r="AI179" i="5"/>
  <c r="AJ179" i="5"/>
  <c r="AK179" i="5"/>
  <c r="AL179" i="5"/>
  <c r="AM179" i="5"/>
  <c r="AQ179" i="5"/>
  <c r="AR179" i="5"/>
  <c r="AU179" i="5"/>
  <c r="AW179" i="5"/>
  <c r="D180" i="5"/>
  <c r="E180" i="5"/>
  <c r="F180" i="5"/>
  <c r="G180" i="5"/>
  <c r="I180" i="5"/>
  <c r="J180" i="5"/>
  <c r="K180" i="5"/>
  <c r="L180" i="5"/>
  <c r="M180" i="5"/>
  <c r="N180" i="5"/>
  <c r="O180" i="5"/>
  <c r="P180" i="5"/>
  <c r="Q180" i="5"/>
  <c r="R180" i="5"/>
  <c r="S180" i="5"/>
  <c r="T180" i="5"/>
  <c r="U180" i="5"/>
  <c r="V180" i="5"/>
  <c r="W180" i="5"/>
  <c r="X180" i="5"/>
  <c r="Y180" i="5"/>
  <c r="Z180" i="5"/>
  <c r="AA180" i="5"/>
  <c r="AB180" i="5"/>
  <c r="AC180" i="5"/>
  <c r="AD180" i="5"/>
  <c r="AE180" i="5"/>
  <c r="AF180" i="5"/>
  <c r="AG180" i="5"/>
  <c r="AH180" i="5"/>
  <c r="AI180" i="5"/>
  <c r="AJ180" i="5"/>
  <c r="AK180" i="5"/>
  <c r="AL180" i="5"/>
  <c r="AM180" i="5"/>
  <c r="AQ180" i="5"/>
  <c r="AR180" i="5"/>
  <c r="AU180" i="5"/>
  <c r="AW180" i="5"/>
  <c r="D181" i="5"/>
  <c r="E181" i="5"/>
  <c r="F181" i="5"/>
  <c r="G181" i="5"/>
  <c r="I181" i="5"/>
  <c r="J181" i="5"/>
  <c r="K181" i="5"/>
  <c r="L181" i="5"/>
  <c r="M181" i="5"/>
  <c r="N181" i="5"/>
  <c r="O181" i="5"/>
  <c r="P181" i="5"/>
  <c r="Q181" i="5"/>
  <c r="R181" i="5"/>
  <c r="S181" i="5"/>
  <c r="T181" i="5"/>
  <c r="U181" i="5"/>
  <c r="V181" i="5"/>
  <c r="W181" i="5"/>
  <c r="X181" i="5"/>
  <c r="Y181" i="5"/>
  <c r="Z181" i="5"/>
  <c r="AA181" i="5"/>
  <c r="AB181" i="5"/>
  <c r="AC181" i="5"/>
  <c r="AD181" i="5"/>
  <c r="AE181" i="5"/>
  <c r="AF181" i="5"/>
  <c r="AG181" i="5"/>
  <c r="AH181" i="5"/>
  <c r="AI181" i="5"/>
  <c r="AJ181" i="5"/>
  <c r="AK181" i="5"/>
  <c r="AL181" i="5"/>
  <c r="AM181" i="5"/>
  <c r="AQ181" i="5"/>
  <c r="AR181" i="5"/>
  <c r="AU181" i="5"/>
  <c r="AW181" i="5"/>
  <c r="D182" i="5"/>
  <c r="E182" i="5"/>
  <c r="F182" i="5"/>
  <c r="G182" i="5"/>
  <c r="I182" i="5"/>
  <c r="J182" i="5"/>
  <c r="K182" i="5"/>
  <c r="L182" i="5"/>
  <c r="M182" i="5"/>
  <c r="N182" i="5"/>
  <c r="O182" i="5"/>
  <c r="P182" i="5"/>
  <c r="Q182" i="5"/>
  <c r="R182" i="5"/>
  <c r="S182" i="5"/>
  <c r="T182" i="5"/>
  <c r="U182" i="5"/>
  <c r="V182" i="5"/>
  <c r="W182" i="5"/>
  <c r="X182" i="5"/>
  <c r="Y182" i="5"/>
  <c r="Z182" i="5"/>
  <c r="AA182" i="5"/>
  <c r="AB182" i="5"/>
  <c r="AC182" i="5"/>
  <c r="AD182" i="5"/>
  <c r="AE182" i="5"/>
  <c r="AF182" i="5"/>
  <c r="AG182" i="5"/>
  <c r="AH182" i="5"/>
  <c r="AI182" i="5"/>
  <c r="AJ182" i="5"/>
  <c r="AK182" i="5"/>
  <c r="AL182" i="5"/>
  <c r="AM182" i="5"/>
  <c r="AQ182" i="5"/>
  <c r="AR182" i="5"/>
  <c r="AU182" i="5"/>
  <c r="AW182" i="5"/>
  <c r="D183" i="5"/>
  <c r="E183" i="5"/>
  <c r="F183" i="5"/>
  <c r="G183" i="5"/>
  <c r="I183" i="5"/>
  <c r="J183" i="5"/>
  <c r="K183" i="5"/>
  <c r="L183" i="5"/>
  <c r="M183" i="5"/>
  <c r="N183" i="5"/>
  <c r="O183" i="5"/>
  <c r="P183" i="5"/>
  <c r="Q183" i="5"/>
  <c r="R183" i="5"/>
  <c r="S183" i="5"/>
  <c r="T183" i="5"/>
  <c r="U183" i="5"/>
  <c r="V183" i="5"/>
  <c r="W183" i="5"/>
  <c r="X183" i="5"/>
  <c r="Y183" i="5"/>
  <c r="Z183" i="5"/>
  <c r="AA183" i="5"/>
  <c r="AB183" i="5"/>
  <c r="AC183" i="5"/>
  <c r="AD183" i="5"/>
  <c r="AE183" i="5"/>
  <c r="AF183" i="5"/>
  <c r="AG183" i="5"/>
  <c r="AH183" i="5"/>
  <c r="AI183" i="5"/>
  <c r="AJ183" i="5"/>
  <c r="AK183" i="5"/>
  <c r="AL183" i="5"/>
  <c r="AM183" i="5"/>
  <c r="AQ183" i="5"/>
  <c r="AR183" i="5"/>
  <c r="AU183" i="5"/>
  <c r="AW183" i="5"/>
  <c r="D184" i="5"/>
  <c r="E184" i="5"/>
  <c r="F184" i="5"/>
  <c r="G184" i="5"/>
  <c r="I184" i="5"/>
  <c r="J184" i="5"/>
  <c r="K184" i="5"/>
  <c r="L184" i="5"/>
  <c r="M184" i="5"/>
  <c r="N184" i="5"/>
  <c r="O184" i="5"/>
  <c r="P184" i="5"/>
  <c r="Q184" i="5"/>
  <c r="R184" i="5"/>
  <c r="S184" i="5"/>
  <c r="T184" i="5"/>
  <c r="U184" i="5"/>
  <c r="V184" i="5"/>
  <c r="W184" i="5"/>
  <c r="X184" i="5"/>
  <c r="Y184" i="5"/>
  <c r="Z184" i="5"/>
  <c r="AA184" i="5"/>
  <c r="AB184" i="5"/>
  <c r="AC184" i="5"/>
  <c r="AD184" i="5"/>
  <c r="AE184" i="5"/>
  <c r="AF184" i="5"/>
  <c r="AG184" i="5"/>
  <c r="AH184" i="5"/>
  <c r="AI184" i="5"/>
  <c r="AJ184" i="5"/>
  <c r="AK184" i="5"/>
  <c r="AL184" i="5"/>
  <c r="AM184" i="5"/>
  <c r="AQ184" i="5"/>
  <c r="AR184" i="5"/>
  <c r="AU184" i="5"/>
  <c r="AW184" i="5"/>
  <c r="D185" i="5"/>
  <c r="E185" i="5"/>
  <c r="F185" i="5"/>
  <c r="G185" i="5"/>
  <c r="I185" i="5"/>
  <c r="J185" i="5"/>
  <c r="K185" i="5"/>
  <c r="L185" i="5"/>
  <c r="M185" i="5"/>
  <c r="N185" i="5"/>
  <c r="O185" i="5"/>
  <c r="P185" i="5"/>
  <c r="Q185" i="5"/>
  <c r="R185" i="5"/>
  <c r="S185" i="5"/>
  <c r="T185" i="5"/>
  <c r="U185" i="5"/>
  <c r="V185" i="5"/>
  <c r="W185" i="5"/>
  <c r="X185" i="5"/>
  <c r="Y185" i="5"/>
  <c r="Z185" i="5"/>
  <c r="AA185" i="5"/>
  <c r="AB185" i="5"/>
  <c r="AC185" i="5"/>
  <c r="AD185" i="5"/>
  <c r="AE185" i="5"/>
  <c r="AF185" i="5"/>
  <c r="AG185" i="5"/>
  <c r="AH185" i="5"/>
  <c r="AI185" i="5"/>
  <c r="AJ185" i="5"/>
  <c r="AK185" i="5"/>
  <c r="AL185" i="5"/>
  <c r="AM185" i="5"/>
  <c r="AQ185" i="5"/>
  <c r="AR185" i="5"/>
  <c r="AU185" i="5"/>
  <c r="AW185" i="5"/>
  <c r="D186" i="5"/>
  <c r="E186" i="5"/>
  <c r="F186" i="5"/>
  <c r="G186" i="5"/>
  <c r="I186" i="5"/>
  <c r="J186" i="5"/>
  <c r="K186" i="5"/>
  <c r="L186" i="5"/>
  <c r="M186" i="5"/>
  <c r="N186" i="5"/>
  <c r="O186" i="5"/>
  <c r="P186" i="5"/>
  <c r="Q186" i="5"/>
  <c r="R186" i="5"/>
  <c r="S186" i="5"/>
  <c r="T186" i="5"/>
  <c r="U186" i="5"/>
  <c r="V186" i="5"/>
  <c r="W186" i="5"/>
  <c r="X186" i="5"/>
  <c r="Y186" i="5"/>
  <c r="Z186" i="5"/>
  <c r="AA186" i="5"/>
  <c r="AB186" i="5"/>
  <c r="AC186" i="5"/>
  <c r="AD186" i="5"/>
  <c r="AE186" i="5"/>
  <c r="AF186" i="5"/>
  <c r="AG186" i="5"/>
  <c r="AH186" i="5"/>
  <c r="AI186" i="5"/>
  <c r="AJ186" i="5"/>
  <c r="AK186" i="5"/>
  <c r="AL186" i="5"/>
  <c r="AM186" i="5"/>
  <c r="AQ186" i="5"/>
  <c r="AR186" i="5"/>
  <c r="AU186" i="5"/>
  <c r="AW186" i="5"/>
  <c r="D187" i="5"/>
  <c r="E187" i="5"/>
  <c r="F187" i="5"/>
  <c r="G187" i="5"/>
  <c r="I187" i="5"/>
  <c r="J187" i="5"/>
  <c r="K187" i="5"/>
  <c r="L187" i="5"/>
  <c r="M187" i="5"/>
  <c r="N187" i="5"/>
  <c r="O187" i="5"/>
  <c r="P187" i="5"/>
  <c r="Q187" i="5"/>
  <c r="R187" i="5"/>
  <c r="S187" i="5"/>
  <c r="T187" i="5"/>
  <c r="U187" i="5"/>
  <c r="V187" i="5"/>
  <c r="W187" i="5"/>
  <c r="X187" i="5"/>
  <c r="Y187" i="5"/>
  <c r="Z187" i="5"/>
  <c r="AA187" i="5"/>
  <c r="AB187" i="5"/>
  <c r="AC187" i="5"/>
  <c r="AD187" i="5"/>
  <c r="AE187" i="5"/>
  <c r="AF187" i="5"/>
  <c r="AG187" i="5"/>
  <c r="AH187" i="5"/>
  <c r="AI187" i="5"/>
  <c r="AJ187" i="5"/>
  <c r="AK187" i="5"/>
  <c r="AL187" i="5"/>
  <c r="AM187" i="5"/>
  <c r="AQ187" i="5"/>
  <c r="AR187" i="5"/>
  <c r="AU187" i="5"/>
  <c r="AW187" i="5"/>
  <c r="D188" i="5"/>
  <c r="E188" i="5"/>
  <c r="F188" i="5"/>
  <c r="G188" i="5"/>
  <c r="I188" i="5"/>
  <c r="J188" i="5"/>
  <c r="K188" i="5"/>
  <c r="L188" i="5"/>
  <c r="M188" i="5"/>
  <c r="N188" i="5"/>
  <c r="O188" i="5"/>
  <c r="P188" i="5"/>
  <c r="Q188" i="5"/>
  <c r="R188" i="5"/>
  <c r="S188" i="5"/>
  <c r="T188" i="5"/>
  <c r="U188" i="5"/>
  <c r="V188" i="5"/>
  <c r="W188" i="5"/>
  <c r="X188" i="5"/>
  <c r="Y188" i="5"/>
  <c r="Z188" i="5"/>
  <c r="AA188" i="5"/>
  <c r="AB188" i="5"/>
  <c r="AC188" i="5"/>
  <c r="AD188" i="5"/>
  <c r="AE188" i="5"/>
  <c r="AF188" i="5"/>
  <c r="AG188" i="5"/>
  <c r="AH188" i="5"/>
  <c r="AI188" i="5"/>
  <c r="AJ188" i="5"/>
  <c r="AK188" i="5"/>
  <c r="AL188" i="5"/>
  <c r="AM188" i="5"/>
  <c r="AQ188" i="5"/>
  <c r="AR188" i="5"/>
  <c r="AU188" i="5"/>
  <c r="AW188" i="5"/>
  <c r="D189" i="5"/>
  <c r="E189" i="5"/>
  <c r="F189" i="5"/>
  <c r="G189" i="5"/>
  <c r="I189" i="5"/>
  <c r="J189" i="5"/>
  <c r="K189" i="5"/>
  <c r="L189" i="5"/>
  <c r="M189" i="5"/>
  <c r="N189" i="5"/>
  <c r="O189" i="5"/>
  <c r="P189" i="5"/>
  <c r="Q189" i="5"/>
  <c r="R189" i="5"/>
  <c r="S189" i="5"/>
  <c r="T189" i="5"/>
  <c r="U189" i="5"/>
  <c r="V189" i="5"/>
  <c r="W189" i="5"/>
  <c r="X189" i="5"/>
  <c r="Y189" i="5"/>
  <c r="Z189" i="5"/>
  <c r="AA189" i="5"/>
  <c r="AB189" i="5"/>
  <c r="AC189" i="5"/>
  <c r="AD189" i="5"/>
  <c r="AE189" i="5"/>
  <c r="AF189" i="5"/>
  <c r="AG189" i="5"/>
  <c r="AH189" i="5"/>
  <c r="AI189" i="5"/>
  <c r="AJ189" i="5"/>
  <c r="AK189" i="5"/>
  <c r="AL189" i="5"/>
  <c r="AM189" i="5"/>
  <c r="AQ189" i="5"/>
  <c r="AR189" i="5"/>
  <c r="AU189" i="5"/>
  <c r="AW189" i="5"/>
  <c r="D190" i="5"/>
  <c r="E190" i="5"/>
  <c r="F190" i="5"/>
  <c r="G190" i="5"/>
  <c r="I190" i="5"/>
  <c r="J190" i="5"/>
  <c r="K190" i="5"/>
  <c r="L190" i="5"/>
  <c r="M190" i="5"/>
  <c r="N190" i="5"/>
  <c r="O190" i="5"/>
  <c r="P190" i="5"/>
  <c r="Q190" i="5"/>
  <c r="R190" i="5"/>
  <c r="S190" i="5"/>
  <c r="T190" i="5"/>
  <c r="U190" i="5"/>
  <c r="V190" i="5"/>
  <c r="W190" i="5"/>
  <c r="X190" i="5"/>
  <c r="Y190" i="5"/>
  <c r="Z190" i="5"/>
  <c r="AA190" i="5"/>
  <c r="AB190" i="5"/>
  <c r="AC190" i="5"/>
  <c r="AD190" i="5"/>
  <c r="AE190" i="5"/>
  <c r="AF190" i="5"/>
  <c r="AG190" i="5"/>
  <c r="AH190" i="5"/>
  <c r="AI190" i="5"/>
  <c r="AJ190" i="5"/>
  <c r="AK190" i="5"/>
  <c r="AL190" i="5"/>
  <c r="AM190" i="5"/>
  <c r="AQ190" i="5"/>
  <c r="AR190" i="5"/>
  <c r="AU190" i="5"/>
  <c r="AW190" i="5"/>
  <c r="D191" i="5"/>
  <c r="E191" i="5"/>
  <c r="F191" i="5"/>
  <c r="G191" i="5"/>
  <c r="I191" i="5"/>
  <c r="J191" i="5"/>
  <c r="K191" i="5"/>
  <c r="L191" i="5"/>
  <c r="M191" i="5"/>
  <c r="N191" i="5"/>
  <c r="O191" i="5"/>
  <c r="P191" i="5"/>
  <c r="Q191" i="5"/>
  <c r="R191" i="5"/>
  <c r="S191" i="5"/>
  <c r="T191" i="5"/>
  <c r="U191" i="5"/>
  <c r="V191" i="5"/>
  <c r="W191" i="5"/>
  <c r="X191" i="5"/>
  <c r="Y191" i="5"/>
  <c r="Z191" i="5"/>
  <c r="AA191" i="5"/>
  <c r="AB191" i="5"/>
  <c r="AC191" i="5"/>
  <c r="AD191" i="5"/>
  <c r="AE191" i="5"/>
  <c r="AF191" i="5"/>
  <c r="AG191" i="5"/>
  <c r="AH191" i="5"/>
  <c r="AI191" i="5"/>
  <c r="AJ191" i="5"/>
  <c r="AK191" i="5"/>
  <c r="AL191" i="5"/>
  <c r="AM191" i="5"/>
  <c r="AQ191" i="5"/>
  <c r="AR191" i="5"/>
  <c r="AU191" i="5"/>
  <c r="AW191" i="5"/>
  <c r="D192" i="5"/>
  <c r="E192" i="5"/>
  <c r="F192" i="5"/>
  <c r="G192" i="5"/>
  <c r="I192" i="5"/>
  <c r="J192" i="5"/>
  <c r="K192" i="5"/>
  <c r="L192" i="5"/>
  <c r="M192" i="5"/>
  <c r="N192" i="5"/>
  <c r="O192" i="5"/>
  <c r="P192" i="5"/>
  <c r="Q192" i="5"/>
  <c r="R192" i="5"/>
  <c r="S192" i="5"/>
  <c r="T192" i="5"/>
  <c r="U192" i="5"/>
  <c r="V192" i="5"/>
  <c r="W192" i="5"/>
  <c r="X192" i="5"/>
  <c r="Y192" i="5"/>
  <c r="Z192" i="5"/>
  <c r="AA192" i="5"/>
  <c r="AB192" i="5"/>
  <c r="AC192" i="5"/>
  <c r="AD192" i="5"/>
  <c r="AE192" i="5"/>
  <c r="AF192" i="5"/>
  <c r="AG192" i="5"/>
  <c r="AH192" i="5"/>
  <c r="AI192" i="5"/>
  <c r="AJ192" i="5"/>
  <c r="AK192" i="5"/>
  <c r="AL192" i="5"/>
  <c r="AM192" i="5"/>
  <c r="AQ192" i="5"/>
  <c r="AR192" i="5"/>
  <c r="AU192" i="5"/>
  <c r="AW192" i="5"/>
  <c r="D193" i="5"/>
  <c r="E193" i="5"/>
  <c r="F193" i="5"/>
  <c r="G193" i="5"/>
  <c r="I193" i="5"/>
  <c r="J193" i="5"/>
  <c r="K193" i="5"/>
  <c r="L193" i="5"/>
  <c r="M193" i="5"/>
  <c r="N193" i="5"/>
  <c r="O193" i="5"/>
  <c r="P193" i="5"/>
  <c r="Q193" i="5"/>
  <c r="R193" i="5"/>
  <c r="S193" i="5"/>
  <c r="T193" i="5"/>
  <c r="U193" i="5"/>
  <c r="V193" i="5"/>
  <c r="W193" i="5"/>
  <c r="X193" i="5"/>
  <c r="Y193" i="5"/>
  <c r="Z193" i="5"/>
  <c r="AA193" i="5"/>
  <c r="AB193" i="5"/>
  <c r="AC193" i="5"/>
  <c r="AD193" i="5"/>
  <c r="AE193" i="5"/>
  <c r="AF193" i="5"/>
  <c r="AG193" i="5"/>
  <c r="AH193" i="5"/>
  <c r="AI193" i="5"/>
  <c r="AJ193" i="5"/>
  <c r="AK193" i="5"/>
  <c r="AL193" i="5"/>
  <c r="AM193" i="5"/>
  <c r="AQ193" i="5"/>
  <c r="AR193" i="5"/>
  <c r="AU193" i="5"/>
  <c r="AW193" i="5"/>
  <c r="D194" i="5"/>
  <c r="E194" i="5"/>
  <c r="F194" i="5"/>
  <c r="G194" i="5"/>
  <c r="I194" i="5"/>
  <c r="J194" i="5"/>
  <c r="K194" i="5"/>
  <c r="L194" i="5"/>
  <c r="M194" i="5"/>
  <c r="N194" i="5"/>
  <c r="O194" i="5"/>
  <c r="P194" i="5"/>
  <c r="Q194" i="5"/>
  <c r="R194" i="5"/>
  <c r="S194" i="5"/>
  <c r="T194" i="5"/>
  <c r="U194" i="5"/>
  <c r="V194" i="5"/>
  <c r="W194" i="5"/>
  <c r="X194" i="5"/>
  <c r="Y194" i="5"/>
  <c r="Z194" i="5"/>
  <c r="AA194" i="5"/>
  <c r="AB194" i="5"/>
  <c r="AC194" i="5"/>
  <c r="AD194" i="5"/>
  <c r="AE194" i="5"/>
  <c r="AF194" i="5"/>
  <c r="AG194" i="5"/>
  <c r="AH194" i="5"/>
  <c r="AI194" i="5"/>
  <c r="AJ194" i="5"/>
  <c r="AK194" i="5"/>
  <c r="AL194" i="5"/>
  <c r="AM194" i="5"/>
  <c r="AQ194" i="5"/>
  <c r="AR194" i="5"/>
  <c r="AU194" i="5"/>
  <c r="AW194" i="5"/>
  <c r="D195" i="5"/>
  <c r="E195" i="5"/>
  <c r="F195" i="5"/>
  <c r="G195" i="5"/>
  <c r="I195" i="5"/>
  <c r="J195" i="5"/>
  <c r="K195" i="5"/>
  <c r="L195" i="5"/>
  <c r="M195" i="5"/>
  <c r="N195" i="5"/>
  <c r="O195" i="5"/>
  <c r="P195" i="5"/>
  <c r="Q195" i="5"/>
  <c r="R195" i="5"/>
  <c r="S195" i="5"/>
  <c r="T195" i="5"/>
  <c r="U195" i="5"/>
  <c r="V195" i="5"/>
  <c r="W195" i="5"/>
  <c r="X195" i="5"/>
  <c r="Y195" i="5"/>
  <c r="Z195" i="5"/>
  <c r="AA195" i="5"/>
  <c r="AB195" i="5"/>
  <c r="AC195" i="5"/>
  <c r="AD195" i="5"/>
  <c r="AE195" i="5"/>
  <c r="AF195" i="5"/>
  <c r="AG195" i="5"/>
  <c r="AH195" i="5"/>
  <c r="AI195" i="5"/>
  <c r="AJ195" i="5"/>
  <c r="AK195" i="5"/>
  <c r="AL195" i="5"/>
  <c r="AM195" i="5"/>
  <c r="AQ195" i="5"/>
  <c r="AR195" i="5"/>
  <c r="AU195" i="5"/>
  <c r="AW195" i="5"/>
  <c r="D196" i="5"/>
  <c r="E196" i="5"/>
  <c r="F196" i="5"/>
  <c r="G196" i="5"/>
  <c r="I196" i="5"/>
  <c r="J196" i="5"/>
  <c r="K196" i="5"/>
  <c r="L196" i="5"/>
  <c r="M196" i="5"/>
  <c r="N196" i="5"/>
  <c r="O196" i="5"/>
  <c r="P196" i="5"/>
  <c r="Q196" i="5"/>
  <c r="R196" i="5"/>
  <c r="S196" i="5"/>
  <c r="T196" i="5"/>
  <c r="U196" i="5"/>
  <c r="V196" i="5"/>
  <c r="W196" i="5"/>
  <c r="X196" i="5"/>
  <c r="Y196" i="5"/>
  <c r="Z196" i="5"/>
  <c r="AA196" i="5"/>
  <c r="AB196" i="5"/>
  <c r="AC196" i="5"/>
  <c r="AD196" i="5"/>
  <c r="AE196" i="5"/>
  <c r="AF196" i="5"/>
  <c r="AG196" i="5"/>
  <c r="AH196" i="5"/>
  <c r="AI196" i="5"/>
  <c r="AJ196" i="5"/>
  <c r="AK196" i="5"/>
  <c r="AL196" i="5"/>
  <c r="AM196" i="5"/>
  <c r="AQ196" i="5"/>
  <c r="AR196" i="5"/>
  <c r="AU196" i="5"/>
  <c r="AW196" i="5"/>
  <c r="D197" i="5"/>
  <c r="E197" i="5"/>
  <c r="F197" i="5"/>
  <c r="G197" i="5"/>
  <c r="I197" i="5"/>
  <c r="J197" i="5"/>
  <c r="K197" i="5"/>
  <c r="L197" i="5"/>
  <c r="M197" i="5"/>
  <c r="N197" i="5"/>
  <c r="O197" i="5"/>
  <c r="P197" i="5"/>
  <c r="Q197" i="5"/>
  <c r="R197" i="5"/>
  <c r="S197" i="5"/>
  <c r="T197" i="5"/>
  <c r="U197" i="5"/>
  <c r="V197" i="5"/>
  <c r="W197" i="5"/>
  <c r="X197" i="5"/>
  <c r="Y197" i="5"/>
  <c r="Z197" i="5"/>
  <c r="AA197" i="5"/>
  <c r="AB197" i="5"/>
  <c r="AC197" i="5"/>
  <c r="AD197" i="5"/>
  <c r="AE197" i="5"/>
  <c r="AF197" i="5"/>
  <c r="AG197" i="5"/>
  <c r="AH197" i="5"/>
  <c r="AI197" i="5"/>
  <c r="AJ197" i="5"/>
  <c r="AK197" i="5"/>
  <c r="AL197" i="5"/>
  <c r="AM197" i="5"/>
  <c r="AQ197" i="5"/>
  <c r="AR197" i="5"/>
  <c r="AU197" i="5"/>
  <c r="AW197" i="5"/>
  <c r="D198" i="5"/>
  <c r="E198" i="5"/>
  <c r="F198" i="5"/>
  <c r="G198" i="5"/>
  <c r="I198" i="5"/>
  <c r="J198" i="5"/>
  <c r="K198" i="5"/>
  <c r="L198" i="5"/>
  <c r="M198" i="5"/>
  <c r="N198" i="5"/>
  <c r="O198" i="5"/>
  <c r="P198" i="5"/>
  <c r="Q198" i="5"/>
  <c r="R198" i="5"/>
  <c r="S198" i="5"/>
  <c r="T198" i="5"/>
  <c r="U198" i="5"/>
  <c r="V198" i="5"/>
  <c r="W198" i="5"/>
  <c r="X198" i="5"/>
  <c r="Y198" i="5"/>
  <c r="Z198" i="5"/>
  <c r="AA198" i="5"/>
  <c r="AB198" i="5"/>
  <c r="AC198" i="5"/>
  <c r="AD198" i="5"/>
  <c r="AE198" i="5"/>
  <c r="AF198" i="5"/>
  <c r="AG198" i="5"/>
  <c r="AH198" i="5"/>
  <c r="AI198" i="5"/>
  <c r="AJ198" i="5"/>
  <c r="AK198" i="5"/>
  <c r="AL198" i="5"/>
  <c r="AM198" i="5"/>
  <c r="AQ198" i="5"/>
  <c r="AR198" i="5"/>
  <c r="AU198" i="5"/>
  <c r="AW198" i="5"/>
  <c r="D199" i="5"/>
  <c r="E199" i="5"/>
  <c r="F199" i="5"/>
  <c r="G199" i="5"/>
  <c r="I199" i="5"/>
  <c r="J199" i="5"/>
  <c r="K199" i="5"/>
  <c r="L199" i="5"/>
  <c r="M199" i="5"/>
  <c r="N199" i="5"/>
  <c r="O199" i="5"/>
  <c r="P199" i="5"/>
  <c r="Q199" i="5"/>
  <c r="R199" i="5"/>
  <c r="S199" i="5"/>
  <c r="T199" i="5"/>
  <c r="U199" i="5"/>
  <c r="V199" i="5"/>
  <c r="W199" i="5"/>
  <c r="X199" i="5"/>
  <c r="Y199" i="5"/>
  <c r="Z199" i="5"/>
  <c r="AA199" i="5"/>
  <c r="AB199" i="5"/>
  <c r="AC199" i="5"/>
  <c r="AD199" i="5"/>
  <c r="AE199" i="5"/>
  <c r="AF199" i="5"/>
  <c r="AG199" i="5"/>
  <c r="AH199" i="5"/>
  <c r="AI199" i="5"/>
  <c r="AJ199" i="5"/>
  <c r="AK199" i="5"/>
  <c r="AL199" i="5"/>
  <c r="AM199" i="5"/>
  <c r="AQ199" i="5"/>
  <c r="AR199" i="5"/>
  <c r="AU199" i="5"/>
  <c r="AW199" i="5"/>
  <c r="D200" i="5"/>
  <c r="E200" i="5"/>
  <c r="F200" i="5"/>
  <c r="G200" i="5"/>
  <c r="I200" i="5"/>
  <c r="J200" i="5"/>
  <c r="K200" i="5"/>
  <c r="L200" i="5"/>
  <c r="M200" i="5"/>
  <c r="N200" i="5"/>
  <c r="O200" i="5"/>
  <c r="P200" i="5"/>
  <c r="Q200" i="5"/>
  <c r="R200" i="5"/>
  <c r="S200" i="5"/>
  <c r="T200" i="5"/>
  <c r="U200" i="5"/>
  <c r="V200" i="5"/>
  <c r="W200" i="5"/>
  <c r="X200" i="5"/>
  <c r="Y200" i="5"/>
  <c r="Z200" i="5"/>
  <c r="AA200" i="5"/>
  <c r="AB200" i="5"/>
  <c r="AC200" i="5"/>
  <c r="AD200" i="5"/>
  <c r="AE200" i="5"/>
  <c r="AF200" i="5"/>
  <c r="AG200" i="5"/>
  <c r="AH200" i="5"/>
  <c r="AI200" i="5"/>
  <c r="AJ200" i="5"/>
  <c r="AK200" i="5"/>
  <c r="AL200" i="5"/>
  <c r="AM200" i="5"/>
  <c r="AQ200" i="5"/>
  <c r="AR200" i="5"/>
  <c r="AU200" i="5"/>
  <c r="AW200" i="5"/>
  <c r="D201" i="5"/>
  <c r="E201" i="5"/>
  <c r="F201" i="5"/>
  <c r="G201" i="5"/>
  <c r="I201" i="5"/>
  <c r="J201" i="5"/>
  <c r="K201" i="5"/>
  <c r="L201" i="5"/>
  <c r="M201" i="5"/>
  <c r="N201" i="5"/>
  <c r="O201" i="5"/>
  <c r="P201" i="5"/>
  <c r="Q201" i="5"/>
  <c r="R201" i="5"/>
  <c r="S201" i="5"/>
  <c r="T201" i="5"/>
  <c r="U201" i="5"/>
  <c r="V201" i="5"/>
  <c r="W201" i="5"/>
  <c r="X201" i="5"/>
  <c r="Y201" i="5"/>
  <c r="Z201" i="5"/>
  <c r="AA201" i="5"/>
  <c r="AB201" i="5"/>
  <c r="AC201" i="5"/>
  <c r="AD201" i="5"/>
  <c r="AE201" i="5"/>
  <c r="AF201" i="5"/>
  <c r="AG201" i="5"/>
  <c r="AH201" i="5"/>
  <c r="AI201" i="5"/>
  <c r="AJ201" i="5"/>
  <c r="AK201" i="5"/>
  <c r="AL201" i="5"/>
  <c r="AM201" i="5"/>
  <c r="AQ201" i="5"/>
  <c r="AR201" i="5"/>
  <c r="AU201" i="5"/>
  <c r="AW201" i="5"/>
  <c r="AW66" i="5"/>
  <c r="S26" i="5" l="1"/>
  <c r="J15" i="5" l="1"/>
  <c r="T4" i="18" l="1"/>
  <c r="U4" i="18"/>
  <c r="V4" i="18"/>
  <c r="W4" i="18"/>
  <c r="X4" i="18"/>
  <c r="Y4" i="18"/>
  <c r="S4" i="18"/>
  <c r="AC4" i="22"/>
  <c r="AD4" i="22"/>
  <c r="AE4" i="22"/>
  <c r="W4" i="5"/>
  <c r="X4" i="5"/>
  <c r="Y4" i="5"/>
  <c r="Z4" i="5"/>
  <c r="AA4" i="5"/>
  <c r="AB4" i="5"/>
  <c r="AC4" i="5"/>
  <c r="AD4" i="5"/>
  <c r="AE4" i="5"/>
  <c r="V4" i="5"/>
  <c r="AD5" i="20"/>
  <c r="AC5" i="20"/>
  <c r="AC4" i="20"/>
  <c r="AD4" i="20"/>
  <c r="AE4" i="20"/>
  <c r="E6" i="5"/>
  <c r="F6" i="5"/>
  <c r="H6" i="5"/>
  <c r="C7" i="5"/>
  <c r="D7" i="5"/>
  <c r="E7" i="5"/>
  <c r="F7" i="5"/>
  <c r="G7" i="5"/>
  <c r="H7" i="5"/>
  <c r="C8" i="5"/>
  <c r="D8" i="5"/>
  <c r="E8" i="5"/>
  <c r="F8" i="5"/>
  <c r="G8" i="5"/>
  <c r="H8" i="5"/>
  <c r="C9" i="5"/>
  <c r="D9" i="5"/>
  <c r="E9" i="5"/>
  <c r="F9" i="5"/>
  <c r="G9" i="5"/>
  <c r="H9" i="5"/>
  <c r="C10" i="5"/>
  <c r="D10" i="5"/>
  <c r="E10" i="5"/>
  <c r="F10" i="5"/>
  <c r="G10" i="5"/>
  <c r="H10" i="5"/>
  <c r="B10" i="5"/>
  <c r="B9" i="5"/>
  <c r="B8" i="5"/>
  <c r="E41" i="5" l="1"/>
  <c r="B11" i="21" l="1"/>
  <c r="G5" i="8" l="1"/>
  <c r="G4" i="8"/>
  <c r="C5" i="8"/>
  <c r="C4" i="8"/>
  <c r="C3" i="8"/>
  <c r="G3" i="8"/>
  <c r="E43" i="5" l="1"/>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42" i="5"/>
  <c r="E10" i="21" l="1"/>
  <c r="G12" i="21" l="1"/>
  <c r="H3" i="21" l="1"/>
  <c r="H10" i="21" s="1"/>
  <c r="H11" i="21" s="1"/>
  <c r="B10" i="21"/>
  <c r="B14" i="20" l="1"/>
  <c r="C14" i="20"/>
  <c r="D14" i="20"/>
  <c r="D13" i="22"/>
  <c r="C13" i="22"/>
  <c r="B13" i="22"/>
  <c r="B16" i="18" l="1"/>
  <c r="F91" i="5" l="1"/>
  <c r="AW42" i="5" l="1"/>
  <c r="AW43" i="5"/>
  <c r="AW44" i="5"/>
  <c r="AW45" i="5"/>
  <c r="AW46" i="5"/>
  <c r="AW47" i="5"/>
  <c r="AW48" i="5"/>
  <c r="AW49" i="5"/>
  <c r="AW50" i="5"/>
  <c r="AW51" i="5"/>
  <c r="AW52" i="5"/>
  <c r="AW53" i="5"/>
  <c r="AW54" i="5"/>
  <c r="AW55" i="5"/>
  <c r="AW56" i="5"/>
  <c r="AW57" i="5"/>
  <c r="AW58" i="5"/>
  <c r="AW59" i="5"/>
  <c r="AW60" i="5"/>
  <c r="AW61" i="5"/>
  <c r="AW62" i="5"/>
  <c r="AW63" i="5"/>
  <c r="AW64" i="5"/>
  <c r="AW65" i="5"/>
  <c r="AW67" i="5"/>
  <c r="AW68" i="5"/>
  <c r="AW69" i="5"/>
  <c r="AW70" i="5"/>
  <c r="AW71" i="5"/>
  <c r="AW72" i="5"/>
  <c r="AW73" i="5"/>
  <c r="AW74" i="5"/>
  <c r="AW75" i="5"/>
  <c r="AW76" i="5"/>
  <c r="AW77" i="5"/>
  <c r="AW78" i="5"/>
  <c r="AW79" i="5"/>
  <c r="AW80" i="5"/>
  <c r="AW81" i="5"/>
  <c r="AW82" i="5"/>
  <c r="AW83" i="5"/>
  <c r="AW84" i="5"/>
  <c r="AW85" i="5"/>
  <c r="AW86" i="5"/>
  <c r="AW87" i="5"/>
  <c r="AW88" i="5"/>
  <c r="AW89" i="5"/>
  <c r="AW90" i="5"/>
  <c r="AW91" i="5"/>
  <c r="AU92" i="5"/>
  <c r="AW92" i="5"/>
  <c r="AU93" i="5"/>
  <c r="AW93" i="5"/>
  <c r="AU94" i="5"/>
  <c r="AW94" i="5"/>
  <c r="AU95" i="5"/>
  <c r="AW95" i="5"/>
  <c r="AU96" i="5"/>
  <c r="AW96" i="5"/>
  <c r="AU97" i="5"/>
  <c r="AW97" i="5"/>
  <c r="AU98" i="5"/>
  <c r="AW98" i="5"/>
  <c r="AU99" i="5"/>
  <c r="AW99" i="5"/>
  <c r="AU100" i="5"/>
  <c r="AW100" i="5"/>
  <c r="AU101" i="5"/>
  <c r="AW101" i="5"/>
  <c r="AU102" i="5"/>
  <c r="AW102" i="5"/>
  <c r="AU103" i="5"/>
  <c r="AW103" i="5"/>
  <c r="AU104" i="5"/>
  <c r="AW104" i="5"/>
  <c r="AU105" i="5"/>
  <c r="AW105" i="5"/>
  <c r="AU106" i="5"/>
  <c r="AW106" i="5"/>
  <c r="AU107" i="5"/>
  <c r="AW107" i="5"/>
  <c r="AU108" i="5"/>
  <c r="AW108" i="5"/>
  <c r="AU109" i="5"/>
  <c r="AW109" i="5"/>
  <c r="AU110" i="5"/>
  <c r="AW110" i="5"/>
  <c r="AU111" i="5"/>
  <c r="AW111" i="5"/>
  <c r="AW41" i="5"/>
  <c r="F42" i="5" l="1"/>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2" i="5"/>
  <c r="F93" i="5"/>
  <c r="F94" i="5"/>
  <c r="F95" i="5"/>
  <c r="F96" i="5"/>
  <c r="F97" i="5"/>
  <c r="F98" i="5"/>
  <c r="F99" i="5"/>
  <c r="F100" i="5"/>
  <c r="F101" i="5"/>
  <c r="F102" i="5"/>
  <c r="F103" i="5"/>
  <c r="F104" i="5"/>
  <c r="F105" i="5"/>
  <c r="F106" i="5"/>
  <c r="F107" i="5"/>
  <c r="F108" i="5"/>
  <c r="F109" i="5"/>
  <c r="F110" i="5"/>
  <c r="F111" i="5"/>
  <c r="F41" i="5"/>
  <c r="O33" i="5" l="1"/>
  <c r="O32" i="5"/>
  <c r="O34" i="5"/>
  <c r="D20" i="20"/>
  <c r="C20" i="20"/>
  <c r="B20" i="20"/>
  <c r="AG11" i="22"/>
  <c r="AH11" i="22"/>
  <c r="AI11" i="22"/>
  <c r="AG12" i="22"/>
  <c r="AH12" i="22"/>
  <c r="AI12" i="22"/>
  <c r="AG13" i="22"/>
  <c r="AH13" i="22"/>
  <c r="AI13" i="22"/>
  <c r="AG14" i="22"/>
  <c r="AH14" i="22"/>
  <c r="AI14" i="22"/>
  <c r="AK11" i="22"/>
  <c r="AL11" i="22"/>
  <c r="AM11" i="22"/>
  <c r="AK12" i="22"/>
  <c r="AL12" i="22"/>
  <c r="AM12" i="22"/>
  <c r="AK13" i="22"/>
  <c r="AL13" i="22"/>
  <c r="AM13" i="22"/>
  <c r="AK14" i="22"/>
  <c r="AL14" i="22"/>
  <c r="AM14" i="22"/>
  <c r="AJ14" i="22"/>
  <c r="AJ13" i="22"/>
  <c r="AJ12" i="22"/>
  <c r="AJ11" i="22"/>
  <c r="R40" i="22" l="1"/>
  <c r="Q40" i="22"/>
  <c r="P40" i="22"/>
  <c r="O40" i="22"/>
  <c r="N40" i="22"/>
  <c r="M40" i="22"/>
  <c r="L40" i="22"/>
  <c r="K40" i="22"/>
  <c r="J40" i="22"/>
  <c r="I40" i="22"/>
  <c r="B33" i="22" l="1"/>
  <c r="B31" i="22"/>
  <c r="D39" i="20" l="1"/>
  <c r="B39" i="20"/>
  <c r="L14" i="20" l="1"/>
  <c r="K14" i="20"/>
  <c r="H13" i="20"/>
  <c r="G13" i="20"/>
  <c r="F13" i="20"/>
  <c r="E13" i="20"/>
  <c r="D13" i="20"/>
  <c r="C13" i="20"/>
  <c r="B13" i="20"/>
  <c r="I13" i="20" l="1"/>
  <c r="J17" i="20" s="1"/>
  <c r="L17" i="20" s="1"/>
  <c r="E20" i="20"/>
  <c r="J20" i="20" s="1"/>
  <c r="L20" i="20" s="1"/>
  <c r="J19" i="20" l="1"/>
  <c r="L19" i="20" s="1"/>
  <c r="J16" i="20"/>
  <c r="L16" i="20" s="1"/>
  <c r="E35" i="22"/>
  <c r="E34" i="22"/>
  <c r="E33" i="22"/>
  <c r="E32" i="22"/>
  <c r="E31" i="22"/>
  <c r="D35" i="22"/>
  <c r="D34" i="22"/>
  <c r="D33" i="22"/>
  <c r="D32" i="22"/>
  <c r="V11" i="22"/>
  <c r="AB10" i="22"/>
  <c r="AA10" i="22"/>
  <c r="Z10" i="22"/>
  <c r="Y10" i="22"/>
  <c r="X10" i="22"/>
  <c r="W10" i="22"/>
  <c r="V10" i="22"/>
  <c r="AB9" i="22"/>
  <c r="AA9" i="22"/>
  <c r="Z9" i="22"/>
  <c r="Y9" i="22"/>
  <c r="X9" i="22"/>
  <c r="W9" i="22"/>
  <c r="V9" i="22"/>
  <c r="AB8" i="22"/>
  <c r="AA8" i="22"/>
  <c r="Z8" i="22"/>
  <c r="Y8" i="22"/>
  <c r="X8" i="22"/>
  <c r="W8" i="22"/>
  <c r="V8" i="22"/>
  <c r="AB7" i="22"/>
  <c r="AA7" i="22"/>
  <c r="Z7" i="22"/>
  <c r="X7" i="22"/>
  <c r="W7" i="22"/>
  <c r="AD6" i="22"/>
  <c r="AC6" i="22"/>
  <c r="AA6" i="22"/>
  <c r="X6" i="22"/>
  <c r="V6" i="22"/>
  <c r="V7" i="22" s="1"/>
  <c r="AE5" i="22"/>
  <c r="AE6" i="22" s="1"/>
  <c r="AD5" i="22"/>
  <c r="AC5" i="22"/>
  <c r="AB5" i="22"/>
  <c r="AB6" i="22" s="1"/>
  <c r="AA5" i="22"/>
  <c r="Z5" i="22"/>
  <c r="Z6" i="22" s="1"/>
  <c r="Y5" i="22"/>
  <c r="Y6" i="22" s="1"/>
  <c r="Y7" i="22" s="1"/>
  <c r="X5" i="22"/>
  <c r="W5" i="22"/>
  <c r="W6" i="22" s="1"/>
  <c r="V5" i="22"/>
  <c r="AB4" i="22"/>
  <c r="AA4" i="22"/>
  <c r="Z4" i="22"/>
  <c r="Y4" i="22"/>
  <c r="X4" i="22"/>
  <c r="W4" i="22"/>
  <c r="V4" i="22"/>
  <c r="AE3" i="22"/>
  <c r="AD3" i="22"/>
  <c r="AC3" i="22"/>
  <c r="AB3" i="22"/>
  <c r="AA3" i="22"/>
  <c r="Z3" i="22"/>
  <c r="Y3" i="22"/>
  <c r="X3" i="22"/>
  <c r="W3" i="22"/>
  <c r="V3" i="22"/>
  <c r="H16" i="22"/>
  <c r="D18" i="22"/>
  <c r="C18" i="22"/>
  <c r="B18" i="22"/>
  <c r="D17" i="22"/>
  <c r="C17" i="22"/>
  <c r="B17" i="22"/>
  <c r="H12" i="22"/>
  <c r="G12" i="22"/>
  <c r="F12" i="22"/>
  <c r="E12" i="22"/>
  <c r="D12" i="22"/>
  <c r="C12" i="22"/>
  <c r="B12" i="22"/>
  <c r="H11" i="22"/>
  <c r="G11" i="22"/>
  <c r="F11" i="22"/>
  <c r="E11" i="22"/>
  <c r="D11" i="22"/>
  <c r="C11" i="22"/>
  <c r="B11" i="22"/>
  <c r="H3" i="22"/>
  <c r="G3" i="22"/>
  <c r="F3" i="22"/>
  <c r="E3" i="22"/>
  <c r="D3" i="22"/>
  <c r="C3" i="22"/>
  <c r="B3" i="22"/>
  <c r="AM10" i="22"/>
  <c r="AL10" i="22"/>
  <c r="AK10" i="22"/>
  <c r="AJ10" i="22"/>
  <c r="AI10" i="22"/>
  <c r="AH10" i="22"/>
  <c r="AG10" i="22"/>
  <c r="AM9" i="22"/>
  <c r="AL9" i="22"/>
  <c r="AK9" i="22"/>
  <c r="AJ9" i="22"/>
  <c r="AI9" i="22"/>
  <c r="AH9" i="22"/>
  <c r="AG9" i="22"/>
  <c r="AM8" i="22"/>
  <c r="AL8" i="22"/>
  <c r="AK8" i="22"/>
  <c r="AJ8" i="22"/>
  <c r="AI8" i="22"/>
  <c r="AH8" i="22"/>
  <c r="AG8" i="22"/>
  <c r="AM7" i="22"/>
  <c r="AL7" i="22"/>
  <c r="AK7" i="22"/>
  <c r="AJ7" i="22"/>
  <c r="AI7" i="22"/>
  <c r="AH7" i="22"/>
  <c r="AG7" i="22"/>
  <c r="AM6" i="22"/>
  <c r="AL6" i="22"/>
  <c r="AK6" i="22"/>
  <c r="AJ6" i="22"/>
  <c r="AI6" i="22"/>
  <c r="AH6" i="22"/>
  <c r="AG6" i="22"/>
  <c r="AM5" i="22"/>
  <c r="AL5" i="22"/>
  <c r="AK5" i="22"/>
  <c r="AJ5" i="22"/>
  <c r="AI5" i="22"/>
  <c r="AH5" i="22"/>
  <c r="AG5" i="22"/>
  <c r="AM4" i="22"/>
  <c r="AL4" i="22"/>
  <c r="AK4" i="22"/>
  <c r="AJ4" i="22"/>
  <c r="AI4" i="22"/>
  <c r="AH4" i="22"/>
  <c r="AG4" i="22"/>
  <c r="AM3" i="22"/>
  <c r="AL3" i="22"/>
  <c r="AK3" i="22"/>
  <c r="AJ3" i="22"/>
  <c r="AI3" i="22"/>
  <c r="AH3" i="22"/>
  <c r="AG3" i="22"/>
  <c r="I12" i="22" l="1"/>
  <c r="E18" i="22"/>
  <c r="I11" i="22"/>
  <c r="E17" i="22"/>
  <c r="B32" i="22"/>
  <c r="C20" i="22"/>
  <c r="S37" i="14" l="1"/>
  <c r="R37" i="14"/>
  <c r="Q37" i="14"/>
  <c r="S36" i="14"/>
  <c r="R36" i="14"/>
  <c r="Q36" i="14"/>
  <c r="S35" i="14"/>
  <c r="R35" i="14"/>
  <c r="Q35" i="14"/>
  <c r="S34" i="14"/>
  <c r="R34" i="14"/>
  <c r="Q34" i="14"/>
  <c r="S33" i="14"/>
  <c r="R33" i="14"/>
  <c r="Q33" i="14"/>
  <c r="S32" i="14"/>
  <c r="R32" i="14"/>
  <c r="Q32" i="14"/>
  <c r="S31" i="14"/>
  <c r="R31" i="14"/>
  <c r="Q31" i="14"/>
  <c r="S30" i="14"/>
  <c r="R30" i="14"/>
  <c r="Q30" i="14"/>
  <c r="Q29" i="14"/>
  <c r="Q28" i="14"/>
  <c r="R28" i="14" s="1"/>
  <c r="S28" i="14" s="1"/>
  <c r="AJ92" i="5"/>
  <c r="AK92" i="5"/>
  <c r="AJ93" i="5"/>
  <c r="AK93" i="5"/>
  <c r="AJ94" i="5"/>
  <c r="AK94" i="5"/>
  <c r="AJ95" i="5"/>
  <c r="AK95" i="5"/>
  <c r="AJ96" i="5"/>
  <c r="AK96" i="5"/>
  <c r="AJ97" i="5"/>
  <c r="AK97" i="5"/>
  <c r="AJ98" i="5"/>
  <c r="AK98" i="5"/>
  <c r="AJ99" i="5"/>
  <c r="AK99" i="5"/>
  <c r="AJ100" i="5"/>
  <c r="AK100" i="5"/>
  <c r="AJ101" i="5"/>
  <c r="AK101" i="5"/>
  <c r="AJ102" i="5"/>
  <c r="AK102" i="5"/>
  <c r="AJ103" i="5"/>
  <c r="AK103" i="5"/>
  <c r="AJ104" i="5"/>
  <c r="AK104" i="5"/>
  <c r="AJ105" i="5"/>
  <c r="AK105" i="5"/>
  <c r="AJ106" i="5"/>
  <c r="AK106" i="5"/>
  <c r="AJ107" i="5"/>
  <c r="AK107" i="5"/>
  <c r="AJ108" i="5"/>
  <c r="AK108" i="5"/>
  <c r="AJ109" i="5"/>
  <c r="AK109" i="5"/>
  <c r="AJ110" i="5"/>
  <c r="AK110" i="5"/>
  <c r="AJ111" i="5"/>
  <c r="AK111" i="5"/>
  <c r="W22" i="18"/>
  <c r="AB12" i="18"/>
  <c r="AC12" i="18"/>
  <c r="AD12" i="18"/>
  <c r="AE12" i="18"/>
  <c r="AF12" i="18"/>
  <c r="AG12" i="18"/>
  <c r="AB11" i="18"/>
  <c r="AC11" i="18"/>
  <c r="AD11" i="18"/>
  <c r="AE11" i="18"/>
  <c r="AF11" i="18"/>
  <c r="AG11" i="18"/>
  <c r="AA12" i="18"/>
  <c r="AA11" i="18"/>
  <c r="G28" i="18"/>
  <c r="E4" i="21"/>
  <c r="E9" i="21"/>
  <c r="G9" i="21" s="1"/>
  <c r="H9" i="21" s="1"/>
  <c r="H51" i="18"/>
  <c r="G51" i="18"/>
  <c r="F51" i="18"/>
  <c r="E51" i="18"/>
  <c r="D51" i="18"/>
  <c r="C51" i="18"/>
  <c r="B51" i="18"/>
  <c r="H43" i="18"/>
  <c r="G43" i="18"/>
  <c r="F43" i="18"/>
  <c r="E43" i="18"/>
  <c r="D43" i="18"/>
  <c r="C43" i="18"/>
  <c r="B43" i="18"/>
  <c r="Q42" i="18"/>
  <c r="P42" i="18"/>
  <c r="O42" i="18"/>
  <c r="N42" i="18"/>
  <c r="M42" i="18"/>
  <c r="L42" i="18"/>
  <c r="K42" i="18"/>
  <c r="H42" i="18"/>
  <c r="F42" i="18"/>
  <c r="H41" i="18"/>
  <c r="G41" i="18"/>
  <c r="F41" i="18"/>
  <c r="E41" i="18"/>
  <c r="D41" i="18"/>
  <c r="C41" i="18"/>
  <c r="B41" i="18"/>
  <c r="I37" i="18"/>
  <c r="I34" i="18"/>
  <c r="Q33" i="18"/>
  <c r="P33" i="18"/>
  <c r="O33" i="18"/>
  <c r="N33" i="18"/>
  <c r="M33" i="18"/>
  <c r="L33" i="18"/>
  <c r="K33" i="18"/>
  <c r="H33" i="18"/>
  <c r="G33" i="18"/>
  <c r="F33" i="18"/>
  <c r="E33" i="18"/>
  <c r="D33" i="18"/>
  <c r="C33" i="18"/>
  <c r="B33" i="18"/>
  <c r="Q32" i="18"/>
  <c r="O32" i="18"/>
  <c r="H29" i="18"/>
  <c r="G29" i="18"/>
  <c r="F29" i="18"/>
  <c r="E29" i="18"/>
  <c r="D29" i="18"/>
  <c r="C29" i="18"/>
  <c r="B29" i="18"/>
  <c r="Y24" i="18"/>
  <c r="X24" i="18"/>
  <c r="W24" i="18"/>
  <c r="V24" i="18"/>
  <c r="U24" i="18"/>
  <c r="T24" i="18"/>
  <c r="S24" i="18"/>
  <c r="Q24" i="18"/>
  <c r="P24" i="18"/>
  <c r="O24" i="18"/>
  <c r="N24" i="18"/>
  <c r="M24" i="18"/>
  <c r="L24" i="18"/>
  <c r="K24" i="18"/>
  <c r="Y23" i="18"/>
  <c r="X23" i="18"/>
  <c r="W23" i="18"/>
  <c r="V23" i="18"/>
  <c r="U23" i="18"/>
  <c r="T23" i="18"/>
  <c r="S23" i="18"/>
  <c r="Q23" i="18"/>
  <c r="P23" i="18"/>
  <c r="O23" i="18"/>
  <c r="N23" i="18"/>
  <c r="M23" i="18"/>
  <c r="L23" i="18"/>
  <c r="K23" i="18"/>
  <c r="M22" i="18"/>
  <c r="R40" i="20"/>
  <c r="T14" i="5"/>
  <c r="B3" i="5"/>
  <c r="C3" i="5"/>
  <c r="D3" i="5"/>
  <c r="E3" i="5"/>
  <c r="F3" i="5"/>
  <c r="G3" i="5"/>
  <c r="H3" i="5"/>
  <c r="V3" i="5"/>
  <c r="W3" i="5"/>
  <c r="X3" i="5"/>
  <c r="Y3" i="5"/>
  <c r="Z3" i="5"/>
  <c r="AA3" i="5"/>
  <c r="AB3" i="5"/>
  <c r="AC3" i="5"/>
  <c r="AD3" i="5"/>
  <c r="AE3" i="5"/>
  <c r="AG3" i="5"/>
  <c r="AH3" i="5"/>
  <c r="AI3" i="5"/>
  <c r="AJ3" i="5"/>
  <c r="AK3" i="5"/>
  <c r="AL3" i="5"/>
  <c r="AM3" i="5"/>
  <c r="AG4" i="5"/>
  <c r="AH4" i="5"/>
  <c r="AI4" i="5"/>
  <c r="AJ4" i="5"/>
  <c r="AK4" i="5"/>
  <c r="AL4" i="5"/>
  <c r="AM4" i="5"/>
  <c r="V5" i="5"/>
  <c r="V6" i="5" s="1"/>
  <c r="V7" i="5" s="1"/>
  <c r="W5" i="5"/>
  <c r="X5" i="5"/>
  <c r="X6" i="5" s="1"/>
  <c r="Y5" i="5"/>
  <c r="Y6" i="5" s="1"/>
  <c r="Y7" i="5" s="1"/>
  <c r="Y8" i="5" s="1"/>
  <c r="Y9" i="5" s="1"/>
  <c r="Y10" i="5" s="1"/>
  <c r="Z5" i="5"/>
  <c r="Z6" i="5" s="1"/>
  <c r="Z7" i="5" s="1"/>
  <c r="AA5" i="5"/>
  <c r="AA6" i="5" s="1"/>
  <c r="AB5" i="5"/>
  <c r="AC5" i="5"/>
  <c r="AD5" i="5"/>
  <c r="AE5" i="5"/>
  <c r="AE6" i="5" s="1"/>
  <c r="AG5" i="5"/>
  <c r="AH5" i="5"/>
  <c r="AI5" i="5"/>
  <c r="AJ5" i="5"/>
  <c r="AK5" i="5"/>
  <c r="AL5" i="5"/>
  <c r="AM5" i="5"/>
  <c r="AB6" i="5"/>
  <c r="AC6" i="5"/>
  <c r="AD6" i="5"/>
  <c r="AG6" i="5"/>
  <c r="AH6" i="5"/>
  <c r="AI6" i="5"/>
  <c r="AJ6" i="5"/>
  <c r="AK6" i="5"/>
  <c r="AL6" i="5"/>
  <c r="AM6" i="5"/>
  <c r="X7" i="5"/>
  <c r="AA7" i="5"/>
  <c r="AB7" i="5"/>
  <c r="AG7" i="5"/>
  <c r="AH7" i="5"/>
  <c r="AI7" i="5"/>
  <c r="AJ7" i="5"/>
  <c r="AK7" i="5"/>
  <c r="AL7" i="5"/>
  <c r="AM7" i="5"/>
  <c r="V8" i="5"/>
  <c r="W8" i="5"/>
  <c r="X8" i="5"/>
  <c r="Z8" i="5"/>
  <c r="AA8" i="5"/>
  <c r="AB8" i="5"/>
  <c r="AG8" i="5"/>
  <c r="AH8" i="5"/>
  <c r="AI8" i="5"/>
  <c r="AJ8" i="5"/>
  <c r="AK8" i="5"/>
  <c r="AL8" i="5"/>
  <c r="AM8" i="5"/>
  <c r="V9" i="5"/>
  <c r="W9" i="5"/>
  <c r="X9" i="5"/>
  <c r="Z9" i="5"/>
  <c r="AA9" i="5"/>
  <c r="AB9" i="5"/>
  <c r="AC9" i="5"/>
  <c r="AC21" i="5" s="1"/>
  <c r="AG9" i="5"/>
  <c r="AH9" i="5"/>
  <c r="AI9" i="5"/>
  <c r="AJ9" i="5"/>
  <c r="AK9" i="5"/>
  <c r="AL9" i="5"/>
  <c r="AM9" i="5"/>
  <c r="V10" i="5"/>
  <c r="W10" i="5"/>
  <c r="X10" i="5"/>
  <c r="Z10" i="5"/>
  <c r="AA10" i="5"/>
  <c r="AB10" i="5"/>
  <c r="AG10" i="5"/>
  <c r="AH10" i="5"/>
  <c r="AI10" i="5"/>
  <c r="AJ10" i="5"/>
  <c r="AK10" i="5"/>
  <c r="AL10" i="5"/>
  <c r="AM10" i="5"/>
  <c r="I11" i="5"/>
  <c r="AB13" i="5"/>
  <c r="B14" i="5"/>
  <c r="C14" i="5"/>
  <c r="D14" i="5"/>
  <c r="S14" i="5"/>
  <c r="X14" i="5"/>
  <c r="AA14" i="5"/>
  <c r="AB14" i="5"/>
  <c r="T18" i="5"/>
  <c r="V15" i="5"/>
  <c r="W15" i="5"/>
  <c r="X15" i="5"/>
  <c r="Z15" i="5"/>
  <c r="AA15" i="5"/>
  <c r="AB15" i="5"/>
  <c r="G16" i="5"/>
  <c r="L72" i="5" s="1"/>
  <c r="V16" i="5"/>
  <c r="W16" i="5"/>
  <c r="X16" i="5"/>
  <c r="Z16" i="5"/>
  <c r="AA16" i="5"/>
  <c r="AB16" i="5"/>
  <c r="V17" i="5"/>
  <c r="W17" i="5"/>
  <c r="X17" i="5"/>
  <c r="Z17" i="5"/>
  <c r="AA17" i="5"/>
  <c r="AB17" i="5"/>
  <c r="B18" i="5"/>
  <c r="C18" i="5"/>
  <c r="D18" i="5"/>
  <c r="B19" i="5"/>
  <c r="C19" i="5"/>
  <c r="D19" i="5"/>
  <c r="T19" i="5"/>
  <c r="M40" i="5"/>
  <c r="N40" i="5"/>
  <c r="O40" i="5"/>
  <c r="P40" i="5"/>
  <c r="Q40" i="5"/>
  <c r="R40" i="5"/>
  <c r="S40" i="5"/>
  <c r="T40" i="5"/>
  <c r="U40" i="5"/>
  <c r="V40" i="5"/>
  <c r="W40" i="5"/>
  <c r="X40" i="5"/>
  <c r="Y40" i="5"/>
  <c r="Z40" i="5"/>
  <c r="AA40" i="5"/>
  <c r="AB40" i="5"/>
  <c r="AC40" i="5"/>
  <c r="AD40" i="5"/>
  <c r="AE40" i="5"/>
  <c r="AF40" i="5"/>
  <c r="AG40" i="5"/>
  <c r="AH40" i="5"/>
  <c r="AI40" i="5"/>
  <c r="AJ40" i="5"/>
  <c r="AK40" i="5"/>
  <c r="AL40" i="5"/>
  <c r="AM40" i="5"/>
  <c r="AN40" i="5"/>
  <c r="AO40" i="5"/>
  <c r="AP40" i="5"/>
  <c r="E5" i="21"/>
  <c r="E6" i="21"/>
  <c r="E7" i="21"/>
  <c r="G7" i="21" s="1"/>
  <c r="H7" i="21" s="1"/>
  <c r="B6" i="21"/>
  <c r="E8" i="21"/>
  <c r="G8" i="21" s="1"/>
  <c r="H8" i="21" s="1"/>
  <c r="C3" i="20"/>
  <c r="D3" i="20"/>
  <c r="E3" i="20"/>
  <c r="F3" i="20"/>
  <c r="G3" i="20"/>
  <c r="H3" i="20"/>
  <c r="V3" i="20"/>
  <c r="W3" i="20"/>
  <c r="X3" i="20"/>
  <c r="Y3" i="20"/>
  <c r="Z3" i="20"/>
  <c r="AA3" i="20"/>
  <c r="AB3" i="20"/>
  <c r="AC3" i="20"/>
  <c r="AD3" i="20"/>
  <c r="AE3" i="20"/>
  <c r="AG3" i="20"/>
  <c r="AH3" i="20"/>
  <c r="AI3" i="20"/>
  <c r="AJ3" i="20"/>
  <c r="AK3" i="20"/>
  <c r="AL3" i="20"/>
  <c r="AM3" i="20"/>
  <c r="V4" i="20"/>
  <c r="W4" i="20"/>
  <c r="X4" i="20"/>
  <c r="Y4" i="20"/>
  <c r="Z4" i="20"/>
  <c r="AA4" i="20"/>
  <c r="AB4" i="20"/>
  <c r="AG4" i="20"/>
  <c r="AH4" i="20"/>
  <c r="AI4" i="20"/>
  <c r="AJ4" i="20"/>
  <c r="AK4" i="20"/>
  <c r="AL4" i="20"/>
  <c r="AM4" i="20"/>
  <c r="V5" i="20"/>
  <c r="V6" i="20" s="1"/>
  <c r="V7" i="20" s="1"/>
  <c r="V8" i="20" s="1"/>
  <c r="V9" i="20" s="1"/>
  <c r="V10" i="20" s="1"/>
  <c r="W5" i="20"/>
  <c r="W6" i="20" s="1"/>
  <c r="W7" i="20" s="1"/>
  <c r="X5" i="20"/>
  <c r="X6" i="20" s="1"/>
  <c r="X7" i="20" s="1"/>
  <c r="Y5" i="20"/>
  <c r="Z5" i="20"/>
  <c r="AA5" i="20"/>
  <c r="AB5" i="20"/>
  <c r="AB6" i="20" s="1"/>
  <c r="AE5" i="20"/>
  <c r="AE6" i="20" s="1"/>
  <c r="AG5" i="20"/>
  <c r="AH5" i="20"/>
  <c r="AI5" i="20"/>
  <c r="AJ5" i="20"/>
  <c r="AK5" i="20"/>
  <c r="AL5" i="20"/>
  <c r="AM5" i="20"/>
  <c r="Y6" i="20"/>
  <c r="Z6" i="20"/>
  <c r="AA6" i="20"/>
  <c r="AC6" i="20"/>
  <c r="AD6" i="20"/>
  <c r="AG6" i="20"/>
  <c r="AH6" i="20"/>
  <c r="AI6" i="20"/>
  <c r="AJ6" i="20"/>
  <c r="AK6" i="20"/>
  <c r="AL6" i="20"/>
  <c r="AM6" i="20"/>
  <c r="Y7" i="20"/>
  <c r="Z7" i="20"/>
  <c r="AA7" i="20"/>
  <c r="AB7" i="20"/>
  <c r="AG7" i="20"/>
  <c r="AH7" i="20"/>
  <c r="AI7" i="20"/>
  <c r="AJ7" i="20"/>
  <c r="AK7" i="20"/>
  <c r="AL7" i="20"/>
  <c r="AM7" i="20"/>
  <c r="W8" i="20"/>
  <c r="W9" i="20"/>
  <c r="X8" i="20"/>
  <c r="Y8" i="20"/>
  <c r="Z8" i="20"/>
  <c r="AA8" i="20"/>
  <c r="AB8" i="20"/>
  <c r="AG8" i="20"/>
  <c r="AH8" i="20"/>
  <c r="AI8" i="20"/>
  <c r="AJ8" i="20"/>
  <c r="AK8" i="20"/>
  <c r="AL8" i="20"/>
  <c r="AM8" i="20"/>
  <c r="X9" i="20"/>
  <c r="Y9" i="20"/>
  <c r="Z9" i="20"/>
  <c r="AA9" i="20"/>
  <c r="AB9" i="20"/>
  <c r="AG9" i="20"/>
  <c r="AH9" i="20"/>
  <c r="AI9" i="20"/>
  <c r="AJ9" i="20"/>
  <c r="AK9" i="20"/>
  <c r="AL9" i="20"/>
  <c r="AM9" i="20"/>
  <c r="W10" i="20"/>
  <c r="X10" i="20"/>
  <c r="Y10" i="20"/>
  <c r="Z10" i="20"/>
  <c r="AA10" i="20"/>
  <c r="AB10" i="20"/>
  <c r="AG10" i="20"/>
  <c r="AH10" i="20"/>
  <c r="AI10" i="20"/>
  <c r="AJ10" i="20"/>
  <c r="AK10" i="20"/>
  <c r="AL10" i="20"/>
  <c r="AM10" i="20"/>
  <c r="B11" i="20"/>
  <c r="C11" i="20"/>
  <c r="D11" i="20"/>
  <c r="E11" i="20"/>
  <c r="F11" i="20"/>
  <c r="G11" i="20"/>
  <c r="H11" i="20"/>
  <c r="V11" i="20"/>
  <c r="B12" i="20"/>
  <c r="C12" i="20"/>
  <c r="D12" i="20"/>
  <c r="E12" i="20"/>
  <c r="F12" i="20"/>
  <c r="G12" i="20"/>
  <c r="H12" i="20"/>
  <c r="B18" i="20"/>
  <c r="C18" i="20"/>
  <c r="D18" i="20"/>
  <c r="B19" i="20"/>
  <c r="C19" i="20"/>
  <c r="D19" i="20"/>
  <c r="I40" i="20"/>
  <c r="J40" i="20"/>
  <c r="K40" i="20"/>
  <c r="L40" i="20"/>
  <c r="M40" i="20"/>
  <c r="N40" i="20"/>
  <c r="O40" i="20"/>
  <c r="P40" i="20"/>
  <c r="Q40" i="20"/>
  <c r="B3" i="18"/>
  <c r="C3" i="18"/>
  <c r="D3" i="18"/>
  <c r="E3" i="18"/>
  <c r="F3" i="18"/>
  <c r="G3" i="18"/>
  <c r="H3" i="18"/>
  <c r="S3" i="18"/>
  <c r="T3" i="18"/>
  <c r="U3" i="18"/>
  <c r="V3" i="18"/>
  <c r="W3" i="18"/>
  <c r="X3" i="18"/>
  <c r="Y3" i="18"/>
  <c r="AA3" i="18"/>
  <c r="AB3" i="18"/>
  <c r="AC3" i="18"/>
  <c r="AD3" i="18"/>
  <c r="AE3" i="18"/>
  <c r="AF3" i="18"/>
  <c r="AG3" i="18"/>
  <c r="AA4" i="18"/>
  <c r="AB4" i="18"/>
  <c r="AC4" i="18"/>
  <c r="AD4" i="18"/>
  <c r="AE4" i="18"/>
  <c r="AF4" i="18"/>
  <c r="AG4" i="18"/>
  <c r="S5" i="18"/>
  <c r="S6" i="18" s="1"/>
  <c r="S7" i="18" s="1"/>
  <c r="T5" i="18"/>
  <c r="U5" i="18"/>
  <c r="V5" i="18"/>
  <c r="V6" i="18" s="1"/>
  <c r="W5" i="18"/>
  <c r="X5" i="18"/>
  <c r="Y5" i="18"/>
  <c r="Y6" i="18" s="1"/>
  <c r="Y7" i="18" s="1"/>
  <c r="Y8" i="18" s="1"/>
  <c r="Y9" i="18" s="1"/>
  <c r="Y10" i="18" s="1"/>
  <c r="AA5" i="18"/>
  <c r="AB5" i="18"/>
  <c r="AC5" i="18"/>
  <c r="AD5" i="18"/>
  <c r="AE5" i="18"/>
  <c r="AF5" i="18"/>
  <c r="AG5" i="18"/>
  <c r="T6" i="18"/>
  <c r="T7" i="18"/>
  <c r="U6" i="18"/>
  <c r="U7" i="18" s="1"/>
  <c r="W6" i="18"/>
  <c r="X6" i="18"/>
  <c r="AA6" i="18"/>
  <c r="AB6" i="18"/>
  <c r="AC6" i="18"/>
  <c r="AD6" i="18"/>
  <c r="AE6" i="18"/>
  <c r="AF6" i="18"/>
  <c r="AG6" i="18"/>
  <c r="V7" i="18"/>
  <c r="V8" i="18" s="1"/>
  <c r="V9" i="18" s="1"/>
  <c r="V10" i="18" s="1"/>
  <c r="W7" i="18"/>
  <c r="X7" i="18"/>
  <c r="AA7" i="18"/>
  <c r="AB7" i="18"/>
  <c r="AC7" i="18"/>
  <c r="AD7" i="18"/>
  <c r="AE7" i="18"/>
  <c r="AF7" i="18"/>
  <c r="AG7" i="18"/>
  <c r="S8" i="18"/>
  <c r="T8" i="18"/>
  <c r="U8" i="18"/>
  <c r="W8" i="18"/>
  <c r="X8" i="18"/>
  <c r="AA8" i="18"/>
  <c r="AB8" i="18"/>
  <c r="AC8" i="18"/>
  <c r="AD8" i="18"/>
  <c r="AE8" i="18"/>
  <c r="AF8" i="18"/>
  <c r="AG8" i="18"/>
  <c r="S9" i="18"/>
  <c r="T9" i="18"/>
  <c r="U9" i="18"/>
  <c r="W9" i="18"/>
  <c r="X9" i="18"/>
  <c r="AA9" i="18"/>
  <c r="AB9" i="18"/>
  <c r="AC9" i="18"/>
  <c r="AD9" i="18"/>
  <c r="AE9" i="18"/>
  <c r="AF9" i="18"/>
  <c r="AG9" i="18"/>
  <c r="S10" i="18"/>
  <c r="T10" i="18"/>
  <c r="U10" i="18"/>
  <c r="W10" i="18"/>
  <c r="X10" i="18"/>
  <c r="AA10" i="18"/>
  <c r="AB10" i="18"/>
  <c r="AC10" i="18"/>
  <c r="AD10" i="18"/>
  <c r="AE10" i="18"/>
  <c r="AF10" i="18"/>
  <c r="AG10" i="18"/>
  <c r="B11" i="18"/>
  <c r="C11" i="18"/>
  <c r="D11" i="18"/>
  <c r="E11" i="18"/>
  <c r="F11" i="18"/>
  <c r="G11" i="18"/>
  <c r="H11" i="18"/>
  <c r="S11" i="18"/>
  <c r="B12" i="18"/>
  <c r="C12" i="18"/>
  <c r="D12" i="18"/>
  <c r="E12" i="18"/>
  <c r="F12" i="18"/>
  <c r="G12" i="18"/>
  <c r="H12" i="18"/>
  <c r="B13" i="18"/>
  <c r="C13" i="18"/>
  <c r="D13" i="18"/>
  <c r="E13" i="18"/>
  <c r="F13" i="18"/>
  <c r="G13" i="18"/>
  <c r="H13" i="18"/>
  <c r="B14" i="18"/>
  <c r="C14" i="18"/>
  <c r="D14" i="18"/>
  <c r="E14" i="18"/>
  <c r="F14" i="18"/>
  <c r="G14" i="18"/>
  <c r="H14" i="18"/>
  <c r="C16" i="18"/>
  <c r="D16" i="18"/>
  <c r="E16" i="18"/>
  <c r="F16" i="18"/>
  <c r="G16" i="18"/>
  <c r="H16" i="18"/>
  <c r="AP118" i="5" l="1"/>
  <c r="AP126" i="5"/>
  <c r="AP134" i="5"/>
  <c r="AP142" i="5"/>
  <c r="AP150" i="5"/>
  <c r="AP158" i="5"/>
  <c r="AP166" i="5"/>
  <c r="AP174" i="5"/>
  <c r="AP182" i="5"/>
  <c r="AP190" i="5"/>
  <c r="AP198" i="5"/>
  <c r="AP135" i="5"/>
  <c r="AP175" i="5"/>
  <c r="AP138" i="5"/>
  <c r="AP146" i="5"/>
  <c r="AP162" i="5"/>
  <c r="AP178" i="5"/>
  <c r="AP113" i="5"/>
  <c r="AP121" i="5"/>
  <c r="AP129" i="5"/>
  <c r="AP137" i="5"/>
  <c r="AP145" i="5"/>
  <c r="AP153" i="5"/>
  <c r="AP161" i="5"/>
  <c r="AP169" i="5"/>
  <c r="AP177" i="5"/>
  <c r="AP185" i="5"/>
  <c r="AP193" i="5"/>
  <c r="AP201" i="5"/>
  <c r="AP196" i="5"/>
  <c r="AP127" i="5"/>
  <c r="AP143" i="5"/>
  <c r="AP167" i="5"/>
  <c r="AP191" i="5"/>
  <c r="AP114" i="5"/>
  <c r="AP170" i="5"/>
  <c r="AP194" i="5"/>
  <c r="AP116" i="5"/>
  <c r="AP124" i="5"/>
  <c r="AP132" i="5"/>
  <c r="AP140" i="5"/>
  <c r="AP148" i="5"/>
  <c r="AP156" i="5"/>
  <c r="AP164" i="5"/>
  <c r="AP172" i="5"/>
  <c r="AP180" i="5"/>
  <c r="AP188" i="5"/>
  <c r="AP119" i="5"/>
  <c r="AP151" i="5"/>
  <c r="AP159" i="5"/>
  <c r="AP154" i="5"/>
  <c r="AP117" i="5"/>
  <c r="AP125" i="5"/>
  <c r="AP133" i="5"/>
  <c r="AP141" i="5"/>
  <c r="AP149" i="5"/>
  <c r="AP157" i="5"/>
  <c r="AP165" i="5"/>
  <c r="AP173" i="5"/>
  <c r="AP181" i="5"/>
  <c r="AP189" i="5"/>
  <c r="AP197" i="5"/>
  <c r="AP200" i="5"/>
  <c r="AP187" i="5"/>
  <c r="AP199" i="5"/>
  <c r="AP130" i="5"/>
  <c r="AP112" i="5"/>
  <c r="AP120" i="5"/>
  <c r="AP128" i="5"/>
  <c r="AP136" i="5"/>
  <c r="AP144" i="5"/>
  <c r="AP152" i="5"/>
  <c r="AP160" i="5"/>
  <c r="AP168" i="5"/>
  <c r="AP176" i="5"/>
  <c r="AP184" i="5"/>
  <c r="AP192" i="5"/>
  <c r="AP183" i="5"/>
  <c r="AP115" i="5"/>
  <c r="AP123" i="5"/>
  <c r="AP131" i="5"/>
  <c r="AP139" i="5"/>
  <c r="AP147" i="5"/>
  <c r="AP155" i="5"/>
  <c r="AP163" i="5"/>
  <c r="AP171" i="5"/>
  <c r="AP179" i="5"/>
  <c r="AP195" i="5"/>
  <c r="AP122" i="5"/>
  <c r="AP186" i="5"/>
  <c r="AO113" i="5"/>
  <c r="AO121" i="5"/>
  <c r="AO129" i="5"/>
  <c r="AO137" i="5"/>
  <c r="AO145" i="5"/>
  <c r="AO153" i="5"/>
  <c r="AO161" i="5"/>
  <c r="AO169" i="5"/>
  <c r="AO177" i="5"/>
  <c r="AO185" i="5"/>
  <c r="AO193" i="5"/>
  <c r="AO201" i="5"/>
  <c r="AO122" i="5"/>
  <c r="AO130" i="5"/>
  <c r="AO138" i="5"/>
  <c r="AO162" i="5"/>
  <c r="AO170" i="5"/>
  <c r="AO116" i="5"/>
  <c r="AO124" i="5"/>
  <c r="AO132" i="5"/>
  <c r="AO140" i="5"/>
  <c r="AO148" i="5"/>
  <c r="AO156" i="5"/>
  <c r="AO164" i="5"/>
  <c r="AO172" i="5"/>
  <c r="AO180" i="5"/>
  <c r="AO188" i="5"/>
  <c r="AO196" i="5"/>
  <c r="AO146" i="5"/>
  <c r="AO141" i="5"/>
  <c r="AO119" i="5"/>
  <c r="AO127" i="5"/>
  <c r="AO135" i="5"/>
  <c r="AO143" i="5"/>
  <c r="AO151" i="5"/>
  <c r="AO159" i="5"/>
  <c r="AO167" i="5"/>
  <c r="AO175" i="5"/>
  <c r="AO183" i="5"/>
  <c r="AO191" i="5"/>
  <c r="AO199" i="5"/>
  <c r="AO114" i="5"/>
  <c r="AO154" i="5"/>
  <c r="AO194" i="5"/>
  <c r="AO133" i="5"/>
  <c r="AO189" i="5"/>
  <c r="AO112" i="5"/>
  <c r="AO120" i="5"/>
  <c r="AO128" i="5"/>
  <c r="AO136" i="5"/>
  <c r="AO144" i="5"/>
  <c r="AO152" i="5"/>
  <c r="AO160" i="5"/>
  <c r="AO168" i="5"/>
  <c r="AO176" i="5"/>
  <c r="AO184" i="5"/>
  <c r="AO192" i="5"/>
  <c r="AO200" i="5"/>
  <c r="AO190" i="5"/>
  <c r="AO117" i="5"/>
  <c r="AO157" i="5"/>
  <c r="AO165" i="5"/>
  <c r="AO197" i="5"/>
  <c r="AO115" i="5"/>
  <c r="AO123" i="5"/>
  <c r="AO131" i="5"/>
  <c r="AO139" i="5"/>
  <c r="AO147" i="5"/>
  <c r="AO155" i="5"/>
  <c r="AO163" i="5"/>
  <c r="AO171" i="5"/>
  <c r="AO179" i="5"/>
  <c r="AO187" i="5"/>
  <c r="AO195" i="5"/>
  <c r="AO174" i="5"/>
  <c r="AO178" i="5"/>
  <c r="AO186" i="5"/>
  <c r="AO118" i="5"/>
  <c r="AO126" i="5"/>
  <c r="AO134" i="5"/>
  <c r="AO142" i="5"/>
  <c r="AO150" i="5"/>
  <c r="AO158" i="5"/>
  <c r="AO166" i="5"/>
  <c r="AO182" i="5"/>
  <c r="AO198" i="5"/>
  <c r="AO125" i="5"/>
  <c r="AO149" i="5"/>
  <c r="AO173" i="5"/>
  <c r="AO181" i="5"/>
  <c r="AN116" i="5"/>
  <c r="AN124" i="5"/>
  <c r="AN132" i="5"/>
  <c r="AN140" i="5"/>
  <c r="AN148" i="5"/>
  <c r="AN156" i="5"/>
  <c r="AN164" i="5"/>
  <c r="AN172" i="5"/>
  <c r="AN180" i="5"/>
  <c r="AN188" i="5"/>
  <c r="AN196" i="5"/>
  <c r="AN117" i="5"/>
  <c r="AN125" i="5"/>
  <c r="AN141" i="5"/>
  <c r="AN157" i="5"/>
  <c r="AN119" i="5"/>
  <c r="AN127" i="5"/>
  <c r="AN135" i="5"/>
  <c r="AN143" i="5"/>
  <c r="AN151" i="5"/>
  <c r="AN159" i="5"/>
  <c r="AN167" i="5"/>
  <c r="AN175" i="5"/>
  <c r="AN183" i="5"/>
  <c r="AN191" i="5"/>
  <c r="AN199" i="5"/>
  <c r="AN133" i="5"/>
  <c r="AN128" i="5"/>
  <c r="AN136" i="5"/>
  <c r="AN114" i="5"/>
  <c r="AN122" i="5"/>
  <c r="AN130" i="5"/>
  <c r="AN138" i="5"/>
  <c r="AN146" i="5"/>
  <c r="AN154" i="5"/>
  <c r="AN162" i="5"/>
  <c r="AN170" i="5"/>
  <c r="AN178" i="5"/>
  <c r="AN186" i="5"/>
  <c r="AN194" i="5"/>
  <c r="AN149" i="5"/>
  <c r="AN165" i="5"/>
  <c r="AN173" i="5"/>
  <c r="AN181" i="5"/>
  <c r="AN112" i="5"/>
  <c r="AN168" i="5"/>
  <c r="AN115" i="5"/>
  <c r="AN123" i="5"/>
  <c r="AN131" i="5"/>
  <c r="AN139" i="5"/>
  <c r="AN147" i="5"/>
  <c r="AN155" i="5"/>
  <c r="AN163" i="5"/>
  <c r="AN171" i="5"/>
  <c r="AN179" i="5"/>
  <c r="AN187" i="5"/>
  <c r="AN195" i="5"/>
  <c r="AN198" i="5"/>
  <c r="AN185" i="5"/>
  <c r="AN201" i="5"/>
  <c r="AN120" i="5"/>
  <c r="AN152" i="5"/>
  <c r="AN160" i="5"/>
  <c r="AN176" i="5"/>
  <c r="AN118" i="5"/>
  <c r="AN126" i="5"/>
  <c r="AN134" i="5"/>
  <c r="AN142" i="5"/>
  <c r="AN150" i="5"/>
  <c r="AN158" i="5"/>
  <c r="AN166" i="5"/>
  <c r="AN174" i="5"/>
  <c r="AN182" i="5"/>
  <c r="AN190" i="5"/>
  <c r="AN177" i="5"/>
  <c r="AN193" i="5"/>
  <c r="AN197" i="5"/>
  <c r="AN144" i="5"/>
  <c r="AN192" i="5"/>
  <c r="AN113" i="5"/>
  <c r="AN121" i="5"/>
  <c r="AN129" i="5"/>
  <c r="AN137" i="5"/>
  <c r="AN145" i="5"/>
  <c r="AN153" i="5"/>
  <c r="AN161" i="5"/>
  <c r="AN169" i="5"/>
  <c r="AN189" i="5"/>
  <c r="AN184" i="5"/>
  <c r="AN200" i="5"/>
  <c r="K42" i="5"/>
  <c r="E11" i="21"/>
  <c r="W6" i="5"/>
  <c r="W7" i="5" s="1"/>
  <c r="G4" i="21"/>
  <c r="L109" i="5"/>
  <c r="L105" i="5"/>
  <c r="L97" i="5"/>
  <c r="L110" i="5"/>
  <c r="L106" i="5"/>
  <c r="L98" i="5"/>
  <c r="L111" i="5"/>
  <c r="L107" i="5"/>
  <c r="L103" i="5"/>
  <c r="L95" i="5"/>
  <c r="L108" i="5"/>
  <c r="L104" i="5"/>
  <c r="L96" i="5"/>
  <c r="K111" i="5"/>
  <c r="D111" i="5" s="1"/>
  <c r="K110" i="5"/>
  <c r="K109" i="5"/>
  <c r="K108" i="5"/>
  <c r="K107" i="5"/>
  <c r="K106" i="5"/>
  <c r="K105" i="5"/>
  <c r="K99" i="5"/>
  <c r="K98" i="5"/>
  <c r="K97" i="5"/>
  <c r="L93" i="5"/>
  <c r="K100" i="5"/>
  <c r="L94" i="5"/>
  <c r="K102" i="5"/>
  <c r="K101" i="5"/>
  <c r="L100" i="5"/>
  <c r="L99" i="5"/>
  <c r="K92" i="5"/>
  <c r="K104" i="5"/>
  <c r="K103" i="5"/>
  <c r="L102" i="5"/>
  <c r="L101" i="5"/>
  <c r="K96" i="5"/>
  <c r="D96" i="5" s="1"/>
  <c r="K95" i="5"/>
  <c r="K94" i="5"/>
  <c r="D94" i="5" s="1"/>
  <c r="K93" i="5"/>
  <c r="L92" i="5"/>
  <c r="D103" i="5"/>
  <c r="D97" i="5"/>
  <c r="D108" i="5"/>
  <c r="D107" i="5"/>
  <c r="D100" i="5"/>
  <c r="D98" i="5"/>
  <c r="L68" i="5"/>
  <c r="K61" i="5"/>
  <c r="L58" i="5"/>
  <c r="K55" i="5"/>
  <c r="K85" i="5"/>
  <c r="L74" i="5"/>
  <c r="T15" i="5"/>
  <c r="T16" i="5" s="1"/>
  <c r="E18" i="20"/>
  <c r="L86" i="5"/>
  <c r="L76" i="5"/>
  <c r="L66" i="5"/>
  <c r="K50" i="5"/>
  <c r="K47" i="5"/>
  <c r="R29" i="14"/>
  <c r="S29" i="14" s="1"/>
  <c r="K46" i="5"/>
  <c r="AP97" i="5"/>
  <c r="L78" i="5"/>
  <c r="L70" i="5"/>
  <c r="K65" i="5"/>
  <c r="L62" i="5"/>
  <c r="K54" i="5"/>
  <c r="K51" i="5"/>
  <c r="K43" i="5"/>
  <c r="E19" i="20"/>
  <c r="I12" i="20"/>
  <c r="AP91" i="5"/>
  <c r="AP90" i="5"/>
  <c r="AP89" i="5"/>
  <c r="AP88" i="5"/>
  <c r="AP87" i="5"/>
  <c r="AP86" i="5"/>
  <c r="AP85" i="5"/>
  <c r="AP84" i="5"/>
  <c r="AP83" i="5"/>
  <c r="AP82" i="5"/>
  <c r="AP81" i="5"/>
  <c r="AP80" i="5"/>
  <c r="AP79" i="5"/>
  <c r="AP78" i="5"/>
  <c r="AP77" i="5"/>
  <c r="AP76" i="5"/>
  <c r="AP75" i="5"/>
  <c r="AP74" i="5"/>
  <c r="AP73" i="5"/>
  <c r="AP72" i="5"/>
  <c r="AP71" i="5"/>
  <c r="AP70" i="5"/>
  <c r="AP69" i="5"/>
  <c r="AP68" i="5"/>
  <c r="AP67" i="5"/>
  <c r="AP66" i="5"/>
  <c r="AP65" i="5"/>
  <c r="AP64" i="5"/>
  <c r="AP63" i="5"/>
  <c r="AP62" i="5"/>
  <c r="AP61" i="5"/>
  <c r="AP60" i="5"/>
  <c r="AP59" i="5"/>
  <c r="AP58" i="5"/>
  <c r="AP57" i="5"/>
  <c r="AP56" i="5"/>
  <c r="AP55" i="5"/>
  <c r="AP54" i="5"/>
  <c r="AP53" i="5"/>
  <c r="AP52" i="5"/>
  <c r="AP51" i="5"/>
  <c r="AP50" i="5"/>
  <c r="AP49" i="5"/>
  <c r="AP48" i="5"/>
  <c r="AP47" i="5"/>
  <c r="AP46" i="5"/>
  <c r="AP45" i="5"/>
  <c r="AP44" i="5"/>
  <c r="AP43" i="5"/>
  <c r="AP42" i="5"/>
  <c r="AP41" i="5"/>
  <c r="L91" i="5"/>
  <c r="K88" i="5"/>
  <c r="L83" i="5"/>
  <c r="K80" i="5"/>
  <c r="E19" i="5"/>
  <c r="I41" i="18"/>
  <c r="I12" i="18"/>
  <c r="I13" i="18"/>
  <c r="I11" i="20"/>
  <c r="K44" i="5"/>
  <c r="L45" i="5"/>
  <c r="K48" i="5"/>
  <c r="L49" i="5"/>
  <c r="K52" i="5"/>
  <c r="L53" i="5"/>
  <c r="K56" i="5"/>
  <c r="L57" i="5"/>
  <c r="K58" i="5"/>
  <c r="K60" i="5"/>
  <c r="K62" i="5"/>
  <c r="K64" i="5"/>
  <c r="K59" i="5"/>
  <c r="L60" i="5"/>
  <c r="AU60" i="5" s="1"/>
  <c r="K63" i="5"/>
  <c r="L64" i="5"/>
  <c r="AU64" i="5" s="1"/>
  <c r="L67" i="5"/>
  <c r="L69" i="5"/>
  <c r="L71" i="5"/>
  <c r="L73" i="5"/>
  <c r="L75" i="5"/>
  <c r="L77" i="5"/>
  <c r="L79" i="5"/>
  <c r="K81" i="5"/>
  <c r="L82" i="5"/>
  <c r="K84" i="5"/>
  <c r="L87" i="5"/>
  <c r="K89" i="5"/>
  <c r="L90" i="5"/>
  <c r="K41" i="5"/>
  <c r="L42" i="5"/>
  <c r="AU42" i="5" s="1"/>
  <c r="L43" i="5"/>
  <c r="AU43" i="5" s="1"/>
  <c r="L44" i="5"/>
  <c r="AU44" i="5" s="1"/>
  <c r="K45" i="5"/>
  <c r="L46" i="5"/>
  <c r="L47" i="5"/>
  <c r="AU47" i="5" s="1"/>
  <c r="L48" i="5"/>
  <c r="K49" i="5"/>
  <c r="AU49" i="5" s="1"/>
  <c r="L50" i="5"/>
  <c r="AU50" i="5" s="1"/>
  <c r="L51" i="5"/>
  <c r="AU51" i="5" s="1"/>
  <c r="L52" i="5"/>
  <c r="AU52" i="5" s="1"/>
  <c r="K53" i="5"/>
  <c r="L54" i="5"/>
  <c r="L55" i="5"/>
  <c r="AU55" i="5" s="1"/>
  <c r="L56" i="5"/>
  <c r="K57" i="5"/>
  <c r="L61" i="5"/>
  <c r="L65" i="5"/>
  <c r="AU65" i="5" s="1"/>
  <c r="K67" i="5"/>
  <c r="K69" i="5"/>
  <c r="K71" i="5"/>
  <c r="K73" i="5"/>
  <c r="K75" i="5"/>
  <c r="K77" i="5"/>
  <c r="K79" i="5"/>
  <c r="L80" i="5"/>
  <c r="AU80" i="5" s="1"/>
  <c r="K82" i="5"/>
  <c r="L85" i="5"/>
  <c r="AU85" i="5" s="1"/>
  <c r="K87" i="5"/>
  <c r="L88" i="5"/>
  <c r="K90" i="5"/>
  <c r="L41" i="5"/>
  <c r="AU41" i="5" s="1"/>
  <c r="L59" i="5"/>
  <c r="AU59" i="5" s="1"/>
  <c r="L63" i="5"/>
  <c r="AU63" i="5" s="1"/>
  <c r="K66" i="5"/>
  <c r="K68" i="5"/>
  <c r="K70" i="5"/>
  <c r="K72" i="5"/>
  <c r="AU72" i="5" s="1"/>
  <c r="K74" i="5"/>
  <c r="K76" i="5"/>
  <c r="K78" i="5"/>
  <c r="L81" i="5"/>
  <c r="AU81" i="5" s="1"/>
  <c r="K83" i="5"/>
  <c r="L84" i="5"/>
  <c r="AU84" i="5" s="1"/>
  <c r="K86" i="5"/>
  <c r="L89" i="5"/>
  <c r="AU89" i="5" s="1"/>
  <c r="K91" i="5"/>
  <c r="E18" i="5"/>
  <c r="I11" i="18"/>
  <c r="AP92" i="5"/>
  <c r="AP96" i="5"/>
  <c r="AP100" i="5"/>
  <c r="AP104" i="5"/>
  <c r="AP108" i="5"/>
  <c r="AP95" i="5"/>
  <c r="AP99" i="5"/>
  <c r="AP103" i="5"/>
  <c r="AP107" i="5"/>
  <c r="AP111" i="5"/>
  <c r="AP94" i="5"/>
  <c r="AP98" i="5"/>
  <c r="AP102" i="5"/>
  <c r="AP106" i="5"/>
  <c r="AP110" i="5"/>
  <c r="AP109" i="5"/>
  <c r="AP93" i="5"/>
  <c r="AP101" i="5"/>
  <c r="I16" i="18"/>
  <c r="AP105" i="5"/>
  <c r="I97" i="5" l="1"/>
  <c r="AU82" i="5"/>
  <c r="D110" i="5"/>
  <c r="P110" i="5" s="1"/>
  <c r="Z110" i="5" s="1"/>
  <c r="D105" i="5"/>
  <c r="N105" i="5" s="1"/>
  <c r="X105" i="5" s="1"/>
  <c r="AU73" i="5"/>
  <c r="AU57" i="5"/>
  <c r="AU83" i="5"/>
  <c r="AU91" i="5"/>
  <c r="AU78" i="5"/>
  <c r="AU66" i="5"/>
  <c r="AU86" i="5"/>
  <c r="AU74" i="5"/>
  <c r="AU68" i="5"/>
  <c r="AU77" i="5"/>
  <c r="AU69" i="5"/>
  <c r="AU53" i="5"/>
  <c r="AU45" i="5"/>
  <c r="AU90" i="5"/>
  <c r="AU75" i="5"/>
  <c r="AU67" i="5"/>
  <c r="AU62" i="5"/>
  <c r="AU61" i="5"/>
  <c r="AU54" i="5"/>
  <c r="AU46" i="5"/>
  <c r="AU87" i="5"/>
  <c r="AU79" i="5"/>
  <c r="AU71" i="5"/>
  <c r="AU56" i="5"/>
  <c r="AU48" i="5"/>
  <c r="AU88" i="5"/>
  <c r="AU70" i="5"/>
  <c r="AU76" i="5"/>
  <c r="AU58" i="5"/>
  <c r="G5" i="21"/>
  <c r="H4" i="21"/>
  <c r="T20" i="5"/>
  <c r="D104" i="5"/>
  <c r="Q104" i="5" s="1"/>
  <c r="AA104" i="5" s="1"/>
  <c r="D95" i="5"/>
  <c r="V95" i="5" s="1"/>
  <c r="AF95" i="5" s="1"/>
  <c r="D102" i="5"/>
  <c r="S102" i="5" s="1"/>
  <c r="AC102" i="5" s="1"/>
  <c r="D99" i="5"/>
  <c r="Q99" i="5" s="1"/>
  <c r="AA99" i="5" s="1"/>
  <c r="D93" i="5"/>
  <c r="S93" i="5" s="1"/>
  <c r="AC93" i="5" s="1"/>
  <c r="I105" i="5"/>
  <c r="D109" i="5"/>
  <c r="U109" i="5" s="1"/>
  <c r="I103" i="5"/>
  <c r="I95" i="5"/>
  <c r="I110" i="5"/>
  <c r="I104" i="5"/>
  <c r="I111" i="5"/>
  <c r="I109" i="5"/>
  <c r="I107" i="5"/>
  <c r="I96" i="5"/>
  <c r="I100" i="5"/>
  <c r="I93" i="5"/>
  <c r="D101" i="5"/>
  <c r="U101" i="5" s="1"/>
  <c r="I94" i="5"/>
  <c r="D92" i="5"/>
  <c r="I99" i="5"/>
  <c r="I108" i="5"/>
  <c r="I106" i="5"/>
  <c r="I92" i="5"/>
  <c r="I98" i="5"/>
  <c r="I102" i="5"/>
  <c r="I101" i="5"/>
  <c r="I66" i="5"/>
  <c r="T111" i="5"/>
  <c r="T108" i="5"/>
  <c r="N107" i="5"/>
  <c r="X107" i="5" s="1"/>
  <c r="T103" i="5"/>
  <c r="P100" i="5"/>
  <c r="Z100" i="5" s="1"/>
  <c r="P98" i="5"/>
  <c r="Z98" i="5" s="1"/>
  <c r="P97" i="5"/>
  <c r="Z97" i="5" s="1"/>
  <c r="P96" i="5"/>
  <c r="Z96" i="5" s="1"/>
  <c r="P94" i="5"/>
  <c r="Z94" i="5" s="1"/>
  <c r="S111" i="5"/>
  <c r="AC111" i="5" s="1"/>
  <c r="U111" i="5"/>
  <c r="Q111" i="5"/>
  <c r="AA111" i="5" s="1"/>
  <c r="O111" i="5"/>
  <c r="M111" i="5"/>
  <c r="S108" i="5"/>
  <c r="AC108" i="5" s="1"/>
  <c r="U107" i="5"/>
  <c r="AE107" i="5" s="1"/>
  <c r="Q107" i="5"/>
  <c r="AA107" i="5" s="1"/>
  <c r="S107" i="5"/>
  <c r="AC107" i="5" s="1"/>
  <c r="O107" i="5"/>
  <c r="M107" i="5"/>
  <c r="T107" i="5"/>
  <c r="V107" i="5"/>
  <c r="AF107" i="5" s="1"/>
  <c r="R107" i="5"/>
  <c r="AB107" i="5" s="1"/>
  <c r="P107" i="5"/>
  <c r="Z107" i="5" s="1"/>
  <c r="S103" i="5"/>
  <c r="AC103" i="5" s="1"/>
  <c r="S100" i="5"/>
  <c r="AC100" i="5" s="1"/>
  <c r="O100" i="5"/>
  <c r="AI100" i="5" s="1"/>
  <c r="U97" i="5"/>
  <c r="S97" i="5"/>
  <c r="AC97" i="5" s="1"/>
  <c r="Q97" i="5"/>
  <c r="AA97" i="5" s="1"/>
  <c r="O97" i="5"/>
  <c r="M97" i="5"/>
  <c r="W97" i="5" s="1"/>
  <c r="T97" i="5"/>
  <c r="S96" i="5"/>
  <c r="AC96" i="5" s="1"/>
  <c r="O96" i="5"/>
  <c r="AI96" i="5" s="1"/>
  <c r="S94" i="5"/>
  <c r="AC94" i="5" s="1"/>
  <c r="S98" i="5"/>
  <c r="AC98" i="5" s="1"/>
  <c r="O103" i="5"/>
  <c r="O108" i="5"/>
  <c r="P103" i="5"/>
  <c r="Z103" i="5" s="1"/>
  <c r="P108" i="5"/>
  <c r="Z108" i="5" s="1"/>
  <c r="O94" i="5"/>
  <c r="AI94" i="5" s="1"/>
  <c r="O98" i="5"/>
  <c r="AI98" i="5" s="1"/>
  <c r="U103" i="5"/>
  <c r="Q103" i="5"/>
  <c r="AA103" i="5" s="1"/>
  <c r="M103" i="5"/>
  <c r="U108" i="5"/>
  <c r="Q108" i="5"/>
  <c r="AA108" i="5" s="1"/>
  <c r="M108" i="5"/>
  <c r="D106" i="5"/>
  <c r="U94" i="5"/>
  <c r="AE94" i="5" s="1"/>
  <c r="Q94" i="5"/>
  <c r="AA94" i="5" s="1"/>
  <c r="M94" i="5"/>
  <c r="W94" i="5" s="1"/>
  <c r="T94" i="5"/>
  <c r="AD94" i="5" s="1"/>
  <c r="U96" i="5"/>
  <c r="Q96" i="5"/>
  <c r="AA96" i="5" s="1"/>
  <c r="M96" i="5"/>
  <c r="W96" i="5" s="1"/>
  <c r="T96" i="5"/>
  <c r="V97" i="5"/>
  <c r="AF97" i="5" s="1"/>
  <c r="R97" i="5"/>
  <c r="AB97" i="5" s="1"/>
  <c r="N97" i="5"/>
  <c r="X97" i="5" s="1"/>
  <c r="U98" i="5"/>
  <c r="Q98" i="5"/>
  <c r="AA98" i="5" s="1"/>
  <c r="M98" i="5"/>
  <c r="W98" i="5" s="1"/>
  <c r="T98" i="5"/>
  <c r="U100" i="5"/>
  <c r="Q100" i="5"/>
  <c r="AA100" i="5" s="1"/>
  <c r="M100" i="5"/>
  <c r="T100" i="5"/>
  <c r="V103" i="5"/>
  <c r="AF103" i="5" s="1"/>
  <c r="R103" i="5"/>
  <c r="AB103" i="5" s="1"/>
  <c r="N103" i="5"/>
  <c r="X103" i="5" s="1"/>
  <c r="V108" i="5"/>
  <c r="AF108" i="5" s="1"/>
  <c r="R108" i="5"/>
  <c r="AB108" i="5" s="1"/>
  <c r="N108" i="5"/>
  <c r="X108" i="5" s="1"/>
  <c r="V111" i="5"/>
  <c r="AF111" i="5" s="1"/>
  <c r="R111" i="5"/>
  <c r="AB111" i="5" s="1"/>
  <c r="N111" i="5"/>
  <c r="X111" i="5" s="1"/>
  <c r="V94" i="5"/>
  <c r="AF94" i="5" s="1"/>
  <c r="R94" i="5"/>
  <c r="AB94" i="5" s="1"/>
  <c r="N94" i="5"/>
  <c r="X94" i="5" s="1"/>
  <c r="V96" i="5"/>
  <c r="AF96" i="5" s="1"/>
  <c r="R96" i="5"/>
  <c r="AB96" i="5" s="1"/>
  <c r="N96" i="5"/>
  <c r="X96" i="5" s="1"/>
  <c r="V98" i="5"/>
  <c r="AF98" i="5" s="1"/>
  <c r="R98" i="5"/>
  <c r="AB98" i="5" s="1"/>
  <c r="N98" i="5"/>
  <c r="X98" i="5" s="1"/>
  <c r="V100" i="5"/>
  <c r="AF100" i="5" s="1"/>
  <c r="R100" i="5"/>
  <c r="AB100" i="5" s="1"/>
  <c r="N100" i="5"/>
  <c r="X100" i="5" s="1"/>
  <c r="P111" i="5"/>
  <c r="Z111" i="5" s="1"/>
  <c r="I58" i="5"/>
  <c r="I74" i="5"/>
  <c r="I17" i="18"/>
  <c r="E17" i="18" s="1"/>
  <c r="I89" i="5"/>
  <c r="I81" i="5"/>
  <c r="I63" i="5"/>
  <c r="I88" i="5"/>
  <c r="I80" i="5"/>
  <c r="I65" i="5"/>
  <c r="I55" i="5"/>
  <c r="I51" i="5"/>
  <c r="I47" i="5"/>
  <c r="I43" i="5"/>
  <c r="I73" i="5"/>
  <c r="I64" i="5"/>
  <c r="I57" i="5"/>
  <c r="I49" i="5"/>
  <c r="I78" i="5"/>
  <c r="I70" i="5"/>
  <c r="I59" i="5"/>
  <c r="I61" i="5"/>
  <c r="I54" i="5"/>
  <c r="I50" i="5"/>
  <c r="I46" i="5"/>
  <c r="I42" i="5"/>
  <c r="I87" i="5"/>
  <c r="I79" i="5"/>
  <c r="I71" i="5"/>
  <c r="I86" i="5"/>
  <c r="I84" i="5"/>
  <c r="I76" i="5"/>
  <c r="I68" i="5"/>
  <c r="I41" i="5"/>
  <c r="I85" i="5"/>
  <c r="I77" i="5"/>
  <c r="I69" i="5"/>
  <c r="I60" i="5"/>
  <c r="I53" i="5"/>
  <c r="I45" i="5"/>
  <c r="I72" i="5"/>
  <c r="I91" i="5"/>
  <c r="I83" i="5"/>
  <c r="I56" i="5"/>
  <c r="I52" i="5"/>
  <c r="I48" i="5"/>
  <c r="I44" i="5"/>
  <c r="I90" i="5"/>
  <c r="I82" i="5"/>
  <c r="I75" i="5"/>
  <c r="I67" i="5"/>
  <c r="I62" i="5"/>
  <c r="V101" i="5" l="1"/>
  <c r="AF101" i="5" s="1"/>
  <c r="M105" i="5"/>
  <c r="AG105" i="5" s="1"/>
  <c r="U95" i="5"/>
  <c r="AE95" i="5" s="1"/>
  <c r="Q110" i="5"/>
  <c r="AA110" i="5" s="1"/>
  <c r="S110" i="5"/>
  <c r="AC110" i="5" s="1"/>
  <c r="S101" i="5"/>
  <c r="AC101" i="5" s="1"/>
  <c r="N95" i="5"/>
  <c r="X95" i="5" s="1"/>
  <c r="M95" i="5"/>
  <c r="W95" i="5" s="1"/>
  <c r="N101" i="5"/>
  <c r="X101" i="5" s="1"/>
  <c r="M101" i="5"/>
  <c r="AG101" i="5" s="1"/>
  <c r="O102" i="5"/>
  <c r="AI102" i="5" s="1"/>
  <c r="S105" i="5"/>
  <c r="AC105" i="5" s="1"/>
  <c r="N99" i="5"/>
  <c r="X99" i="5" s="1"/>
  <c r="M93" i="5"/>
  <c r="W93" i="5" s="1"/>
  <c r="P105" i="5"/>
  <c r="Z105" i="5" s="1"/>
  <c r="R93" i="5"/>
  <c r="AB93" i="5" s="1"/>
  <c r="S99" i="5"/>
  <c r="AC99" i="5" s="1"/>
  <c r="V99" i="5"/>
  <c r="AF99" i="5" s="1"/>
  <c r="P93" i="5"/>
  <c r="Z93" i="5" s="1"/>
  <c r="P99" i="5"/>
  <c r="Z99" i="5" s="1"/>
  <c r="O105" i="5"/>
  <c r="Y105" i="5" s="1"/>
  <c r="N110" i="5"/>
  <c r="X110" i="5" s="1"/>
  <c r="U93" i="5"/>
  <c r="AE93" i="5" s="1"/>
  <c r="T109" i="5"/>
  <c r="AD109" i="5" s="1"/>
  <c r="V110" i="5"/>
  <c r="AF110" i="5" s="1"/>
  <c r="T110" i="5"/>
  <c r="AD110" i="5" s="1"/>
  <c r="V109" i="5"/>
  <c r="AF109" i="5" s="1"/>
  <c r="Q105" i="5"/>
  <c r="AA105" i="5" s="1"/>
  <c r="U105" i="5"/>
  <c r="AO105" i="5" s="1"/>
  <c r="V105" i="5"/>
  <c r="AF105" i="5" s="1"/>
  <c r="Q93" i="5"/>
  <c r="AA93" i="5" s="1"/>
  <c r="P109" i="5"/>
  <c r="Z109" i="5" s="1"/>
  <c r="R110" i="5"/>
  <c r="AB110" i="5" s="1"/>
  <c r="M110" i="5"/>
  <c r="W110" i="5" s="1"/>
  <c r="U110" i="5"/>
  <c r="AO110" i="5" s="1"/>
  <c r="O110" i="5"/>
  <c r="AI110" i="5" s="1"/>
  <c r="N93" i="5"/>
  <c r="X93" i="5" s="1"/>
  <c r="V93" i="5"/>
  <c r="AF93" i="5" s="1"/>
  <c r="T93" i="5"/>
  <c r="AD93" i="5" s="1"/>
  <c r="O93" i="5"/>
  <c r="Y93" i="5" s="1"/>
  <c r="T102" i="5"/>
  <c r="AD102" i="5" s="1"/>
  <c r="O104" i="5"/>
  <c r="AI104" i="5" s="1"/>
  <c r="N109" i="5"/>
  <c r="X109" i="5" s="1"/>
  <c r="Q109" i="5"/>
  <c r="AA109" i="5" s="1"/>
  <c r="R109" i="5"/>
  <c r="AB109" i="5" s="1"/>
  <c r="M109" i="5"/>
  <c r="W109" i="5" s="1"/>
  <c r="R105" i="5"/>
  <c r="AB105" i="5" s="1"/>
  <c r="V104" i="5"/>
  <c r="AF104" i="5" s="1"/>
  <c r="T104" i="5"/>
  <c r="AD104" i="5" s="1"/>
  <c r="N104" i="5"/>
  <c r="X104" i="5" s="1"/>
  <c r="R102" i="5"/>
  <c r="AB102" i="5" s="1"/>
  <c r="Q102" i="5"/>
  <c r="AA102" i="5" s="1"/>
  <c r="N102" i="5"/>
  <c r="X102" i="5" s="1"/>
  <c r="V102" i="5"/>
  <c r="AF102" i="5" s="1"/>
  <c r="M102" i="5"/>
  <c r="AG102" i="5" s="1"/>
  <c r="U102" i="5"/>
  <c r="AO102" i="5" s="1"/>
  <c r="AL109" i="5"/>
  <c r="AM93" i="5"/>
  <c r="AL102" i="5"/>
  <c r="AD96" i="5"/>
  <c r="AN96" i="5"/>
  <c r="AD107" i="5"/>
  <c r="AN107" i="5"/>
  <c r="AD108" i="5"/>
  <c r="AN108" i="5"/>
  <c r="AL97" i="5"/>
  <c r="AL111" i="5"/>
  <c r="AL103" i="5"/>
  <c r="AM108" i="5"/>
  <c r="AM96" i="5"/>
  <c r="AM100" i="5"/>
  <c r="AN94" i="5"/>
  <c r="AM105" i="5"/>
  <c r="AM110" i="5"/>
  <c r="AN110" i="5"/>
  <c r="AL98" i="5"/>
  <c r="AM107" i="5"/>
  <c r="AL94" i="5"/>
  <c r="AM99" i="5"/>
  <c r="AD100" i="5"/>
  <c r="AN100" i="5"/>
  <c r="AD98" i="5"/>
  <c r="AN98" i="5"/>
  <c r="AD97" i="5"/>
  <c r="AN97" i="5"/>
  <c r="AD103" i="5"/>
  <c r="AN103" i="5"/>
  <c r="AD111" i="5"/>
  <c r="AN111" i="5"/>
  <c r="T105" i="5"/>
  <c r="AD105" i="5" s="1"/>
  <c r="AN105" i="5"/>
  <c r="AN109" i="5"/>
  <c r="AN93" i="5"/>
  <c r="AN102" i="5"/>
  <c r="AN104" i="5"/>
  <c r="AM97" i="5"/>
  <c r="AM111" i="5"/>
  <c r="AM103" i="5"/>
  <c r="AL108" i="5"/>
  <c r="AL96" i="5"/>
  <c r="AL100" i="5"/>
  <c r="AM101" i="5"/>
  <c r="AL105" i="5"/>
  <c r="AL110" i="5"/>
  <c r="AM98" i="5"/>
  <c r="AL107" i="5"/>
  <c r="AL93" i="5"/>
  <c r="AM94" i="5"/>
  <c r="AM102" i="5"/>
  <c r="H5" i="21"/>
  <c r="G6" i="21"/>
  <c r="H6" i="21" s="1"/>
  <c r="D70" i="5"/>
  <c r="D74" i="5"/>
  <c r="D68" i="5"/>
  <c r="D91" i="5"/>
  <c r="D83" i="5"/>
  <c r="D78" i="5"/>
  <c r="D76" i="5"/>
  <c r="D66" i="5"/>
  <c r="D58" i="5"/>
  <c r="R104" i="5"/>
  <c r="AB104" i="5" s="1"/>
  <c r="U104" i="5"/>
  <c r="AO104" i="5" s="1"/>
  <c r="T92" i="5"/>
  <c r="AD92" i="5" s="1"/>
  <c r="M99" i="5"/>
  <c r="AG99" i="5" s="1"/>
  <c r="O95" i="5"/>
  <c r="Y95" i="5" s="1"/>
  <c r="S95" i="5"/>
  <c r="AC95" i="5" s="1"/>
  <c r="T101" i="5"/>
  <c r="AD101" i="5" s="1"/>
  <c r="O101" i="5"/>
  <c r="Y101" i="5" s="1"/>
  <c r="S104" i="5"/>
  <c r="AC104" i="5" s="1"/>
  <c r="T95" i="5"/>
  <c r="AD95" i="5" s="1"/>
  <c r="T99" i="5"/>
  <c r="AD99" i="5" s="1"/>
  <c r="P104" i="5"/>
  <c r="Z104" i="5" s="1"/>
  <c r="M104" i="5"/>
  <c r="W104" i="5" s="1"/>
  <c r="R101" i="5"/>
  <c r="AB101" i="5" s="1"/>
  <c r="R99" i="5"/>
  <c r="AB99" i="5" s="1"/>
  <c r="R95" i="5"/>
  <c r="AB95" i="5" s="1"/>
  <c r="R92" i="5"/>
  <c r="AB92" i="5" s="1"/>
  <c r="U99" i="5"/>
  <c r="AO99" i="5" s="1"/>
  <c r="Q95" i="5"/>
  <c r="AA95" i="5" s="1"/>
  <c r="P95" i="5"/>
  <c r="Z95" i="5" s="1"/>
  <c r="O99" i="5"/>
  <c r="Y99" i="5" s="1"/>
  <c r="Q101" i="5"/>
  <c r="AA101" i="5" s="1"/>
  <c r="W105" i="5"/>
  <c r="P101" i="5"/>
  <c r="Z101" i="5" s="1"/>
  <c r="O109" i="5"/>
  <c r="AI109" i="5" s="1"/>
  <c r="S109" i="5"/>
  <c r="AC109" i="5" s="1"/>
  <c r="P102" i="5"/>
  <c r="Z102" i="5" s="1"/>
  <c r="M92" i="5"/>
  <c r="W92" i="5" s="1"/>
  <c r="Q92" i="5"/>
  <c r="AA92" i="5" s="1"/>
  <c r="O92" i="5"/>
  <c r="AI92" i="5" s="1"/>
  <c r="V92" i="5"/>
  <c r="AF92" i="5" s="1"/>
  <c r="Y100" i="5"/>
  <c r="U92" i="5"/>
  <c r="AO92" i="5" s="1"/>
  <c r="N92" i="5"/>
  <c r="X92" i="5" s="1"/>
  <c r="S92" i="5"/>
  <c r="AC92" i="5" s="1"/>
  <c r="AO95" i="5"/>
  <c r="AO107" i="5"/>
  <c r="P92" i="5"/>
  <c r="Z92" i="5" s="1"/>
  <c r="AH107" i="5"/>
  <c r="AH111" i="5"/>
  <c r="AH108" i="5"/>
  <c r="O106" i="5"/>
  <c r="Y106" i="5" s="1"/>
  <c r="AH105" i="5"/>
  <c r="AH103" i="5"/>
  <c r="AH100" i="5"/>
  <c r="AH98" i="5"/>
  <c r="AG97" i="5"/>
  <c r="AH97" i="5"/>
  <c r="Y96" i="5"/>
  <c r="AH96" i="5"/>
  <c r="Y94" i="5"/>
  <c r="J94" i="5" s="1"/>
  <c r="H94" i="5" s="1"/>
  <c r="AH94" i="5"/>
  <c r="AE111" i="5"/>
  <c r="AO111" i="5"/>
  <c r="Y111" i="5"/>
  <c r="AI111" i="5"/>
  <c r="W111" i="5"/>
  <c r="AG111" i="5"/>
  <c r="Y108" i="5"/>
  <c r="AI108" i="5"/>
  <c r="W108" i="5"/>
  <c r="AG108" i="5"/>
  <c r="Y107" i="5"/>
  <c r="AI107" i="5"/>
  <c r="W107" i="5"/>
  <c r="AG107" i="5"/>
  <c r="P106" i="5"/>
  <c r="Z106" i="5" s="1"/>
  <c r="T106" i="5"/>
  <c r="AD106" i="5" s="1"/>
  <c r="V106" i="5"/>
  <c r="AF106" i="5" s="1"/>
  <c r="R106" i="5"/>
  <c r="AB106" i="5" s="1"/>
  <c r="N106" i="5"/>
  <c r="X106" i="5" s="1"/>
  <c r="U106" i="5"/>
  <c r="AE106" i="5" s="1"/>
  <c r="S106" i="5"/>
  <c r="AC106" i="5" s="1"/>
  <c r="AI106" i="5"/>
  <c r="AI105" i="5"/>
  <c r="W103" i="5"/>
  <c r="AG103" i="5"/>
  <c r="Y103" i="5"/>
  <c r="AI103" i="5"/>
  <c r="AI101" i="5"/>
  <c r="AE101" i="5"/>
  <c r="AO101" i="5"/>
  <c r="AI99" i="5"/>
  <c r="Y98" i="5"/>
  <c r="AE97" i="5"/>
  <c r="AO97" i="5"/>
  <c r="Y97" i="5"/>
  <c r="AI97" i="5"/>
  <c r="AI95" i="5"/>
  <c r="AI93" i="5"/>
  <c r="AE108" i="5"/>
  <c r="AO108" i="5"/>
  <c r="AE103" i="5"/>
  <c r="AO103" i="5"/>
  <c r="AE109" i="5"/>
  <c r="AO109" i="5"/>
  <c r="AE98" i="5"/>
  <c r="AO98" i="5"/>
  <c r="W100" i="5"/>
  <c r="AG100" i="5"/>
  <c r="AE100" i="5"/>
  <c r="AO100" i="5"/>
  <c r="AE96" i="5"/>
  <c r="AO96" i="5"/>
  <c r="AG98" i="5"/>
  <c r="AG96" i="5"/>
  <c r="AG94" i="5"/>
  <c r="AO94" i="5"/>
  <c r="Q106" i="5"/>
  <c r="AA106" i="5" s="1"/>
  <c r="M106" i="5"/>
  <c r="C17" i="18"/>
  <c r="H17" i="18"/>
  <c r="B17" i="18"/>
  <c r="D72" i="5"/>
  <c r="D44" i="5"/>
  <c r="D52" i="5"/>
  <c r="D60" i="5"/>
  <c r="D85" i="5"/>
  <c r="D84" i="5"/>
  <c r="D79" i="5"/>
  <c r="D64" i="5"/>
  <c r="D81" i="5"/>
  <c r="D89" i="5"/>
  <c r="D86" i="5"/>
  <c r="D57" i="5"/>
  <c r="D65" i="5"/>
  <c r="D45" i="5"/>
  <c r="D71" i="5"/>
  <c r="D87" i="5"/>
  <c r="D61" i="5"/>
  <c r="D59" i="5"/>
  <c r="D49" i="5"/>
  <c r="D43" i="5"/>
  <c r="D47" i="5"/>
  <c r="D51" i="5"/>
  <c r="D55" i="5"/>
  <c r="D80" i="5"/>
  <c r="D88" i="5"/>
  <c r="D67" i="5"/>
  <c r="D75" i="5"/>
  <c r="D82" i="5"/>
  <c r="D90" i="5"/>
  <c r="D48" i="5"/>
  <c r="D56" i="5"/>
  <c r="D62" i="5"/>
  <c r="D53" i="5"/>
  <c r="D69" i="5"/>
  <c r="D77" i="5"/>
  <c r="D42" i="5"/>
  <c r="D46" i="5"/>
  <c r="D50" i="5"/>
  <c r="D54" i="5"/>
  <c r="D73" i="5"/>
  <c r="D63" i="5"/>
  <c r="AG95" i="5" l="1"/>
  <c r="AH101" i="5"/>
  <c r="AH95" i="5"/>
  <c r="AE92" i="5"/>
  <c r="W101" i="5"/>
  <c r="J101" i="5" s="1"/>
  <c r="AG93" i="5"/>
  <c r="AH99" i="5"/>
  <c r="Y102" i="5"/>
  <c r="AH110" i="5"/>
  <c r="AE105" i="5"/>
  <c r="J105" i="5" s="1"/>
  <c r="H105" i="5" s="1"/>
  <c r="AH109" i="5"/>
  <c r="AO93" i="5"/>
  <c r="AH93" i="5"/>
  <c r="AE110" i="5"/>
  <c r="Y110" i="5"/>
  <c r="AE104" i="5"/>
  <c r="AG110" i="5"/>
  <c r="W102" i="5"/>
  <c r="AE102" i="5"/>
  <c r="J93" i="5"/>
  <c r="AG104" i="5"/>
  <c r="Y104" i="5"/>
  <c r="AH104" i="5"/>
  <c r="AE99" i="5"/>
  <c r="W99" i="5"/>
  <c r="AH92" i="5"/>
  <c r="AG109" i="5"/>
  <c r="Y109" i="5"/>
  <c r="J109" i="5" s="1"/>
  <c r="AH102" i="5"/>
  <c r="AM92" i="5"/>
  <c r="AL99" i="5"/>
  <c r="AL95" i="5"/>
  <c r="AN106" i="5"/>
  <c r="AM95" i="5"/>
  <c r="AN95" i="5"/>
  <c r="AN101" i="5"/>
  <c r="AL104" i="5"/>
  <c r="AM104" i="5"/>
  <c r="AL106" i="5"/>
  <c r="AM109" i="5"/>
  <c r="AL92" i="5"/>
  <c r="AL101" i="5"/>
  <c r="AN99" i="5"/>
  <c r="AN92" i="5"/>
  <c r="AM106" i="5"/>
  <c r="M70" i="5"/>
  <c r="U70" i="5"/>
  <c r="AO70" i="5" s="1"/>
  <c r="V70" i="5"/>
  <c r="AF70" i="5" s="1"/>
  <c r="N70" i="5"/>
  <c r="X70" i="5" s="1"/>
  <c r="R70" i="5"/>
  <c r="AB70" i="5" s="1"/>
  <c r="T70" i="5"/>
  <c r="AD70" i="5" s="1"/>
  <c r="P70" i="5"/>
  <c r="Z70" i="5" s="1"/>
  <c r="S70" i="5"/>
  <c r="AC70" i="5" s="1"/>
  <c r="O70" i="5"/>
  <c r="AI70" i="5" s="1"/>
  <c r="Q70" i="5"/>
  <c r="AA70" i="5" s="1"/>
  <c r="T91" i="5"/>
  <c r="AD91" i="5" s="1"/>
  <c r="U83" i="5"/>
  <c r="AE83" i="5" s="1"/>
  <c r="V78" i="5"/>
  <c r="AF78" i="5" s="1"/>
  <c r="U76" i="5"/>
  <c r="AE76" i="5" s="1"/>
  <c r="V74" i="5"/>
  <c r="AF74" i="5" s="1"/>
  <c r="U68" i="5"/>
  <c r="AE68" i="5" s="1"/>
  <c r="N66" i="5"/>
  <c r="X66" i="5" s="1"/>
  <c r="M58" i="5"/>
  <c r="AG58" i="5" s="1"/>
  <c r="S68" i="5"/>
  <c r="AC68" i="5" s="1"/>
  <c r="M68" i="5"/>
  <c r="W68" i="5" s="1"/>
  <c r="R68" i="5"/>
  <c r="AB68" i="5" s="1"/>
  <c r="P74" i="5"/>
  <c r="Z74" i="5" s="1"/>
  <c r="U74" i="5"/>
  <c r="AO74" i="5" s="1"/>
  <c r="T74" i="5"/>
  <c r="AD74" i="5" s="1"/>
  <c r="N74" i="5"/>
  <c r="X74" i="5" s="1"/>
  <c r="M74" i="5"/>
  <c r="AG74" i="5" s="1"/>
  <c r="S74" i="5"/>
  <c r="AC74" i="5" s="1"/>
  <c r="Q74" i="5"/>
  <c r="AA74" i="5" s="1"/>
  <c r="O74" i="5"/>
  <c r="Y74" i="5" s="1"/>
  <c r="R74" i="5"/>
  <c r="AB74" i="5" s="1"/>
  <c r="N68" i="5"/>
  <c r="X68" i="5" s="1"/>
  <c r="V68" i="5"/>
  <c r="AF68" i="5" s="1"/>
  <c r="P68" i="5"/>
  <c r="Z68" i="5" s="1"/>
  <c r="Q68" i="5"/>
  <c r="AA68" i="5" s="1"/>
  <c r="T68" i="5"/>
  <c r="AD68" i="5" s="1"/>
  <c r="O68" i="5"/>
  <c r="Y68" i="5" s="1"/>
  <c r="V91" i="5"/>
  <c r="AF91" i="5" s="1"/>
  <c r="R91" i="5"/>
  <c r="AB91" i="5" s="1"/>
  <c r="S83" i="5"/>
  <c r="AC83" i="5" s="1"/>
  <c r="V66" i="5"/>
  <c r="AF66" i="5" s="1"/>
  <c r="N91" i="5"/>
  <c r="X91" i="5" s="1"/>
  <c r="Q91" i="5"/>
  <c r="AA91" i="5" s="1"/>
  <c r="P91" i="5"/>
  <c r="U91" i="5"/>
  <c r="AE91" i="5" s="1"/>
  <c r="V83" i="5"/>
  <c r="AF83" i="5" s="1"/>
  <c r="O58" i="5"/>
  <c r="Y58" i="5" s="1"/>
  <c r="V58" i="5"/>
  <c r="AF58" i="5" s="1"/>
  <c r="O91" i="5"/>
  <c r="Y91" i="5" s="1"/>
  <c r="S91" i="5"/>
  <c r="AC91" i="5" s="1"/>
  <c r="M91" i="5"/>
  <c r="AG91" i="5" s="1"/>
  <c r="O83" i="5"/>
  <c r="Y83" i="5" s="1"/>
  <c r="P58" i="5"/>
  <c r="Q83" i="5"/>
  <c r="AA83" i="5" s="1"/>
  <c r="N83" i="5"/>
  <c r="X83" i="5" s="1"/>
  <c r="R83" i="5"/>
  <c r="AB83" i="5" s="1"/>
  <c r="M83" i="5"/>
  <c r="W83" i="5" s="1"/>
  <c r="P83" i="5"/>
  <c r="Z83" i="5" s="1"/>
  <c r="T83" i="5"/>
  <c r="O78" i="5"/>
  <c r="Y78" i="5" s="1"/>
  <c r="M78" i="5"/>
  <c r="W78" i="5" s="1"/>
  <c r="U78" i="5"/>
  <c r="AO78" i="5" s="1"/>
  <c r="P78" i="5"/>
  <c r="Z78" i="5" s="1"/>
  <c r="N78" i="5"/>
  <c r="X78" i="5" s="1"/>
  <c r="S78" i="5"/>
  <c r="AC78" i="5" s="1"/>
  <c r="Q78" i="5"/>
  <c r="AA78" i="5" s="1"/>
  <c r="R78" i="5"/>
  <c r="AB78" i="5" s="1"/>
  <c r="T78" i="5"/>
  <c r="U66" i="5"/>
  <c r="AO66" i="5" s="1"/>
  <c r="O66" i="5"/>
  <c r="Y66" i="5" s="1"/>
  <c r="R66" i="5"/>
  <c r="AB66" i="5" s="1"/>
  <c r="S66" i="5"/>
  <c r="AC66" i="5" s="1"/>
  <c r="M66" i="5"/>
  <c r="W66" i="5" s="1"/>
  <c r="Q66" i="5"/>
  <c r="AA66" i="5" s="1"/>
  <c r="T66" i="5"/>
  <c r="P66" i="5"/>
  <c r="Z66" i="5" s="1"/>
  <c r="U58" i="5"/>
  <c r="AE58" i="5" s="1"/>
  <c r="N58" i="5"/>
  <c r="X58" i="5" s="1"/>
  <c r="R58" i="5"/>
  <c r="AB58" i="5" s="1"/>
  <c r="S58" i="5"/>
  <c r="AC58" i="5" s="1"/>
  <c r="Q58" i="5"/>
  <c r="AA58" i="5" s="1"/>
  <c r="T58" i="5"/>
  <c r="P76" i="5"/>
  <c r="T76" i="5"/>
  <c r="N76" i="5"/>
  <c r="X76" i="5" s="1"/>
  <c r="M76" i="5"/>
  <c r="AG76" i="5" s="1"/>
  <c r="O76" i="5"/>
  <c r="Y76" i="5" s="1"/>
  <c r="R76" i="5"/>
  <c r="AB76" i="5" s="1"/>
  <c r="V76" i="5"/>
  <c r="AF76" i="5" s="1"/>
  <c r="Q76" i="5"/>
  <c r="AA76" i="5" s="1"/>
  <c r="S76" i="5"/>
  <c r="AC76" i="5" s="1"/>
  <c r="AG92" i="5"/>
  <c r="J95" i="5"/>
  <c r="Y92" i="5"/>
  <c r="J96" i="5"/>
  <c r="J97" i="5"/>
  <c r="H97" i="5" s="1"/>
  <c r="J107" i="5"/>
  <c r="AO106" i="5"/>
  <c r="J108" i="5"/>
  <c r="H108" i="5" s="1"/>
  <c r="J111" i="5"/>
  <c r="H111" i="5" s="1"/>
  <c r="AH106" i="5"/>
  <c r="S90" i="5"/>
  <c r="AC90" i="5" s="1"/>
  <c r="R89" i="5"/>
  <c r="AB89" i="5" s="1"/>
  <c r="R88" i="5"/>
  <c r="AB88" i="5" s="1"/>
  <c r="R87" i="5"/>
  <c r="AB87" i="5" s="1"/>
  <c r="P86" i="5"/>
  <c r="Z86" i="5" s="1"/>
  <c r="U85" i="5"/>
  <c r="AE85" i="5" s="1"/>
  <c r="M84" i="5"/>
  <c r="AG84" i="5" s="1"/>
  <c r="O82" i="5"/>
  <c r="Y82" i="5" s="1"/>
  <c r="U81" i="5"/>
  <c r="AO81" i="5" s="1"/>
  <c r="Q80" i="5"/>
  <c r="AA80" i="5" s="1"/>
  <c r="S79" i="5"/>
  <c r="AC79" i="5" s="1"/>
  <c r="N77" i="5"/>
  <c r="AH77" i="5" s="1"/>
  <c r="P75" i="5"/>
  <c r="Z75" i="5" s="1"/>
  <c r="Q73" i="5"/>
  <c r="AA73" i="5" s="1"/>
  <c r="R71" i="5"/>
  <c r="AB71" i="5" s="1"/>
  <c r="V69" i="5"/>
  <c r="AF69" i="5" s="1"/>
  <c r="V67" i="5"/>
  <c r="AF67" i="5" s="1"/>
  <c r="V64" i="5"/>
  <c r="AF64" i="5" s="1"/>
  <c r="N63" i="5"/>
  <c r="AH63" i="5" s="1"/>
  <c r="V61" i="5"/>
  <c r="AF61" i="5" s="1"/>
  <c r="P59" i="5"/>
  <c r="O57" i="5"/>
  <c r="Y57" i="5" s="1"/>
  <c r="Q56" i="5"/>
  <c r="AA56" i="5" s="1"/>
  <c r="V55" i="5"/>
  <c r="AF55" i="5" s="1"/>
  <c r="V54" i="5"/>
  <c r="AF54" i="5" s="1"/>
  <c r="T53" i="5"/>
  <c r="S52" i="5"/>
  <c r="AM52" i="5" s="1"/>
  <c r="S51" i="5"/>
  <c r="AC51" i="5" s="1"/>
  <c r="O50" i="5"/>
  <c r="Y50" i="5" s="1"/>
  <c r="P49" i="5"/>
  <c r="Z49" i="5" s="1"/>
  <c r="M48" i="5"/>
  <c r="W48" i="5" s="1"/>
  <c r="V47" i="5"/>
  <c r="AF47" i="5" s="1"/>
  <c r="T46" i="5"/>
  <c r="O45" i="5"/>
  <c r="Y45" i="5" s="1"/>
  <c r="S44" i="5"/>
  <c r="AC44" i="5" s="1"/>
  <c r="P43" i="5"/>
  <c r="Z43" i="5" s="1"/>
  <c r="Q42" i="5"/>
  <c r="AA42" i="5" s="1"/>
  <c r="J98" i="5"/>
  <c r="J103" i="5"/>
  <c r="H103" i="5" s="1"/>
  <c r="T47" i="5"/>
  <c r="M89" i="5"/>
  <c r="W89" i="5" s="1"/>
  <c r="G94" i="5"/>
  <c r="AG106" i="5"/>
  <c r="W106" i="5"/>
  <c r="J106" i="5" s="1"/>
  <c r="H106" i="5" s="1"/>
  <c r="J100" i="5"/>
  <c r="H100" i="5" s="1"/>
  <c r="T48" i="5"/>
  <c r="AD48" i="5" s="1"/>
  <c r="O67" i="5"/>
  <c r="Y67" i="5" s="1"/>
  <c r="T61" i="5"/>
  <c r="U69" i="5"/>
  <c r="AO69" i="5" s="1"/>
  <c r="S43" i="5"/>
  <c r="AC43" i="5" s="1"/>
  <c r="Q57" i="5"/>
  <c r="AA57" i="5" s="1"/>
  <c r="AI91" i="5"/>
  <c r="O90" i="5"/>
  <c r="Y90" i="5" s="1"/>
  <c r="N90" i="5"/>
  <c r="X90" i="5" s="1"/>
  <c r="U90" i="5"/>
  <c r="AE90" i="5" s="1"/>
  <c r="T90" i="5"/>
  <c r="P90" i="5"/>
  <c r="Z90" i="5" s="1"/>
  <c r="S89" i="5"/>
  <c r="AM89" i="5" s="1"/>
  <c r="U89" i="5"/>
  <c r="P89" i="5"/>
  <c r="Z89" i="5" s="1"/>
  <c r="S88" i="5"/>
  <c r="AC88" i="5" s="1"/>
  <c r="V88" i="5"/>
  <c r="AF88" i="5" s="1"/>
  <c r="M88" i="5"/>
  <c r="W88" i="5" s="1"/>
  <c r="P88" i="5"/>
  <c r="T88" i="5"/>
  <c r="AD88" i="5" s="1"/>
  <c r="O84" i="5"/>
  <c r="Y84" i="5" s="1"/>
  <c r="T82" i="5"/>
  <c r="AD82" i="5" s="1"/>
  <c r="N82" i="5"/>
  <c r="X82" i="5" s="1"/>
  <c r="P82" i="5"/>
  <c r="Z82" i="5" s="1"/>
  <c r="R82" i="5"/>
  <c r="AB82" i="5" s="1"/>
  <c r="M82" i="5"/>
  <c r="W82" i="5" s="1"/>
  <c r="Q82" i="5"/>
  <c r="AA82" i="5" s="1"/>
  <c r="U82" i="5"/>
  <c r="AE82" i="5" s="1"/>
  <c r="V81" i="5"/>
  <c r="AF81" i="5" s="1"/>
  <c r="Q81" i="5"/>
  <c r="AA81" i="5" s="1"/>
  <c r="M81" i="5"/>
  <c r="W81" i="5" s="1"/>
  <c r="T81" i="5"/>
  <c r="P81" i="5"/>
  <c r="Z81" i="5" s="1"/>
  <c r="N81" i="5"/>
  <c r="X81" i="5" s="1"/>
  <c r="R81" i="5"/>
  <c r="AB81" i="5" s="1"/>
  <c r="S81" i="5"/>
  <c r="AC81" i="5" s="1"/>
  <c r="O81" i="5"/>
  <c r="AI81" i="5" s="1"/>
  <c r="V80" i="5"/>
  <c r="AF80" i="5" s="1"/>
  <c r="U80" i="5"/>
  <c r="AE80" i="5" s="1"/>
  <c r="N80" i="5"/>
  <c r="X80" i="5" s="1"/>
  <c r="P80" i="5"/>
  <c r="Z80" i="5" s="1"/>
  <c r="T77" i="5"/>
  <c r="P77" i="5"/>
  <c r="Z77" i="5" s="1"/>
  <c r="O77" i="5"/>
  <c r="Y77" i="5" s="1"/>
  <c r="M77" i="5"/>
  <c r="AG77" i="5" s="1"/>
  <c r="S75" i="5"/>
  <c r="AC75" i="5" s="1"/>
  <c r="S73" i="5"/>
  <c r="AC73" i="5" s="1"/>
  <c r="T73" i="5"/>
  <c r="M71" i="5"/>
  <c r="W71" i="5" s="1"/>
  <c r="P71" i="5"/>
  <c r="Z71" i="5" s="1"/>
  <c r="S64" i="5"/>
  <c r="P64" i="5"/>
  <c r="Z64" i="5" s="1"/>
  <c r="M63" i="5"/>
  <c r="AG63" i="5" s="1"/>
  <c r="U63" i="5"/>
  <c r="AO63" i="5" s="1"/>
  <c r="T59" i="5"/>
  <c r="O59" i="5"/>
  <c r="AI59" i="5" s="1"/>
  <c r="V59" i="5"/>
  <c r="AF59" i="5" s="1"/>
  <c r="N56" i="5"/>
  <c r="X56" i="5" s="1"/>
  <c r="Q55" i="5"/>
  <c r="AA55" i="5" s="1"/>
  <c r="T55" i="5"/>
  <c r="AD55" i="5" s="1"/>
  <c r="Q53" i="5"/>
  <c r="AA53" i="5" s="1"/>
  <c r="O53" i="5"/>
  <c r="Y53" i="5" s="1"/>
  <c r="U53" i="5"/>
  <c r="AE53" i="5" s="1"/>
  <c r="P53" i="5"/>
  <c r="N53" i="5"/>
  <c r="X53" i="5" s="1"/>
  <c r="T51" i="5"/>
  <c r="O51" i="5"/>
  <c r="Y51" i="5" s="1"/>
  <c r="M51" i="5"/>
  <c r="W51" i="5" s="1"/>
  <c r="R51" i="5"/>
  <c r="AB51" i="5" s="1"/>
  <c r="N51" i="5"/>
  <c r="X51" i="5" s="1"/>
  <c r="P51" i="5"/>
  <c r="Z51" i="5" s="1"/>
  <c r="M50" i="5"/>
  <c r="W50" i="5" s="1"/>
  <c r="N50" i="5"/>
  <c r="X50" i="5" s="1"/>
  <c r="U50" i="5"/>
  <c r="AE50" i="5" s="1"/>
  <c r="U48" i="5"/>
  <c r="AE48" i="5" s="1"/>
  <c r="N47" i="5"/>
  <c r="X47" i="5" s="1"/>
  <c r="S47" i="5"/>
  <c r="AC47" i="5" s="1"/>
  <c r="S45" i="5"/>
  <c r="AC45" i="5" s="1"/>
  <c r="U44" i="5"/>
  <c r="AO44" i="5" s="1"/>
  <c r="V43" i="5"/>
  <c r="AF43" i="5" s="1"/>
  <c r="U43" i="5"/>
  <c r="AO43" i="5" s="1"/>
  <c r="R43" i="5"/>
  <c r="AB43" i="5" s="1"/>
  <c r="Q43" i="5"/>
  <c r="AA43" i="5" s="1"/>
  <c r="N43" i="5"/>
  <c r="X43" i="5" s="1"/>
  <c r="P42" i="5"/>
  <c r="O42" i="5"/>
  <c r="Y42" i="5" s="1"/>
  <c r="V57" i="5"/>
  <c r="AF57" i="5" s="1"/>
  <c r="V73" i="5"/>
  <c r="AF73" i="5" s="1"/>
  <c r="N73" i="5"/>
  <c r="X73" i="5" s="1"/>
  <c r="T50" i="5"/>
  <c r="T42" i="5"/>
  <c r="AN42" i="5" s="1"/>
  <c r="V42" i="5"/>
  <c r="AF42" i="5" s="1"/>
  <c r="M42" i="5"/>
  <c r="AG42" i="5" s="1"/>
  <c r="U77" i="5"/>
  <c r="AO77" i="5" s="1"/>
  <c r="N69" i="5"/>
  <c r="X69" i="5" s="1"/>
  <c r="M56" i="5"/>
  <c r="W56" i="5" s="1"/>
  <c r="R48" i="5"/>
  <c r="AB48" i="5" s="1"/>
  <c r="S48" i="5"/>
  <c r="AC48" i="5" s="1"/>
  <c r="R90" i="5"/>
  <c r="AB90" i="5" s="1"/>
  <c r="N75" i="5"/>
  <c r="X75" i="5" s="1"/>
  <c r="U88" i="5"/>
  <c r="AO88" i="5" s="1"/>
  <c r="O43" i="5"/>
  <c r="T43" i="5"/>
  <c r="N71" i="5"/>
  <c r="X71" i="5" s="1"/>
  <c r="M45" i="5"/>
  <c r="AG45" i="5" s="1"/>
  <c r="T57" i="5"/>
  <c r="AD57" i="5" s="1"/>
  <c r="T89" i="5"/>
  <c r="AD89" i="5" s="1"/>
  <c r="M64" i="5"/>
  <c r="W64" i="5" s="1"/>
  <c r="O85" i="5"/>
  <c r="AI85" i="5" s="1"/>
  <c r="T44" i="5"/>
  <c r="AI83" i="5"/>
  <c r="N42" i="5"/>
  <c r="X42" i="5" s="1"/>
  <c r="Q69" i="5"/>
  <c r="AA69" i="5" s="1"/>
  <c r="O73" i="5"/>
  <c r="AI73" i="5" s="1"/>
  <c r="R42" i="5"/>
  <c r="AB42" i="5" s="1"/>
  <c r="U42" i="5"/>
  <c r="AE42" i="5" s="1"/>
  <c r="M69" i="5"/>
  <c r="W69" i="5" s="1"/>
  <c r="Q48" i="5"/>
  <c r="AA48" i="5" s="1"/>
  <c r="O75" i="5"/>
  <c r="Y75" i="5" s="1"/>
  <c r="S57" i="5"/>
  <c r="AC57" i="5" s="1"/>
  <c r="P60" i="5"/>
  <c r="Z60" i="5" s="1"/>
  <c r="M60" i="5"/>
  <c r="W60" i="5" s="1"/>
  <c r="R60" i="5"/>
  <c r="AB60" i="5" s="1"/>
  <c r="T60" i="5"/>
  <c r="AD60" i="5" s="1"/>
  <c r="Q60" i="5"/>
  <c r="AA60" i="5" s="1"/>
  <c r="V60" i="5"/>
  <c r="AF60" i="5" s="1"/>
  <c r="O60" i="5"/>
  <c r="Y60" i="5" s="1"/>
  <c r="S60" i="5"/>
  <c r="AC60" i="5" s="1"/>
  <c r="P72" i="5"/>
  <c r="S72" i="5"/>
  <c r="AC72" i="5" s="1"/>
  <c r="N72" i="5"/>
  <c r="X72" i="5" s="1"/>
  <c r="T63" i="5"/>
  <c r="O63" i="5"/>
  <c r="Y63" i="5" s="1"/>
  <c r="R63" i="5"/>
  <c r="AB63" i="5" s="1"/>
  <c r="AI50" i="5"/>
  <c r="S50" i="5"/>
  <c r="AC50" i="5" s="1"/>
  <c r="S42" i="5"/>
  <c r="AC42" i="5" s="1"/>
  <c r="Q77" i="5"/>
  <c r="AA77" i="5" s="1"/>
  <c r="V77" i="5"/>
  <c r="AF77" i="5" s="1"/>
  <c r="R69" i="5"/>
  <c r="AB69" i="5" s="1"/>
  <c r="V53" i="5"/>
  <c r="AF53" i="5" s="1"/>
  <c r="S53" i="5"/>
  <c r="AC53" i="5" s="1"/>
  <c r="R53" i="5"/>
  <c r="AB53" i="5" s="1"/>
  <c r="M53" i="5"/>
  <c r="W53" i="5" s="1"/>
  <c r="M62" i="5"/>
  <c r="W62" i="5" s="1"/>
  <c r="V48" i="5"/>
  <c r="AF48" i="5" s="1"/>
  <c r="M80" i="5"/>
  <c r="W80" i="5" s="1"/>
  <c r="O80" i="5"/>
  <c r="Y80" i="5" s="1"/>
  <c r="V51" i="5"/>
  <c r="AF51" i="5" s="1"/>
  <c r="U51" i="5"/>
  <c r="Q51" i="5"/>
  <c r="AA51" i="5" s="1"/>
  <c r="Q47" i="5"/>
  <c r="AA47" i="5" s="1"/>
  <c r="Q59" i="5"/>
  <c r="AA59" i="5" s="1"/>
  <c r="S71" i="5"/>
  <c r="AC71" i="5" s="1"/>
  <c r="T45" i="5"/>
  <c r="AD45" i="5" s="1"/>
  <c r="P57" i="5"/>
  <c r="Z57" i="5" s="1"/>
  <c r="U86" i="5"/>
  <c r="AO86" i="5" s="1"/>
  <c r="S86" i="5"/>
  <c r="AC86" i="5" s="1"/>
  <c r="T86" i="5"/>
  <c r="AD86" i="5" s="1"/>
  <c r="O86" i="5"/>
  <c r="AI86" i="5" s="1"/>
  <c r="Q86" i="5"/>
  <c r="AA86" i="5" s="1"/>
  <c r="T62" i="5"/>
  <c r="R62" i="5"/>
  <c r="AB62" i="5" s="1"/>
  <c r="S62" i="5"/>
  <c r="AC62" i="5" s="1"/>
  <c r="N62" i="5"/>
  <c r="X62" i="5" s="1"/>
  <c r="P63" i="5"/>
  <c r="V63" i="5"/>
  <c r="AF63" i="5" s="1"/>
  <c r="S69" i="5"/>
  <c r="AC69" i="5" s="1"/>
  <c r="O69" i="5"/>
  <c r="Y69" i="5" s="1"/>
  <c r="T69" i="5"/>
  <c r="O62" i="5"/>
  <c r="Y62" i="5" s="1"/>
  <c r="V62" i="5"/>
  <c r="AF62" i="5" s="1"/>
  <c r="O56" i="5"/>
  <c r="Y56" i="5" s="1"/>
  <c r="T56" i="5"/>
  <c r="P48" i="5"/>
  <c r="Z48" i="5" s="1"/>
  <c r="O48" i="5"/>
  <c r="Y48" i="5" s="1"/>
  <c r="N48" i="5"/>
  <c r="X48" i="5" s="1"/>
  <c r="R55" i="5"/>
  <c r="AB55" i="5" s="1"/>
  <c r="M55" i="5"/>
  <c r="AG55" i="5" s="1"/>
  <c r="P61" i="5"/>
  <c r="Z61" i="5" s="1"/>
  <c r="S61" i="5"/>
  <c r="AC61" i="5" s="1"/>
  <c r="O61" i="5"/>
  <c r="Y61" i="5" s="1"/>
  <c r="T65" i="5"/>
  <c r="N65" i="5"/>
  <c r="X65" i="5" s="1"/>
  <c r="U60" i="5"/>
  <c r="AO60" i="5" s="1"/>
  <c r="M52" i="5"/>
  <c r="AG52" i="5" s="1"/>
  <c r="T52" i="5"/>
  <c r="P52" i="5"/>
  <c r="Z52" i="5" s="1"/>
  <c r="Q52" i="5"/>
  <c r="AA52" i="5" s="1"/>
  <c r="N52" i="5"/>
  <c r="X52" i="5" s="1"/>
  <c r="P62" i="5"/>
  <c r="Q62" i="5"/>
  <c r="AA62" i="5" s="1"/>
  <c r="U62" i="5"/>
  <c r="AE62" i="5" s="1"/>
  <c r="R59" i="5"/>
  <c r="AB59" i="5" s="1"/>
  <c r="S59" i="5"/>
  <c r="AC59" i="5" s="1"/>
  <c r="M59" i="5"/>
  <c r="AG59" i="5" s="1"/>
  <c r="O71" i="5"/>
  <c r="Y71" i="5" s="1"/>
  <c r="Q71" i="5"/>
  <c r="AA71" i="5" s="1"/>
  <c r="T71" i="5"/>
  <c r="AD71" i="5" s="1"/>
  <c r="N57" i="5"/>
  <c r="X57" i="5" s="1"/>
  <c r="M57" i="5"/>
  <c r="AG57" i="5" s="1"/>
  <c r="U57" i="5"/>
  <c r="AE57" i="5" s="1"/>
  <c r="R57" i="5"/>
  <c r="AB57" i="5" s="1"/>
  <c r="N60" i="5"/>
  <c r="X60" i="5" s="1"/>
  <c r="N88" i="5"/>
  <c r="X88" i="5" s="1"/>
  <c r="O89" i="5"/>
  <c r="AI89" i="5" s="1"/>
  <c r="V89" i="5"/>
  <c r="AF89" i="5" s="1"/>
  <c r="Q89" i="5"/>
  <c r="AA89" i="5" s="1"/>
  <c r="U64" i="5"/>
  <c r="AE64" i="5" s="1"/>
  <c r="T64" i="5"/>
  <c r="AD64" i="5" s="1"/>
  <c r="N64" i="5"/>
  <c r="X64" i="5" s="1"/>
  <c r="Q64" i="5"/>
  <c r="AA64" i="5" s="1"/>
  <c r="M44" i="5"/>
  <c r="O44" i="5"/>
  <c r="R64" i="5"/>
  <c r="AB64" i="5" s="1"/>
  <c r="O64" i="5"/>
  <c r="Y64" i="5" s="1"/>
  <c r="T85" i="5"/>
  <c r="N44" i="5"/>
  <c r="X44" i="5" s="1"/>
  <c r="R44" i="5"/>
  <c r="AB44" i="5" s="1"/>
  <c r="R54" i="5"/>
  <c r="AB54" i="5" s="1"/>
  <c r="Q67" i="5"/>
  <c r="AA67" i="5" s="1"/>
  <c r="Q49" i="5"/>
  <c r="AA49" i="5" s="1"/>
  <c r="R49" i="5"/>
  <c r="AB49" i="5" s="1"/>
  <c r="P65" i="5"/>
  <c r="V65" i="5"/>
  <c r="AF65" i="5" s="1"/>
  <c r="R65" i="5"/>
  <c r="AB65" i="5" s="1"/>
  <c r="AI76" i="5"/>
  <c r="Q63" i="5"/>
  <c r="AA63" i="5" s="1"/>
  <c r="U73" i="5"/>
  <c r="M73" i="5"/>
  <c r="AG73" i="5" s="1"/>
  <c r="O54" i="5"/>
  <c r="Y54" i="5" s="1"/>
  <c r="Q54" i="5"/>
  <c r="AA54" i="5" s="1"/>
  <c r="M54" i="5"/>
  <c r="W54" i="5" s="1"/>
  <c r="R50" i="5"/>
  <c r="AB50" i="5" s="1"/>
  <c r="P50" i="5"/>
  <c r="Q50" i="5"/>
  <c r="AA50" i="5" s="1"/>
  <c r="V50" i="5"/>
  <c r="AF50" i="5" s="1"/>
  <c r="R46" i="5"/>
  <c r="AB46" i="5" s="1"/>
  <c r="N46" i="5"/>
  <c r="X46" i="5" s="1"/>
  <c r="P46" i="5"/>
  <c r="Z46" i="5" s="1"/>
  <c r="R77" i="5"/>
  <c r="AB77" i="5" s="1"/>
  <c r="S77" i="5"/>
  <c r="AC77" i="5" s="1"/>
  <c r="P69" i="5"/>
  <c r="Z69" i="5" s="1"/>
  <c r="P56" i="5"/>
  <c r="Z56" i="5" s="1"/>
  <c r="V56" i="5"/>
  <c r="AF56" i="5" s="1"/>
  <c r="V90" i="5"/>
  <c r="AF90" i="5" s="1"/>
  <c r="Q90" i="5"/>
  <c r="AA90" i="5" s="1"/>
  <c r="AI82" i="5"/>
  <c r="S82" i="5"/>
  <c r="AC82" i="5" s="1"/>
  <c r="V82" i="5"/>
  <c r="AF82" i="5" s="1"/>
  <c r="Q75" i="5"/>
  <c r="AA75" i="5" s="1"/>
  <c r="S67" i="5"/>
  <c r="AC67" i="5" s="1"/>
  <c r="R80" i="5"/>
  <c r="AB80" i="5" s="1"/>
  <c r="S80" i="5"/>
  <c r="AC80" i="5" s="1"/>
  <c r="T80" i="5"/>
  <c r="O55" i="5"/>
  <c r="AI55" i="5" s="1"/>
  <c r="P55" i="5"/>
  <c r="Z55" i="5" s="1"/>
  <c r="P47" i="5"/>
  <c r="Z47" i="5" s="1"/>
  <c r="M47" i="5"/>
  <c r="W47" i="5" s="1"/>
  <c r="U47" i="5"/>
  <c r="R47" i="5"/>
  <c r="AB47" i="5" s="1"/>
  <c r="O47" i="5"/>
  <c r="N49" i="5"/>
  <c r="X49" i="5" s="1"/>
  <c r="U49" i="5"/>
  <c r="AO49" i="5" s="1"/>
  <c r="O49" i="5"/>
  <c r="AI49" i="5" s="1"/>
  <c r="N59" i="5"/>
  <c r="X59" i="5" s="1"/>
  <c r="U59" i="5"/>
  <c r="AE59" i="5" s="1"/>
  <c r="M61" i="5"/>
  <c r="W61" i="5" s="1"/>
  <c r="U61" i="5"/>
  <c r="AO61" i="5" s="1"/>
  <c r="R61" i="5"/>
  <c r="AB61" i="5" s="1"/>
  <c r="Q61" i="5"/>
  <c r="AA61" i="5" s="1"/>
  <c r="N61" i="5"/>
  <c r="X61" i="5" s="1"/>
  <c r="O87" i="5"/>
  <c r="Y87" i="5" s="1"/>
  <c r="V87" i="5"/>
  <c r="AF87" i="5" s="1"/>
  <c r="V71" i="5"/>
  <c r="AF71" i="5" s="1"/>
  <c r="U71" i="5"/>
  <c r="AO71" i="5" s="1"/>
  <c r="R45" i="5"/>
  <c r="AB45" i="5" s="1"/>
  <c r="U45" i="5"/>
  <c r="AE45" i="5" s="1"/>
  <c r="S65" i="5"/>
  <c r="AC65" i="5" s="1"/>
  <c r="O65" i="5"/>
  <c r="AI65" i="5" s="1"/>
  <c r="Q65" i="5"/>
  <c r="AA65" i="5" s="1"/>
  <c r="U79" i="5"/>
  <c r="AE79" i="5" s="1"/>
  <c r="Q72" i="5"/>
  <c r="AA72" i="5" s="1"/>
  <c r="O72" i="5"/>
  <c r="Y72" i="5" s="1"/>
  <c r="M72" i="5"/>
  <c r="AG72" i="5" s="1"/>
  <c r="V72" i="5"/>
  <c r="AF72" i="5" s="1"/>
  <c r="U72" i="5"/>
  <c r="AO72" i="5" s="1"/>
  <c r="T72" i="5"/>
  <c r="R72" i="5"/>
  <c r="AB72" i="5" s="1"/>
  <c r="S54" i="5"/>
  <c r="AC54" i="5" s="1"/>
  <c r="P54" i="5"/>
  <c r="Z54" i="5" s="1"/>
  <c r="N54" i="5"/>
  <c r="X54" i="5" s="1"/>
  <c r="U46" i="5"/>
  <c r="AE46" i="5" s="1"/>
  <c r="M46" i="5"/>
  <c r="W46" i="5" s="1"/>
  <c r="U56" i="5"/>
  <c r="AO56" i="5" s="1"/>
  <c r="S56" i="5"/>
  <c r="AC56" i="5" s="1"/>
  <c r="U67" i="5"/>
  <c r="AO67" i="5" s="1"/>
  <c r="R67" i="5"/>
  <c r="AB67" i="5" s="1"/>
  <c r="N67" i="5"/>
  <c r="X67" i="5" s="1"/>
  <c r="V49" i="5"/>
  <c r="AF49" i="5" s="1"/>
  <c r="M49" i="5"/>
  <c r="W49" i="5" s="1"/>
  <c r="U87" i="5"/>
  <c r="AO87" i="5" s="1"/>
  <c r="T87" i="5"/>
  <c r="S87" i="5"/>
  <c r="AC87" i="5" s="1"/>
  <c r="P87" i="5"/>
  <c r="Z87" i="5" s="1"/>
  <c r="M87" i="5"/>
  <c r="AG87" i="5" s="1"/>
  <c r="V45" i="5"/>
  <c r="AF45" i="5" s="1"/>
  <c r="N45" i="5"/>
  <c r="X45" i="5" s="1"/>
  <c r="P45" i="5"/>
  <c r="AI67" i="5"/>
  <c r="M79" i="5"/>
  <c r="AG79" i="5" s="1"/>
  <c r="T79" i="5"/>
  <c r="AD79" i="5" s="1"/>
  <c r="R79" i="5"/>
  <c r="AB79" i="5" s="1"/>
  <c r="P79" i="5"/>
  <c r="Z79" i="5" s="1"/>
  <c r="O79" i="5"/>
  <c r="AI79" i="5" s="1"/>
  <c r="V79" i="5"/>
  <c r="AF79" i="5" s="1"/>
  <c r="Q79" i="5"/>
  <c r="AA79" i="5" s="1"/>
  <c r="N79" i="5"/>
  <c r="X79" i="5" s="1"/>
  <c r="N84" i="5"/>
  <c r="X84" i="5" s="1"/>
  <c r="T84" i="5"/>
  <c r="Q84" i="5"/>
  <c r="AA84" i="5" s="1"/>
  <c r="U84" i="5"/>
  <c r="AO84" i="5" s="1"/>
  <c r="S84" i="5"/>
  <c r="AC84" i="5" s="1"/>
  <c r="P84" i="5"/>
  <c r="Z84" i="5" s="1"/>
  <c r="R84" i="5"/>
  <c r="AB84" i="5" s="1"/>
  <c r="V84" i="5"/>
  <c r="AF84" i="5" s="1"/>
  <c r="S46" i="5"/>
  <c r="AC46" i="5" s="1"/>
  <c r="S63" i="5"/>
  <c r="AC63" i="5" s="1"/>
  <c r="R73" i="5"/>
  <c r="AB73" i="5" s="1"/>
  <c r="P73" i="5"/>
  <c r="U54" i="5"/>
  <c r="AE54" i="5" s="1"/>
  <c r="T54" i="5"/>
  <c r="AD54" i="5" s="1"/>
  <c r="Q46" i="5"/>
  <c r="AA46" i="5" s="1"/>
  <c r="V46" i="5"/>
  <c r="AF46" i="5" s="1"/>
  <c r="O46" i="5"/>
  <c r="Y46" i="5" s="1"/>
  <c r="R56" i="5"/>
  <c r="AB56" i="5" s="1"/>
  <c r="AI90" i="5"/>
  <c r="M90" i="5"/>
  <c r="W90" i="5" s="1"/>
  <c r="V75" i="5"/>
  <c r="AF75" i="5" s="1"/>
  <c r="M75" i="5"/>
  <c r="W75" i="5" s="1"/>
  <c r="U75" i="5"/>
  <c r="AE75" i="5" s="1"/>
  <c r="T75" i="5"/>
  <c r="R75" i="5"/>
  <c r="AB75" i="5" s="1"/>
  <c r="M67" i="5"/>
  <c r="AG67" i="5" s="1"/>
  <c r="T67" i="5"/>
  <c r="AD67" i="5" s="1"/>
  <c r="P67" i="5"/>
  <c r="Z67" i="5" s="1"/>
  <c r="U55" i="5"/>
  <c r="AO55" i="5" s="1"/>
  <c r="S55" i="5"/>
  <c r="AC55" i="5" s="1"/>
  <c r="N55" i="5"/>
  <c r="X55" i="5" s="1"/>
  <c r="T49" i="5"/>
  <c r="AD49" i="5" s="1"/>
  <c r="S49" i="5"/>
  <c r="AC49" i="5" s="1"/>
  <c r="Q87" i="5"/>
  <c r="AA87" i="5" s="1"/>
  <c r="N87" i="5"/>
  <c r="X87" i="5" s="1"/>
  <c r="Q45" i="5"/>
  <c r="AA45" i="5" s="1"/>
  <c r="M65" i="5"/>
  <c r="AG65" i="5" s="1"/>
  <c r="U65" i="5"/>
  <c r="AE65" i="5" s="1"/>
  <c r="O88" i="5"/>
  <c r="AI88" i="5" s="1"/>
  <c r="Q88" i="5"/>
  <c r="AA88" i="5" s="1"/>
  <c r="M43" i="5"/>
  <c r="W43" i="5" s="1"/>
  <c r="AI74" i="5"/>
  <c r="AI78" i="5"/>
  <c r="R86" i="5"/>
  <c r="AB86" i="5" s="1"/>
  <c r="V86" i="5"/>
  <c r="AF86" i="5" s="1"/>
  <c r="N89" i="5"/>
  <c r="X89" i="5" s="1"/>
  <c r="N85" i="5"/>
  <c r="X85" i="5" s="1"/>
  <c r="P85" i="5"/>
  <c r="R85" i="5"/>
  <c r="AB85" i="5" s="1"/>
  <c r="Q44" i="5"/>
  <c r="AA44" i="5" s="1"/>
  <c r="P44" i="5"/>
  <c r="V44" i="5"/>
  <c r="AF44" i="5" s="1"/>
  <c r="N86" i="5"/>
  <c r="X86" i="5" s="1"/>
  <c r="M86" i="5"/>
  <c r="V85" i="5"/>
  <c r="AF85" i="5" s="1"/>
  <c r="U52" i="5"/>
  <c r="R52" i="5"/>
  <c r="AB52" i="5" s="1"/>
  <c r="Q85" i="5"/>
  <c r="AA85" i="5" s="1"/>
  <c r="M85" i="5"/>
  <c r="S85" i="5"/>
  <c r="AC85" i="5" s="1"/>
  <c r="V52" i="5"/>
  <c r="AF52" i="5" s="1"/>
  <c r="O52" i="5"/>
  <c r="AI52" i="5" s="1"/>
  <c r="H109" i="5" l="1"/>
  <c r="G109" i="5" s="1"/>
  <c r="H107" i="5"/>
  <c r="G107" i="5" s="1"/>
  <c r="H101" i="5"/>
  <c r="G101" i="5" s="1"/>
  <c r="H98" i="5"/>
  <c r="G98" i="5" s="1"/>
  <c r="H96" i="5"/>
  <c r="G96" i="5" s="1"/>
  <c r="H95" i="5"/>
  <c r="G95" i="5" s="1"/>
  <c r="H93" i="5"/>
  <c r="G93" i="5" s="1"/>
  <c r="J92" i="5"/>
  <c r="J104" i="5"/>
  <c r="H104" i="5" s="1"/>
  <c r="AO68" i="5"/>
  <c r="J99" i="5"/>
  <c r="AG78" i="5"/>
  <c r="AG68" i="5"/>
  <c r="AO83" i="5"/>
  <c r="J110" i="5"/>
  <c r="AH68" i="5"/>
  <c r="AH91" i="5"/>
  <c r="J102" i="5"/>
  <c r="AH74" i="5"/>
  <c r="AH70" i="5"/>
  <c r="AG89" i="5"/>
  <c r="AH76" i="5"/>
  <c r="AG66" i="5"/>
  <c r="AH66" i="5"/>
  <c r="AH78" i="5"/>
  <c r="AO76" i="5"/>
  <c r="AH58" i="5"/>
  <c r="AG83" i="5"/>
  <c r="AH83" i="5"/>
  <c r="AG71" i="5"/>
  <c r="W70" i="5"/>
  <c r="AG70" i="5"/>
  <c r="AI66" i="5"/>
  <c r="AI48" i="5"/>
  <c r="AI68" i="5"/>
  <c r="AI60" i="5"/>
  <c r="AI58" i="5"/>
  <c r="AI57" i="5"/>
  <c r="AI45" i="5"/>
  <c r="AK91" i="5"/>
  <c r="AK90" i="5"/>
  <c r="AK89" i="5"/>
  <c r="AK88" i="5"/>
  <c r="AK87" i="5"/>
  <c r="AK86" i="5"/>
  <c r="AK85" i="5"/>
  <c r="AK84" i="5"/>
  <c r="AK83" i="5"/>
  <c r="AK82" i="5"/>
  <c r="AK81" i="5"/>
  <c r="AK80" i="5"/>
  <c r="AK79" i="5"/>
  <c r="AK78" i="5"/>
  <c r="AK77" i="5"/>
  <c r="AK76" i="5"/>
  <c r="AK75" i="5"/>
  <c r="AK74" i="5"/>
  <c r="AK73" i="5"/>
  <c r="AK72" i="5"/>
  <c r="AK71" i="5"/>
  <c r="AK70" i="5"/>
  <c r="AK69" i="5"/>
  <c r="AK68" i="5"/>
  <c r="AK67" i="5"/>
  <c r="AK66" i="5"/>
  <c r="AK65" i="5"/>
  <c r="AK64" i="5"/>
  <c r="AK63" i="5"/>
  <c r="AK62" i="5"/>
  <c r="AK61" i="5"/>
  <c r="AK60" i="5"/>
  <c r="AK59" i="5"/>
  <c r="AK58" i="5"/>
  <c r="AK57" i="5"/>
  <c r="AK56" i="5"/>
  <c r="AK55" i="5"/>
  <c r="AK54" i="5"/>
  <c r="AK53" i="5"/>
  <c r="AK52" i="5"/>
  <c r="AK51" i="5"/>
  <c r="AK50" i="5"/>
  <c r="AK49" i="5"/>
  <c r="AK48" i="5"/>
  <c r="AK47" i="5"/>
  <c r="AK46" i="5"/>
  <c r="AK45" i="5"/>
  <c r="AK44" i="5"/>
  <c r="AK43" i="5"/>
  <c r="AK42" i="5"/>
  <c r="AM70" i="5"/>
  <c r="AJ70" i="5"/>
  <c r="AL70" i="5"/>
  <c r="AE70" i="5"/>
  <c r="Y70" i="5"/>
  <c r="AN70" i="5"/>
  <c r="AJ60" i="5"/>
  <c r="AJ89" i="5"/>
  <c r="AJ55" i="5"/>
  <c r="AJ67" i="5"/>
  <c r="AJ43" i="5"/>
  <c r="AJ86" i="5"/>
  <c r="AJ79" i="5"/>
  <c r="AJ54" i="5"/>
  <c r="AJ77" i="5"/>
  <c r="Z85" i="5"/>
  <c r="AJ85" i="5"/>
  <c r="Z45" i="5"/>
  <c r="AJ45" i="5"/>
  <c r="Z63" i="5"/>
  <c r="AJ63" i="5"/>
  <c r="Z53" i="5"/>
  <c r="AJ53" i="5"/>
  <c r="AJ84" i="5"/>
  <c r="AJ90" i="5"/>
  <c r="AJ80" i="5"/>
  <c r="AJ51" i="5"/>
  <c r="Z42" i="5"/>
  <c r="AJ42" i="5"/>
  <c r="AJ52" i="5"/>
  <c r="AJ49" i="5"/>
  <c r="AJ69" i="5"/>
  <c r="AJ66" i="5"/>
  <c r="AJ78" i="5"/>
  <c r="AJ87" i="5"/>
  <c r="AJ56" i="5"/>
  <c r="AJ82" i="5"/>
  <c r="Z44" i="5"/>
  <c r="AJ44" i="5"/>
  <c r="Z65" i="5"/>
  <c r="AJ65" i="5"/>
  <c r="Z72" i="5"/>
  <c r="AJ72" i="5"/>
  <c r="Z58" i="5"/>
  <c r="AJ58" i="5"/>
  <c r="AJ81" i="5"/>
  <c r="AJ64" i="5"/>
  <c r="AJ68" i="5"/>
  <c r="Z73" i="5"/>
  <c r="AJ73" i="5"/>
  <c r="Z50" i="5"/>
  <c r="AJ50" i="5"/>
  <c r="Z62" i="5"/>
  <c r="AJ62" i="5"/>
  <c r="Z88" i="5"/>
  <c r="AJ88" i="5"/>
  <c r="Z59" i="5"/>
  <c r="AJ59" i="5"/>
  <c r="Z76" i="5"/>
  <c r="AJ76" i="5"/>
  <c r="Z91" i="5"/>
  <c r="AJ91" i="5"/>
  <c r="AJ83" i="5"/>
  <c r="AJ71" i="5"/>
  <c r="AJ48" i="5"/>
  <c r="AJ47" i="5"/>
  <c r="AJ74" i="5"/>
  <c r="AJ57" i="5"/>
  <c r="AJ75" i="5"/>
  <c r="AJ61" i="5"/>
  <c r="AJ46" i="5"/>
  <c r="W58" i="5"/>
  <c r="AN91" i="5"/>
  <c r="AL91" i="5"/>
  <c r="AL90" i="5"/>
  <c r="AL89" i="5"/>
  <c r="AL88" i="5"/>
  <c r="AL87" i="5"/>
  <c r="AL86" i="5"/>
  <c r="AL85" i="5"/>
  <c r="AL84" i="5"/>
  <c r="AL83" i="5"/>
  <c r="AL82" i="5"/>
  <c r="AL81" i="5"/>
  <c r="AL80" i="5"/>
  <c r="AL79" i="5"/>
  <c r="AL78" i="5"/>
  <c r="AL77" i="5"/>
  <c r="AL76" i="5"/>
  <c r="AL75" i="5"/>
  <c r="AL74" i="5"/>
  <c r="AL73" i="5"/>
  <c r="AL72" i="5"/>
  <c r="AL71" i="5"/>
  <c r="AL69" i="5"/>
  <c r="AL68" i="5"/>
  <c r="AL67" i="5"/>
  <c r="AL66" i="5"/>
  <c r="AL65" i="5"/>
  <c r="AL64" i="5"/>
  <c r="AL63" i="5"/>
  <c r="AL62" i="5"/>
  <c r="AL61" i="5"/>
  <c r="AL60" i="5"/>
  <c r="AL59" i="5"/>
  <c r="AL58" i="5"/>
  <c r="AL57" i="5"/>
  <c r="AL56" i="5"/>
  <c r="AL55" i="5"/>
  <c r="AL54" i="5"/>
  <c r="AL53" i="5"/>
  <c r="AL52" i="5"/>
  <c r="AL51" i="5"/>
  <c r="AL50" i="5"/>
  <c r="AL49" i="5"/>
  <c r="AL48" i="5"/>
  <c r="AL47" i="5"/>
  <c r="AL46" i="5"/>
  <c r="AL45" i="5"/>
  <c r="AL44" i="5"/>
  <c r="AL43" i="5"/>
  <c r="AL42" i="5"/>
  <c r="AN74" i="5"/>
  <c r="AM68" i="5"/>
  <c r="AM74" i="5"/>
  <c r="W74" i="5"/>
  <c r="AN60" i="5"/>
  <c r="AN49" i="5"/>
  <c r="AN88" i="5"/>
  <c r="AN86" i="5"/>
  <c r="AN82" i="5"/>
  <c r="AN79" i="5"/>
  <c r="AE74" i="5"/>
  <c r="AN71" i="5"/>
  <c r="J68" i="5"/>
  <c r="H68" i="5" s="1"/>
  <c r="AN68" i="5"/>
  <c r="AN67" i="5"/>
  <c r="AN57" i="5"/>
  <c r="AN55" i="5"/>
  <c r="AN54" i="5"/>
  <c r="AN45" i="5"/>
  <c r="AD90" i="5"/>
  <c r="J90" i="5" s="1"/>
  <c r="H90" i="5" s="1"/>
  <c r="AN90" i="5"/>
  <c r="AN89" i="5"/>
  <c r="AD87" i="5"/>
  <c r="AN87" i="5"/>
  <c r="AD85" i="5"/>
  <c r="AN85" i="5"/>
  <c r="AD84" i="5"/>
  <c r="AN84" i="5"/>
  <c r="AD83" i="5"/>
  <c r="J83" i="5" s="1"/>
  <c r="H83" i="5" s="1"/>
  <c r="AN83" i="5"/>
  <c r="AD81" i="5"/>
  <c r="AN81" i="5"/>
  <c r="AD80" i="5"/>
  <c r="J80" i="5" s="1"/>
  <c r="H80" i="5" s="1"/>
  <c r="AN80" i="5"/>
  <c r="AD78" i="5"/>
  <c r="AN78" i="5"/>
  <c r="AD77" i="5"/>
  <c r="AN77" i="5"/>
  <c r="AD76" i="5"/>
  <c r="AN76" i="5"/>
  <c r="AD75" i="5"/>
  <c r="J75" i="5" s="1"/>
  <c r="H75" i="5" s="1"/>
  <c r="AN75" i="5"/>
  <c r="AD73" i="5"/>
  <c r="AN73" i="5"/>
  <c r="AD72" i="5"/>
  <c r="AN72" i="5"/>
  <c r="AD69" i="5"/>
  <c r="AN69" i="5"/>
  <c r="AD66" i="5"/>
  <c r="AN66" i="5"/>
  <c r="AD65" i="5"/>
  <c r="AN65" i="5"/>
  <c r="AN64" i="5"/>
  <c r="AD63" i="5"/>
  <c r="AN63" i="5"/>
  <c r="AD62" i="5"/>
  <c r="AN62" i="5"/>
  <c r="AD61" i="5"/>
  <c r="AN61" i="5"/>
  <c r="AD59" i="5"/>
  <c r="AN59" i="5"/>
  <c r="AD58" i="5"/>
  <c r="AN58" i="5"/>
  <c r="AD56" i="5"/>
  <c r="AN56" i="5"/>
  <c r="AD53" i="5"/>
  <c r="AN53" i="5"/>
  <c r="AD52" i="5"/>
  <c r="AN52" i="5"/>
  <c r="AD51" i="5"/>
  <c r="AN51" i="5"/>
  <c r="AD50" i="5"/>
  <c r="AN50" i="5"/>
  <c r="AN48" i="5"/>
  <c r="AD47" i="5"/>
  <c r="AN47" i="5"/>
  <c r="AD46" i="5"/>
  <c r="J46" i="5" s="1"/>
  <c r="H46" i="5" s="1"/>
  <c r="AN46" i="5"/>
  <c r="AD44" i="5"/>
  <c r="AN44" i="5"/>
  <c r="AD43" i="5"/>
  <c r="AN43" i="5"/>
  <c r="AD42" i="5"/>
  <c r="AM83" i="5"/>
  <c r="AM78" i="5"/>
  <c r="AO91" i="5"/>
  <c r="W91" i="5"/>
  <c r="AM91" i="5"/>
  <c r="AE66" i="5"/>
  <c r="W76" i="5"/>
  <c r="AC89" i="5"/>
  <c r="AE78" i="5"/>
  <c r="AC52" i="5"/>
  <c r="AM66" i="5"/>
  <c r="AO58" i="5"/>
  <c r="AM58" i="5"/>
  <c r="AM51" i="5"/>
  <c r="AM76" i="5"/>
  <c r="AM79" i="5"/>
  <c r="AM73" i="5"/>
  <c r="AM90" i="5"/>
  <c r="AM88" i="5"/>
  <c r="AM87" i="5"/>
  <c r="AM86" i="5"/>
  <c r="AM85" i="5"/>
  <c r="AM84" i="5"/>
  <c r="AM82" i="5"/>
  <c r="AM81" i="5"/>
  <c r="AM80" i="5"/>
  <c r="AM77" i="5"/>
  <c r="AM75" i="5"/>
  <c r="AM72" i="5"/>
  <c r="AM71" i="5"/>
  <c r="AM69" i="5"/>
  <c r="AM67" i="5"/>
  <c r="AM65" i="5"/>
  <c r="AC64" i="5"/>
  <c r="J64" i="5" s="1"/>
  <c r="AM64" i="5"/>
  <c r="AM63" i="5"/>
  <c r="AM62" i="5"/>
  <c r="AM61" i="5"/>
  <c r="AM60" i="5"/>
  <c r="AM59" i="5"/>
  <c r="AM57" i="5"/>
  <c r="AM56" i="5"/>
  <c r="AM55" i="5"/>
  <c r="AM54" i="5"/>
  <c r="AM53" i="5"/>
  <c r="AM50" i="5"/>
  <c r="AM49" i="5"/>
  <c r="AM48" i="5"/>
  <c r="AM47" i="5"/>
  <c r="AM46" i="5"/>
  <c r="AM45" i="5"/>
  <c r="AM44" i="5"/>
  <c r="AM43" i="5"/>
  <c r="AM42" i="5"/>
  <c r="G97" i="5"/>
  <c r="G105" i="5"/>
  <c r="AE44" i="5"/>
  <c r="AO85" i="5"/>
  <c r="X77" i="5"/>
  <c r="G111" i="5"/>
  <c r="G108" i="5"/>
  <c r="W84" i="5"/>
  <c r="X63" i="5"/>
  <c r="AG48" i="5"/>
  <c r="AE81" i="5"/>
  <c r="AH90" i="5"/>
  <c r="AH89" i="5"/>
  <c r="AH88" i="5"/>
  <c r="AH87" i="5"/>
  <c r="AH86" i="5"/>
  <c r="AH85" i="5"/>
  <c r="AH84" i="5"/>
  <c r="AH82" i="5"/>
  <c r="AH81" i="5"/>
  <c r="AH80" i="5"/>
  <c r="AH79" i="5"/>
  <c r="AH75" i="5"/>
  <c r="AH73" i="5"/>
  <c r="AH72" i="5"/>
  <c r="AH71" i="5"/>
  <c r="AH69" i="5"/>
  <c r="AH67" i="5"/>
  <c r="AH65" i="5"/>
  <c r="AH64" i="5"/>
  <c r="AH62" i="5"/>
  <c r="AH61" i="5"/>
  <c r="AH60" i="5"/>
  <c r="AH59" i="5"/>
  <c r="AH57" i="5"/>
  <c r="AH56" i="5"/>
  <c r="AH55" i="5"/>
  <c r="AH54" i="5"/>
  <c r="AH53" i="5"/>
  <c r="AH52" i="5"/>
  <c r="AH51" i="5"/>
  <c r="AH50" i="5"/>
  <c r="AH49" i="5"/>
  <c r="AH48" i="5"/>
  <c r="AH47" i="5"/>
  <c r="AH46" i="5"/>
  <c r="AH45" i="5"/>
  <c r="AH44" i="5"/>
  <c r="AH43" i="5"/>
  <c r="AH42" i="5"/>
  <c r="G103" i="5"/>
  <c r="AG46" i="5"/>
  <c r="G104" i="5"/>
  <c r="G106" i="5"/>
  <c r="G100" i="5"/>
  <c r="AO48" i="5"/>
  <c r="W63" i="5"/>
  <c r="AE69" i="5"/>
  <c r="AG53" i="5"/>
  <c r="AG81" i="5"/>
  <c r="Y85" i="5"/>
  <c r="AI84" i="5"/>
  <c r="AG56" i="5"/>
  <c r="AO80" i="5"/>
  <c r="AO42" i="5"/>
  <c r="AI75" i="5"/>
  <c r="AE63" i="5"/>
  <c r="AO90" i="5"/>
  <c r="AO89" i="5"/>
  <c r="AE89" i="5"/>
  <c r="AG88" i="5"/>
  <c r="AE86" i="5"/>
  <c r="AG82" i="5"/>
  <c r="AO82" i="5"/>
  <c r="Y81" i="5"/>
  <c r="AG80" i="5"/>
  <c r="AI77" i="5"/>
  <c r="W77" i="5"/>
  <c r="AE77" i="5"/>
  <c r="W73" i="5"/>
  <c r="AI72" i="5"/>
  <c r="AG69" i="5"/>
  <c r="AI63" i="5"/>
  <c r="AI61" i="5"/>
  <c r="Y59" i="5"/>
  <c r="W59" i="5"/>
  <c r="AO57" i="5"/>
  <c r="AI56" i="5"/>
  <c r="AI54" i="5"/>
  <c r="AG54" i="5"/>
  <c r="AO53" i="5"/>
  <c r="AI53" i="5"/>
  <c r="AG51" i="5"/>
  <c r="AI51" i="5"/>
  <c r="AG50" i="5"/>
  <c r="AO50" i="5"/>
  <c r="AE43" i="5"/>
  <c r="AI42" i="5"/>
  <c r="W42" i="5"/>
  <c r="J48" i="5"/>
  <c r="AE84" i="5"/>
  <c r="Y79" i="5"/>
  <c r="W45" i="5"/>
  <c r="AO45" i="5"/>
  <c r="W55" i="5"/>
  <c r="AI62" i="5"/>
  <c r="AG90" i="5"/>
  <c r="AI69" i="5"/>
  <c r="Y73" i="5"/>
  <c r="AG64" i="5"/>
  <c r="W57" i="5"/>
  <c r="J57" i="5" s="1"/>
  <c r="H57" i="5" s="1"/>
  <c r="AE88" i="5"/>
  <c r="AI64" i="5"/>
  <c r="W52" i="5"/>
  <c r="AO64" i="5"/>
  <c r="Y86" i="5"/>
  <c r="AG75" i="5"/>
  <c r="AE56" i="5"/>
  <c r="Y65" i="5"/>
  <c r="AE49" i="5"/>
  <c r="AI80" i="5"/>
  <c r="J82" i="5"/>
  <c r="AG60" i="5"/>
  <c r="Y43" i="5"/>
  <c r="AI43" i="5"/>
  <c r="Y44" i="5"/>
  <c r="AI44" i="5"/>
  <c r="AE60" i="5"/>
  <c r="J60" i="5" s="1"/>
  <c r="H60" i="5" s="1"/>
  <c r="AG43" i="5"/>
  <c r="Y55" i="5"/>
  <c r="AI71" i="5"/>
  <c r="AE61" i="5"/>
  <c r="AG61" i="5"/>
  <c r="AO62" i="5"/>
  <c r="AG44" i="5"/>
  <c r="W44" i="5"/>
  <c r="Y89" i="5"/>
  <c r="W87" i="5"/>
  <c r="AI46" i="5"/>
  <c r="AE72" i="5"/>
  <c r="J54" i="5"/>
  <c r="H54" i="5" s="1"/>
  <c r="W65" i="5"/>
  <c r="AO51" i="5"/>
  <c r="AE51" i="5"/>
  <c r="AG62" i="5"/>
  <c r="AO65" i="5"/>
  <c r="AE71" i="5"/>
  <c r="J71" i="5" s="1"/>
  <c r="H71" i="5" s="1"/>
  <c r="AG47" i="5"/>
  <c r="AO73" i="5"/>
  <c r="AE73" i="5"/>
  <c r="Y49" i="5"/>
  <c r="AG49" i="5"/>
  <c r="AE67" i="5"/>
  <c r="AO75" i="5"/>
  <c r="AO79" i="5"/>
  <c r="AE87" i="5"/>
  <c r="AE47" i="5"/>
  <c r="AO47" i="5"/>
  <c r="AO46" i="5"/>
  <c r="AE52" i="5"/>
  <c r="AO52" i="5"/>
  <c r="AG85" i="5"/>
  <c r="W85" i="5"/>
  <c r="Y88" i="5"/>
  <c r="W72" i="5"/>
  <c r="AO59" i="5"/>
  <c r="W86" i="5"/>
  <c r="AG86" i="5"/>
  <c r="Y52" i="5"/>
  <c r="W67" i="5"/>
  <c r="AO54" i="5"/>
  <c r="W79" i="5"/>
  <c r="AI87" i="5"/>
  <c r="Y47" i="5"/>
  <c r="AI47" i="5"/>
  <c r="AE55" i="5"/>
  <c r="H110" i="5" l="1"/>
  <c r="G110" i="5" s="1"/>
  <c r="H102" i="5"/>
  <c r="G102" i="5" s="1"/>
  <c r="H99" i="5"/>
  <c r="G99" i="5" s="1"/>
  <c r="H92" i="5"/>
  <c r="G92" i="5" s="1"/>
  <c r="H82" i="5"/>
  <c r="G82" i="5" s="1"/>
  <c r="H64" i="5"/>
  <c r="G64" i="5" s="1"/>
  <c r="H48" i="5"/>
  <c r="G48" i="5" s="1"/>
  <c r="J70" i="5"/>
  <c r="J91" i="5"/>
  <c r="J62" i="5"/>
  <c r="H62" i="5" s="1"/>
  <c r="J50" i="5"/>
  <c r="H50" i="5" s="1"/>
  <c r="J45" i="5"/>
  <c r="H45" i="5" s="1"/>
  <c r="J53" i="5"/>
  <c r="H53" i="5" s="1"/>
  <c r="J58" i="5"/>
  <c r="J76" i="5"/>
  <c r="J61" i="5"/>
  <c r="H61" i="5" s="1"/>
  <c r="J74" i="5"/>
  <c r="G68" i="5"/>
  <c r="J42" i="5"/>
  <c r="H42" i="5" s="1"/>
  <c r="J78" i="5"/>
  <c r="H78" i="5" s="1"/>
  <c r="J69" i="5"/>
  <c r="J66" i="5"/>
  <c r="H66" i="5" s="1"/>
  <c r="J56" i="5"/>
  <c r="J51" i="5"/>
  <c r="G83" i="5"/>
  <c r="J67" i="5"/>
  <c r="H67" i="5" s="1"/>
  <c r="J84" i="5"/>
  <c r="J81" i="5"/>
  <c r="H81" i="5" s="1"/>
  <c r="J44" i="5"/>
  <c r="H44" i="5" s="1"/>
  <c r="J63" i="5"/>
  <c r="J43" i="5"/>
  <c r="H43" i="5" s="1"/>
  <c r="J59" i="5"/>
  <c r="J77" i="5"/>
  <c r="J72" i="5"/>
  <c r="H72" i="5" s="1"/>
  <c r="J88" i="5"/>
  <c r="J79" i="5"/>
  <c r="H79" i="5" s="1"/>
  <c r="G90" i="5"/>
  <c r="J85" i="5"/>
  <c r="H85" i="5" s="1"/>
  <c r="J89" i="5"/>
  <c r="H89" i="5" s="1"/>
  <c r="J87" i="5"/>
  <c r="H87" i="5" s="1"/>
  <c r="J86" i="5"/>
  <c r="J65" i="5"/>
  <c r="G54" i="5"/>
  <c r="J49" i="5"/>
  <c r="J47" i="5"/>
  <c r="H47" i="5" s="1"/>
  <c r="G57" i="5"/>
  <c r="G60" i="5"/>
  <c r="J73" i="5"/>
  <c r="G80" i="5"/>
  <c r="J55" i="5"/>
  <c r="J52" i="5"/>
  <c r="H52" i="5" s="1"/>
  <c r="G75" i="5"/>
  <c r="G71" i="5"/>
  <c r="G46" i="5"/>
  <c r="Y14" i="5"/>
  <c r="Y13" i="5"/>
  <c r="Y17" i="5"/>
  <c r="Y15" i="5"/>
  <c r="Y16" i="5"/>
  <c r="H91" i="5" l="1"/>
  <c r="G91" i="5" s="1"/>
  <c r="H88" i="5"/>
  <c r="G88" i="5" s="1"/>
  <c r="H86" i="5"/>
  <c r="G86" i="5" s="1"/>
  <c r="H84" i="5"/>
  <c r="G84" i="5" s="1"/>
  <c r="H77" i="5"/>
  <c r="G77" i="5" s="1"/>
  <c r="H76" i="5"/>
  <c r="G76" i="5" s="1"/>
  <c r="H74" i="5"/>
  <c r="G74" i="5" s="1"/>
  <c r="H73" i="5"/>
  <c r="G73" i="5" s="1"/>
  <c r="H70" i="5"/>
  <c r="G70" i="5" s="1"/>
  <c r="H69" i="5"/>
  <c r="G69" i="5" s="1"/>
  <c r="H65" i="5"/>
  <c r="G65" i="5" s="1"/>
  <c r="H63" i="5"/>
  <c r="G63" i="5" s="1"/>
  <c r="H59" i="5"/>
  <c r="G59" i="5" s="1"/>
  <c r="H58" i="5"/>
  <c r="G58" i="5" s="1"/>
  <c r="H56" i="5"/>
  <c r="G56" i="5" s="1"/>
  <c r="H55" i="5"/>
  <c r="G55" i="5" s="1"/>
  <c r="H51" i="5"/>
  <c r="G51" i="5" s="1"/>
  <c r="H49" i="5"/>
  <c r="G49" i="5" s="1"/>
  <c r="G42" i="5"/>
  <c r="G45" i="5"/>
  <c r="G62" i="5"/>
  <c r="G50" i="5"/>
  <c r="G53" i="5"/>
  <c r="G61" i="5"/>
  <c r="G78" i="5"/>
  <c r="G66" i="5"/>
  <c r="G43" i="5"/>
  <c r="G67" i="5"/>
  <c r="G81" i="5"/>
  <c r="G44" i="5"/>
  <c r="G47" i="5"/>
  <c r="G87" i="5"/>
  <c r="G79" i="5"/>
  <c r="G72" i="5"/>
  <c r="G85" i="5"/>
  <c r="G89" i="5"/>
  <c r="G52" i="5"/>
  <c r="O26" i="5" l="1"/>
  <c r="Z11" i="5"/>
  <c r="S22" i="5" l="1"/>
  <c r="M16" i="5"/>
  <c r="D41" i="5"/>
  <c r="S23" i="5" l="1"/>
  <c r="N41" i="5" l="1"/>
  <c r="P41" i="5"/>
  <c r="S24" i="5"/>
  <c r="I15" i="5"/>
  <c r="R41" i="5"/>
  <c r="U41" i="5"/>
  <c r="M41" i="5"/>
  <c r="Q41" i="5"/>
  <c r="V41" i="5"/>
  <c r="AF41" i="5" s="1"/>
  <c r="AB11" i="5"/>
  <c r="AB21" i="5"/>
  <c r="O41" i="5"/>
  <c r="S41" i="5"/>
  <c r="T41" i="5"/>
  <c r="AD41" i="5" s="1"/>
  <c r="S25" i="5" l="1"/>
  <c r="J16" i="5"/>
  <c r="F4" i="5"/>
  <c r="F5" i="5"/>
  <c r="AL41" i="5"/>
  <c r="G5" i="5"/>
  <c r="G6" i="5"/>
  <c r="G4" i="5"/>
  <c r="D5" i="5"/>
  <c r="D6" i="5"/>
  <c r="D4" i="5"/>
  <c r="AM41" i="5"/>
  <c r="H4" i="5"/>
  <c r="H5" i="5"/>
  <c r="E4" i="5"/>
  <c r="E5" i="5"/>
  <c r="E12" i="5" s="1"/>
  <c r="E13" i="5" s="1"/>
  <c r="C4" i="5"/>
  <c r="C6" i="5"/>
  <c r="C5" i="5"/>
  <c r="B5" i="5"/>
  <c r="B7" i="5"/>
  <c r="B6" i="5"/>
  <c r="AG41" i="5"/>
  <c r="AH41" i="5"/>
  <c r="AE41" i="5"/>
  <c r="AO41" i="5"/>
  <c r="AI41" i="5"/>
  <c r="X41" i="5"/>
  <c r="AK41" i="5"/>
  <c r="AJ41" i="5"/>
  <c r="AB41" i="5"/>
  <c r="AA41" i="5"/>
  <c r="Z41" i="5"/>
  <c r="I16" i="5"/>
  <c r="AC41" i="5"/>
  <c r="Z14" i="5"/>
  <c r="V14" i="5"/>
  <c r="W12" i="5"/>
  <c r="W14" i="5"/>
  <c r="AB12" i="5"/>
  <c r="Z12" i="5"/>
  <c r="W13" i="5"/>
  <c r="X12" i="5"/>
  <c r="Z13" i="5"/>
  <c r="AA13" i="5"/>
  <c r="V13" i="5"/>
  <c r="AA12" i="5"/>
  <c r="Y12" i="5"/>
  <c r="V12" i="5"/>
  <c r="X13" i="5"/>
  <c r="B4" i="5"/>
  <c r="AN41" i="5"/>
  <c r="Y41" i="5"/>
  <c r="W41" i="5"/>
  <c r="G12" i="5" l="1"/>
  <c r="G13" i="5" s="1"/>
  <c r="H12" i="5"/>
  <c r="H13" i="5" s="1"/>
  <c r="C12" i="5"/>
  <c r="C13" i="5" s="1"/>
  <c r="W18" i="5"/>
  <c r="W19" i="5"/>
  <c r="B12" i="5"/>
  <c r="B13" i="5" s="1"/>
  <c r="Y19" i="5"/>
  <c r="J41" i="5"/>
  <c r="D12" i="5"/>
  <c r="D13" i="5" s="1"/>
  <c r="Y18" i="5"/>
  <c r="Z18" i="5"/>
  <c r="AA19" i="5"/>
  <c r="AA18" i="5"/>
  <c r="AB18" i="5"/>
  <c r="AB19" i="5"/>
  <c r="X19" i="5"/>
  <c r="V18" i="5"/>
  <c r="V19" i="5"/>
  <c r="X18" i="5"/>
  <c r="F12" i="5"/>
  <c r="F13" i="5" s="1"/>
  <c r="Z19" i="5"/>
  <c r="H41" i="5" l="1"/>
  <c r="G41" i="5" s="1"/>
  <c r="S19" i="5"/>
  <c r="S18" i="5"/>
  <c r="S15" i="5" s="1"/>
  <c r="I12" i="5"/>
  <c r="I13" i="5"/>
  <c r="O25" i="5" l="1"/>
  <c r="O24" i="5"/>
  <c r="I19" i="5"/>
  <c r="I17" i="5"/>
  <c r="O27" i="5" s="1"/>
  <c r="I14" i="5"/>
  <c r="S16" i="5"/>
  <c r="S20" i="5" s="1"/>
  <c r="M14" i="5"/>
  <c r="AQ96" i="5" l="1"/>
  <c r="AR96" i="5" s="1"/>
  <c r="AQ100" i="5"/>
  <c r="AR100" i="5" s="1"/>
  <c r="AQ102" i="5"/>
  <c r="AR102" i="5" s="1"/>
  <c r="AQ98" i="5"/>
  <c r="AR98" i="5" s="1"/>
  <c r="AQ107" i="5"/>
  <c r="AR107" i="5" s="1"/>
  <c r="AQ110" i="5"/>
  <c r="AR110" i="5" s="1"/>
  <c r="AQ103" i="5"/>
  <c r="AR103" i="5" s="1"/>
  <c r="AQ93" i="5"/>
  <c r="AR93" i="5" s="1"/>
  <c r="AQ105" i="5"/>
  <c r="AR105" i="5" s="1"/>
  <c r="AQ94" i="5"/>
  <c r="AR94" i="5" s="1"/>
  <c r="AQ108" i="5"/>
  <c r="AR108" i="5" s="1"/>
  <c r="AQ97" i="5"/>
  <c r="AR97" i="5" s="1"/>
  <c r="AQ111" i="5"/>
  <c r="AR111" i="5" s="1"/>
  <c r="AQ109" i="5"/>
  <c r="AR109" i="5" s="1"/>
  <c r="AQ104" i="5"/>
  <c r="AR104" i="5" s="1"/>
  <c r="AQ106" i="5"/>
  <c r="AR106" i="5" s="1"/>
  <c r="AQ101" i="5"/>
  <c r="AR101" i="5" s="1"/>
  <c r="AQ95" i="5"/>
  <c r="AR95" i="5" s="1"/>
  <c r="AQ99" i="5"/>
  <c r="AR99" i="5" s="1"/>
  <c r="AQ92" i="5"/>
  <c r="AR92" i="5" s="1"/>
  <c r="AQ46" i="5"/>
  <c r="AR46" i="5" s="1"/>
  <c r="AQ62" i="5"/>
  <c r="AR62" i="5" s="1"/>
  <c r="AQ78" i="5"/>
  <c r="AR78" i="5" s="1"/>
  <c r="AQ43" i="5"/>
  <c r="AR43" i="5" s="1"/>
  <c r="AQ59" i="5"/>
  <c r="AR59" i="5" s="1"/>
  <c r="AQ75" i="5"/>
  <c r="AR75" i="5" s="1"/>
  <c r="AQ91" i="5"/>
  <c r="AR91" i="5" s="1"/>
  <c r="AQ56" i="5"/>
  <c r="AR56" i="5" s="1"/>
  <c r="AQ72" i="5"/>
  <c r="AR72" i="5" s="1"/>
  <c r="AQ88" i="5"/>
  <c r="AR88" i="5" s="1"/>
  <c r="AQ57" i="5"/>
  <c r="AR57" i="5" s="1"/>
  <c r="AQ73" i="5"/>
  <c r="AR73" i="5" s="1"/>
  <c r="AQ89" i="5"/>
  <c r="AR89" i="5" s="1"/>
  <c r="AQ50" i="5"/>
  <c r="AR50" i="5" s="1"/>
  <c r="AQ66" i="5"/>
  <c r="AR66" i="5" s="1"/>
  <c r="AQ82" i="5"/>
  <c r="AR82" i="5" s="1"/>
  <c r="AQ47" i="5"/>
  <c r="AR47" i="5" s="1"/>
  <c r="AQ63" i="5"/>
  <c r="AR63" i="5" s="1"/>
  <c r="AQ79" i="5"/>
  <c r="AR79" i="5" s="1"/>
  <c r="AQ44" i="5"/>
  <c r="AR44" i="5" s="1"/>
  <c r="AQ60" i="5"/>
  <c r="AR60" i="5" s="1"/>
  <c r="AQ76" i="5"/>
  <c r="AR76" i="5" s="1"/>
  <c r="AQ45" i="5"/>
  <c r="AR45" i="5" s="1"/>
  <c r="AQ61" i="5"/>
  <c r="AR61" i="5" s="1"/>
  <c r="AQ77" i="5"/>
  <c r="AR77" i="5" s="1"/>
  <c r="AQ54" i="5"/>
  <c r="AR54" i="5" s="1"/>
  <c r="AQ70" i="5"/>
  <c r="AR70" i="5" s="1"/>
  <c r="AQ86" i="5"/>
  <c r="AR86" i="5" s="1"/>
  <c r="AQ51" i="5"/>
  <c r="AR51" i="5" s="1"/>
  <c r="AQ67" i="5"/>
  <c r="AR67" i="5" s="1"/>
  <c r="AQ83" i="5"/>
  <c r="AR83" i="5" s="1"/>
  <c r="AQ48" i="5"/>
  <c r="AR48" i="5" s="1"/>
  <c r="AQ64" i="5"/>
  <c r="AR64" i="5" s="1"/>
  <c r="AQ80" i="5"/>
  <c r="AR80" i="5" s="1"/>
  <c r="AQ49" i="5"/>
  <c r="AR49" i="5" s="1"/>
  <c r="AQ65" i="5"/>
  <c r="AR65" i="5" s="1"/>
  <c r="AQ81" i="5"/>
  <c r="AR81" i="5" s="1"/>
  <c r="AQ42" i="5"/>
  <c r="AR42" i="5" s="1"/>
  <c r="AQ58" i="5"/>
  <c r="AR58" i="5" s="1"/>
  <c r="AQ74" i="5"/>
  <c r="AR74" i="5" s="1"/>
  <c r="AQ90" i="5"/>
  <c r="AR90" i="5" s="1"/>
  <c r="AQ55" i="5"/>
  <c r="AR55" i="5" s="1"/>
  <c r="AQ71" i="5"/>
  <c r="AR71" i="5" s="1"/>
  <c r="AQ87" i="5"/>
  <c r="AR87" i="5" s="1"/>
  <c r="AQ52" i="5"/>
  <c r="AR52" i="5" s="1"/>
  <c r="AQ68" i="5"/>
  <c r="AR68" i="5" s="1"/>
  <c r="AQ84" i="5"/>
  <c r="AR84" i="5" s="1"/>
  <c r="AQ53" i="5"/>
  <c r="AR53" i="5" s="1"/>
  <c r="AQ69" i="5"/>
  <c r="AR69" i="5" s="1"/>
  <c r="AQ85" i="5"/>
  <c r="AR85" i="5" s="1"/>
  <c r="AQ41" i="5"/>
  <c r="AR41" i="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Gutz</author>
    <author>Ivano Gebhardt Rolf Gutz</author>
    <author>Ivano G. R. Gutz</author>
  </authors>
  <commentList>
    <comment ref="G1" authorId="0" shapeId="0" xr:uid="{00000000-0006-0000-0100-000001000000}">
      <text>
        <r>
          <rPr>
            <b/>
            <sz val="10"/>
            <color indexed="81"/>
            <rFont val="Tahoma"/>
            <family val="2"/>
          </rPr>
          <t>pH Calculator - Fast start</t>
        </r>
        <r>
          <rPr>
            <sz val="10"/>
            <color indexed="81"/>
            <rFont val="Tahoma"/>
            <family val="2"/>
          </rPr>
          <t xml:space="preserve">:
Always use the most recent version available at the author’s site http://www.iq.usp.br/gutz/Curtipot_.html, choosing between CurTiPot and CurTiPot option I – the same full program plus balloons with first steps for beginners.
This module calculates the pH of simple or complex mixtures of aqueous solutions of acids and bases, taking in account exclusively acid-base equilibrium with correction for ionic strength effect  based on the Davies equation. 
- Cell </t>
        </r>
        <r>
          <rPr>
            <b/>
            <sz val="10"/>
            <color indexed="81"/>
            <rFont val="Tahoma"/>
            <family val="2"/>
          </rPr>
          <t>B23</t>
        </r>
        <r>
          <rPr>
            <sz val="10"/>
            <color indexed="81"/>
            <rFont val="Tahoma"/>
            <family val="2"/>
          </rPr>
          <t xml:space="preserve"> presents the result of the default acid-base chemical equilibrium problem: a buffer mixture of NaH</t>
        </r>
        <r>
          <rPr>
            <vertAlign val="subscript"/>
            <sz val="12"/>
            <color indexed="81"/>
            <rFont val="Tahoma"/>
            <family val="2"/>
          </rPr>
          <t>2</t>
        </r>
        <r>
          <rPr>
            <sz val="10"/>
            <color indexed="81"/>
            <rFont val="Tahoma"/>
            <family val="2"/>
          </rPr>
          <t>PO</t>
        </r>
        <r>
          <rPr>
            <vertAlign val="subscript"/>
            <sz val="12"/>
            <color indexed="81"/>
            <rFont val="Tahoma"/>
            <family val="2"/>
          </rPr>
          <t>4</t>
        </r>
        <r>
          <rPr>
            <sz val="10"/>
            <color indexed="81"/>
            <rFont val="Tahoma"/>
            <family val="2"/>
          </rPr>
          <t xml:space="preserve"> and Na</t>
        </r>
        <r>
          <rPr>
            <vertAlign val="subscript"/>
            <sz val="12"/>
            <color indexed="81"/>
            <rFont val="Tahoma"/>
            <family val="2"/>
          </rPr>
          <t>2</t>
        </r>
        <r>
          <rPr>
            <sz val="10"/>
            <color indexed="81"/>
            <rFont val="Tahoma"/>
            <family val="2"/>
          </rPr>
          <t>HPO</t>
        </r>
        <r>
          <rPr>
            <vertAlign val="subscript"/>
            <sz val="12"/>
            <color indexed="81"/>
            <rFont val="Tahoma"/>
            <family val="2"/>
          </rPr>
          <t>4</t>
        </r>
        <r>
          <rPr>
            <sz val="10"/>
            <color indexed="81"/>
            <rFont val="Tahoma"/>
            <family val="2"/>
          </rPr>
          <t xml:space="preserve"> (cells </t>
        </r>
        <r>
          <rPr>
            <b/>
            <sz val="10"/>
            <color indexed="81"/>
            <rFont val="Tahoma"/>
            <family val="2"/>
          </rPr>
          <t>B5</t>
        </r>
        <r>
          <rPr>
            <sz val="10"/>
            <color indexed="81"/>
            <rFont val="Tahoma"/>
            <family val="2"/>
          </rPr>
          <t xml:space="preserve"> and </t>
        </r>
        <r>
          <rPr>
            <b/>
            <sz val="10"/>
            <color indexed="81"/>
            <rFont val="Tahoma"/>
            <family val="2"/>
          </rPr>
          <t>B6).</t>
        </r>
        <r>
          <rPr>
            <sz val="10"/>
            <color indexed="81"/>
            <rFont val="Tahoma"/>
            <family val="2"/>
          </rPr>
          <t xml:space="preserve"> Click </t>
        </r>
        <r>
          <rPr>
            <b/>
            <sz val="10"/>
            <color indexed="81"/>
            <rFont val="Tahoma"/>
            <family val="2"/>
          </rPr>
          <t>Calculate pH</t>
        </r>
        <r>
          <rPr>
            <sz val="10"/>
            <color indexed="81"/>
            <rFont val="Tahoma"/>
            <family val="2"/>
          </rPr>
          <t xml:space="preserve"> (cell </t>
        </r>
        <r>
          <rPr>
            <b/>
            <sz val="10"/>
            <color indexed="81"/>
            <rFont val="Tahoma"/>
            <family val="2"/>
          </rPr>
          <t>B19</t>
        </r>
        <r>
          <rPr>
            <sz val="10"/>
            <color indexed="81"/>
            <rFont val="Tahoma"/>
            <family val="2"/>
          </rPr>
          <t xml:space="preserve">) to see if the macro works. If not, habilitate macros first following instructions at cell </t>
        </r>
        <r>
          <rPr>
            <b/>
            <sz val="10"/>
            <color indexed="81"/>
            <rFont val="Tahoma"/>
            <family val="2"/>
          </rPr>
          <t>A22.</t>
        </r>
        <r>
          <rPr>
            <sz val="10"/>
            <color indexed="81"/>
            <rFont val="Tahoma"/>
            <family val="2"/>
          </rPr>
          <t xml:space="preserve">
- Change the default concentrations in cells </t>
        </r>
        <r>
          <rPr>
            <b/>
            <sz val="10"/>
            <color indexed="81"/>
            <rFont val="Tahoma"/>
            <family val="2"/>
          </rPr>
          <t>B5</t>
        </r>
        <r>
          <rPr>
            <sz val="10"/>
            <color indexed="81"/>
            <rFont val="Tahoma"/>
            <family val="2"/>
          </rPr>
          <t xml:space="preserve"> and </t>
        </r>
        <r>
          <rPr>
            <b/>
            <sz val="10"/>
            <color indexed="81"/>
            <rFont val="Tahoma"/>
            <family val="2"/>
          </rPr>
          <t>B6;</t>
        </r>
        <r>
          <rPr>
            <sz val="10"/>
            <color indexed="81"/>
            <rFont val="Tahoma"/>
            <family val="2"/>
          </rPr>
          <t xml:space="preserve"> press </t>
        </r>
        <r>
          <rPr>
            <b/>
            <sz val="10"/>
            <color indexed="81"/>
            <rFont val="Tahoma"/>
            <family val="2"/>
          </rPr>
          <t>Enter</t>
        </r>
        <r>
          <rPr>
            <sz val="10"/>
            <color indexed="81"/>
            <rFont val="Tahoma"/>
            <family val="2"/>
          </rPr>
          <t xml:space="preserve">; click </t>
        </r>
        <r>
          <rPr>
            <b/>
            <sz val="10"/>
            <color indexed="81"/>
            <rFont val="Tahoma"/>
            <family val="2"/>
          </rPr>
          <t>Calculate pH</t>
        </r>
        <r>
          <rPr>
            <sz val="10"/>
            <color indexed="81"/>
            <rFont val="Tahoma"/>
            <family val="2"/>
          </rPr>
          <t>.</t>
        </r>
        <r>
          <rPr>
            <b/>
            <sz val="10"/>
            <color indexed="81"/>
            <rFont val="Tahoma"/>
            <family val="2"/>
          </rPr>
          <t xml:space="preserve">
</t>
        </r>
        <r>
          <rPr>
            <sz val="10"/>
            <color indexed="81"/>
            <rFont val="Tahoma"/>
            <family val="2"/>
          </rPr>
          <t>- Try a mixture of H</t>
        </r>
        <r>
          <rPr>
            <vertAlign val="subscript"/>
            <sz val="11"/>
            <color indexed="81"/>
            <rFont val="Tahoma"/>
            <family val="2"/>
          </rPr>
          <t>3</t>
        </r>
        <r>
          <rPr>
            <sz val="10"/>
            <color indexed="81"/>
            <rFont val="Tahoma"/>
            <family val="2"/>
          </rPr>
          <t>PO</t>
        </r>
        <r>
          <rPr>
            <vertAlign val="subscript"/>
            <sz val="11"/>
            <color indexed="81"/>
            <rFont val="Tahoma"/>
            <family val="2"/>
          </rPr>
          <t>4</t>
        </r>
        <r>
          <rPr>
            <sz val="10"/>
            <color indexed="81"/>
            <rFont val="Tahoma"/>
            <family val="2"/>
          </rPr>
          <t xml:space="preserve"> 0.05 mol/L (cell </t>
        </r>
        <r>
          <rPr>
            <b/>
            <sz val="10"/>
            <color indexed="81"/>
            <rFont val="Tahoma"/>
            <family val="2"/>
          </rPr>
          <t>B7</t>
        </r>
        <r>
          <rPr>
            <sz val="10"/>
            <color indexed="81"/>
            <rFont val="Tahoma"/>
            <family val="2"/>
          </rPr>
          <t>) and NaH</t>
        </r>
        <r>
          <rPr>
            <vertAlign val="subscript"/>
            <sz val="11"/>
            <color indexed="81"/>
            <rFont val="Tahoma"/>
            <family val="2"/>
          </rPr>
          <t>2</t>
        </r>
        <r>
          <rPr>
            <sz val="10"/>
            <color indexed="81"/>
            <rFont val="Tahoma"/>
            <family val="2"/>
          </rPr>
          <t>PO</t>
        </r>
        <r>
          <rPr>
            <vertAlign val="subscript"/>
            <sz val="11"/>
            <color indexed="81"/>
            <rFont val="Tahoma"/>
            <family val="2"/>
          </rPr>
          <t>4</t>
        </r>
        <r>
          <rPr>
            <sz val="10"/>
            <color indexed="81"/>
            <rFont val="Tahoma"/>
            <family val="2"/>
          </rPr>
          <t xml:space="preserve"> 0.05 mol/L (cell </t>
        </r>
        <r>
          <rPr>
            <b/>
            <sz val="10"/>
            <color indexed="81"/>
            <rFont val="Tahoma"/>
            <family val="2"/>
          </rPr>
          <t>B6</t>
        </r>
        <r>
          <rPr>
            <sz val="10"/>
            <color indexed="81"/>
            <rFont val="Tahoma"/>
            <family val="2"/>
          </rPr>
          <t xml:space="preserve"> for H</t>
        </r>
        <r>
          <rPr>
            <vertAlign val="subscript"/>
            <sz val="11"/>
            <color indexed="81"/>
            <rFont val="Tahoma"/>
            <family val="2"/>
          </rPr>
          <t>2</t>
        </r>
        <r>
          <rPr>
            <sz val="10"/>
            <color indexed="81"/>
            <rFont val="Tahoma"/>
            <family val="2"/>
          </rPr>
          <t xml:space="preserve">B- and </t>
        </r>
        <r>
          <rPr>
            <b/>
            <sz val="10"/>
            <color indexed="81"/>
            <rFont val="Tahoma"/>
            <family val="2"/>
          </rPr>
          <t>B15</t>
        </r>
        <r>
          <rPr>
            <sz val="10"/>
            <color indexed="81"/>
            <rFont val="Tahoma"/>
            <family val="2"/>
          </rPr>
          <t xml:space="preserve"> for Na+); clear cell </t>
        </r>
        <r>
          <rPr>
            <b/>
            <sz val="10"/>
            <color indexed="81"/>
            <rFont val="Tahoma"/>
            <family val="2"/>
          </rPr>
          <t>B5;</t>
        </r>
        <r>
          <rPr>
            <sz val="10"/>
            <color indexed="81"/>
            <rFont val="Tahoma"/>
            <family val="2"/>
          </rPr>
          <t xml:space="preserve"> Enter; Calculate pH. 
- Change pKa1 (</t>
        </r>
        <r>
          <rPr>
            <b/>
            <sz val="10"/>
            <color indexed="81"/>
            <rFont val="Tahoma"/>
            <family val="2"/>
          </rPr>
          <t>K6</t>
        </r>
        <r>
          <rPr>
            <sz val="10"/>
            <color indexed="81"/>
            <rFont val="Tahoma"/>
            <family val="2"/>
          </rPr>
          <t xml:space="preserve">), e.g. 2.15 to 3.0 or 4.0; </t>
        </r>
        <r>
          <rPr>
            <b/>
            <sz val="10"/>
            <color indexed="81"/>
            <rFont val="Tahoma"/>
            <family val="2"/>
          </rPr>
          <t>Enter</t>
        </r>
        <r>
          <rPr>
            <sz val="10"/>
            <color indexed="81"/>
            <rFont val="Tahoma"/>
            <family val="2"/>
          </rPr>
          <t xml:space="preserve">; </t>
        </r>
        <r>
          <rPr>
            <b/>
            <sz val="10"/>
            <color indexed="81"/>
            <rFont val="Tahoma"/>
            <family val="2"/>
          </rPr>
          <t>Calculate pH</t>
        </r>
        <r>
          <rPr>
            <sz val="10"/>
            <color indexed="81"/>
            <rFont val="Tahoma"/>
            <family val="2"/>
          </rPr>
          <t xml:space="preserve">.
 </t>
        </r>
        <r>
          <rPr>
            <i/>
            <sz val="10"/>
            <color indexed="81"/>
            <rFont val="Tahoma"/>
            <family val="2"/>
          </rPr>
          <t xml:space="preserve"> If you haven't learned what acid-base dissociation constants are, perhaps you should have a look in a textbook or at least read http://en.wikipedia.org/wiki/Acid_dissociation_constant</t>
        </r>
        <r>
          <rPr>
            <sz val="10"/>
            <color indexed="81"/>
            <rFont val="Tahoma"/>
            <family val="2"/>
          </rPr>
          <t xml:space="preserve">
- Compare the values of </t>
        </r>
        <r>
          <rPr>
            <b/>
            <sz val="10"/>
            <color indexed="81"/>
            <rFont val="Tahoma"/>
            <family val="2"/>
          </rPr>
          <t>pH,</t>
        </r>
        <r>
          <rPr>
            <sz val="10"/>
            <color indexed="81"/>
            <rFont val="Tahoma"/>
            <family val="2"/>
          </rPr>
          <t xml:space="preserve">  </t>
        </r>
        <r>
          <rPr>
            <b/>
            <sz val="10"/>
            <color indexed="81"/>
            <rFont val="Tahoma"/>
            <family val="2"/>
          </rPr>
          <t>p[H]</t>
        </r>
        <r>
          <rPr>
            <sz val="10"/>
            <color indexed="81"/>
            <rFont val="Tahoma"/>
            <family val="2"/>
          </rPr>
          <t xml:space="preserve"> and </t>
        </r>
        <r>
          <rPr>
            <b/>
            <sz val="10"/>
            <color indexed="81"/>
            <rFont val="Tahoma"/>
            <family val="2"/>
          </rPr>
          <t>"pH"</t>
        </r>
        <r>
          <rPr>
            <sz val="10"/>
            <color indexed="81"/>
            <rFont val="Tahoma"/>
            <family val="2"/>
          </rPr>
          <t xml:space="preserve"> in </t>
        </r>
        <r>
          <rPr>
            <b/>
            <sz val="10"/>
            <color indexed="81"/>
            <rFont val="Tahoma"/>
            <family val="2"/>
          </rPr>
          <t>A23,</t>
        </r>
        <r>
          <rPr>
            <sz val="10"/>
            <color indexed="81"/>
            <rFont val="Tahoma"/>
            <family val="2"/>
          </rPr>
          <t xml:space="preserve"> </t>
        </r>
        <r>
          <rPr>
            <b/>
            <sz val="10"/>
            <color indexed="81"/>
            <rFont val="Tahoma"/>
            <family val="2"/>
          </rPr>
          <t>A24</t>
        </r>
        <r>
          <rPr>
            <sz val="10"/>
            <color indexed="81"/>
            <rFont val="Tahoma"/>
            <family val="2"/>
          </rPr>
          <t xml:space="preserve"> and </t>
        </r>
        <r>
          <rPr>
            <b/>
            <sz val="10"/>
            <color indexed="81"/>
            <rFont val="Tahoma"/>
            <family val="2"/>
          </rPr>
          <t>A25</t>
        </r>
        <r>
          <rPr>
            <sz val="10"/>
            <color indexed="81"/>
            <rFont val="Tahoma"/>
            <family val="2"/>
          </rPr>
          <t xml:space="preserve"> and read the corresponding comments; have a look at other results in lines 21 to 57 (</t>
        </r>
        <r>
          <rPr>
            <i/>
            <sz val="10"/>
            <color indexed="81"/>
            <rFont val="Tahoma"/>
            <family val="2"/>
          </rPr>
          <t>high school students are not expected to understand many of these figures - some are for advanced users</t>
        </r>
        <r>
          <rPr>
            <sz val="10"/>
            <color indexed="81"/>
            <rFont val="Tahoma"/>
            <family val="2"/>
          </rPr>
          <t xml:space="preserve">).
- Check the pH of pure water at 25ºC: clear </t>
        </r>
        <r>
          <rPr>
            <b/>
            <sz val="10"/>
            <color indexed="81"/>
            <rFont val="Tahoma"/>
            <family val="2"/>
          </rPr>
          <t>B5,</t>
        </r>
        <r>
          <rPr>
            <sz val="10"/>
            <color indexed="81"/>
            <rFont val="Tahoma"/>
            <family val="2"/>
          </rPr>
          <t xml:space="preserve"> </t>
        </r>
        <r>
          <rPr>
            <b/>
            <sz val="10"/>
            <color indexed="81"/>
            <rFont val="Tahoma"/>
            <family val="2"/>
          </rPr>
          <t>B6,</t>
        </r>
        <r>
          <rPr>
            <sz val="10"/>
            <color indexed="81"/>
            <rFont val="Tahoma"/>
            <family val="2"/>
          </rPr>
          <t xml:space="preserve"> </t>
        </r>
        <r>
          <rPr>
            <b/>
            <sz val="10"/>
            <color indexed="81"/>
            <rFont val="Tahoma"/>
            <family val="2"/>
          </rPr>
          <t xml:space="preserve">B15 </t>
        </r>
        <r>
          <rPr>
            <sz val="10"/>
            <color indexed="81"/>
            <rFont val="Tahoma"/>
            <family val="2"/>
          </rPr>
          <t>and any other concentration you may have filled out</t>
        </r>
        <r>
          <rPr>
            <b/>
            <sz val="10"/>
            <color indexed="81"/>
            <rFont val="Tahoma"/>
            <family val="2"/>
          </rPr>
          <t>;</t>
        </r>
        <r>
          <rPr>
            <sz val="10"/>
            <color indexed="81"/>
            <rFont val="Tahoma"/>
            <family val="2"/>
          </rPr>
          <t xml:space="preserve"> </t>
        </r>
        <r>
          <rPr>
            <b/>
            <sz val="10"/>
            <color indexed="81"/>
            <rFont val="Tahoma"/>
            <family val="2"/>
          </rPr>
          <t>Calculate pH</t>
        </r>
        <r>
          <rPr>
            <sz val="10"/>
            <color indexed="81"/>
            <rFont val="Tahoma"/>
            <family val="2"/>
          </rPr>
          <t xml:space="preserve">
- formulate multicomponent mixtures and solve them instantly.
- load other acid/base systems clicking on </t>
        </r>
        <r>
          <rPr>
            <b/>
            <sz val="10"/>
            <color indexed="81"/>
            <rFont val="Tahoma"/>
            <family val="2"/>
          </rPr>
          <t>K2</t>
        </r>
        <r>
          <rPr>
            <sz val="10"/>
            <color indexed="81"/>
            <rFont val="Tahoma"/>
            <family val="2"/>
          </rPr>
          <t xml:space="preserve"> to</t>
        </r>
        <r>
          <rPr>
            <b/>
            <sz val="10"/>
            <color indexed="81"/>
            <rFont val="Tahoma"/>
            <family val="2"/>
          </rPr>
          <t xml:space="preserve"> Q2</t>
        </r>
        <r>
          <rPr>
            <sz val="10"/>
            <color indexed="81"/>
            <rFont val="Tahoma"/>
            <family val="2"/>
          </rPr>
          <t xml:space="preserve">, selecting another acid and clicking on </t>
        </r>
        <r>
          <rPr>
            <b/>
            <sz val="10"/>
            <color indexed="81"/>
            <rFont val="Tahoma"/>
            <family val="2"/>
          </rPr>
          <t>J2</t>
        </r>
        <r>
          <rPr>
            <sz val="10"/>
            <color indexed="81"/>
            <rFont val="Tahoma"/>
            <family val="2"/>
          </rPr>
          <t xml:space="preserve">.
This acid-base </t>
        </r>
        <r>
          <rPr>
            <b/>
            <sz val="10"/>
            <color indexed="81"/>
            <rFont val="Tahoma"/>
            <family val="2"/>
          </rPr>
          <t>pH calculator</t>
        </r>
        <r>
          <rPr>
            <sz val="10"/>
            <color indexed="81"/>
            <rFont val="Tahoma"/>
            <family val="2"/>
          </rPr>
          <t xml:space="preserve"> module first appeared in 2006 in the 3.2 Excel version of CurTiPot, an evolution of the 1.0 Turbo Basic version launched in 1992.
                 Prof. Dr.  Ivano G. R. Gutz
                  www2.iq.usp.br/docente/gutz
</t>
        </r>
      </text>
    </comment>
    <comment ref="M1" authorId="0" shapeId="0" xr:uid="{00000000-0006-0000-0100-000002000000}">
      <text>
        <r>
          <rPr>
            <b/>
            <sz val="8"/>
            <color indexed="81"/>
            <rFont val="Tahoma"/>
            <family val="2"/>
          </rPr>
          <t>Gutz:</t>
        </r>
        <r>
          <rPr>
            <sz val="8"/>
            <color indexed="81"/>
            <rFont val="Tahoma"/>
            <family val="2"/>
          </rPr>
          <t xml:space="preserve">
</t>
        </r>
        <r>
          <rPr>
            <sz val="10"/>
            <color indexed="81"/>
            <rFont val="Tahoma"/>
            <family val="2"/>
          </rPr>
          <t xml:space="preserve">Selecting/editing names, charges and pKas. Options:
a) Write directly in the cells K3 to Q10; 
b) Click on names in line 2, slide along the list, click on another name; finally, click on J2 to load the constants from the </t>
        </r>
        <r>
          <rPr>
            <b/>
            <sz val="10"/>
            <color indexed="81"/>
            <rFont val="Tahoma"/>
            <family val="2"/>
          </rPr>
          <t>Database</t>
        </r>
        <r>
          <rPr>
            <sz val="10"/>
            <color indexed="81"/>
            <rFont val="Tahoma"/>
            <family val="2"/>
          </rPr>
          <t>.
Frequently used acids/bases missing in the Database can be added to it for further use.</t>
        </r>
      </text>
    </comment>
    <comment ref="Z2" authorId="0" shapeId="0" xr:uid="{00000000-0006-0000-0100-000003000000}">
      <text>
        <r>
          <rPr>
            <b/>
            <sz val="8"/>
            <color indexed="81"/>
            <rFont val="Tahoma"/>
            <family val="2"/>
          </rPr>
          <t xml:space="preserve">Gutz: 
</t>
        </r>
        <r>
          <rPr>
            <sz val="10"/>
            <color indexed="81"/>
            <rFont val="Tahoma"/>
            <family val="2"/>
          </rPr>
          <t>The pKas shown here are copied automatically from the Database by changing K2 to Q2. 
See R5 to understand why 
pKa1 = -logKpn</t>
        </r>
      </text>
    </comment>
    <comment ref="A3" authorId="1" shapeId="0" xr:uid="{00000000-0006-0000-0100-000004000000}">
      <text>
        <r>
          <rPr>
            <b/>
            <sz val="8"/>
            <color indexed="81"/>
            <rFont val="Tahoma"/>
            <family val="2"/>
          </rPr>
          <t>Gutz:</t>
        </r>
        <r>
          <rPr>
            <sz val="8"/>
            <color indexed="81"/>
            <rFont val="Tahoma"/>
            <family val="2"/>
          </rPr>
          <t xml:space="preserve">
</t>
        </r>
        <r>
          <rPr>
            <sz val="10"/>
            <color indexed="81"/>
            <rFont val="Tahoma"/>
            <family val="2"/>
          </rPr>
          <t>Name of the acid or base (of the conjugated acid).
To change it, write in cell K3 or load a different system from the Database</t>
        </r>
      </text>
    </comment>
    <comment ref="B3" authorId="0" shapeId="0" xr:uid="{00000000-0006-0000-0100-000005000000}">
      <text>
        <r>
          <rPr>
            <b/>
            <sz val="8"/>
            <color indexed="81"/>
            <rFont val="Tahoma"/>
            <family val="2"/>
          </rPr>
          <t>Gutz:</t>
        </r>
        <r>
          <rPr>
            <sz val="10"/>
            <color indexed="81"/>
            <rFont val="Tahoma"/>
            <family val="2"/>
          </rPr>
          <t xml:space="preserve">
See comment in cell M1 on how to change acids and bases.
Fill in (or leave blank) the concentrations in mol/L. The green underline identifies the cell of the base protonated to neutrality (e.g. H</t>
        </r>
        <r>
          <rPr>
            <vertAlign val="subscript"/>
            <sz val="12"/>
            <color indexed="81"/>
            <rFont val="Tahoma"/>
            <family val="2"/>
          </rPr>
          <t>3</t>
        </r>
        <r>
          <rPr>
            <sz val="10"/>
            <color indexed="81"/>
            <rFont val="Tahoma"/>
            <family val="2"/>
          </rPr>
          <t>PO</t>
        </r>
        <r>
          <rPr>
            <vertAlign val="subscript"/>
            <sz val="12"/>
            <color indexed="81"/>
            <rFont val="Tahoma"/>
            <family val="2"/>
          </rPr>
          <t>4</t>
        </r>
        <r>
          <rPr>
            <sz val="10"/>
            <color indexed="81"/>
            <rFont val="Tahoma"/>
            <family val="2"/>
          </rPr>
          <t xml:space="preserve"> for phosphate).</t>
        </r>
      </text>
    </comment>
    <comment ref="A4" authorId="0" shapeId="0" xr:uid="{00000000-0006-0000-0100-000006000000}">
      <text>
        <r>
          <rPr>
            <b/>
            <sz val="8"/>
            <color indexed="81"/>
            <rFont val="Tahoma"/>
            <family val="2"/>
          </rPr>
          <t xml:space="preserve">Gutz: 
</t>
        </r>
        <r>
          <rPr>
            <sz val="10"/>
            <color indexed="81"/>
            <rFont val="Tahoma"/>
            <family val="2"/>
          </rPr>
          <t>Leave blank/fill out with the concentration (mol/L) of fully deprotonated base (of a conjugated acid) added to the solution, e.g.: [Na</t>
        </r>
        <r>
          <rPr>
            <vertAlign val="subscript"/>
            <sz val="10"/>
            <color indexed="81"/>
            <rFont val="Tahoma"/>
            <family val="2"/>
          </rPr>
          <t>2</t>
        </r>
        <r>
          <rPr>
            <sz val="10"/>
            <color indexed="81"/>
            <rFont val="Tahoma"/>
            <family val="2"/>
          </rPr>
          <t>CO</t>
        </r>
        <r>
          <rPr>
            <vertAlign val="subscript"/>
            <sz val="10"/>
            <color indexed="81"/>
            <rFont val="Tahoma"/>
            <family val="2"/>
          </rPr>
          <t>3</t>
        </r>
        <r>
          <rPr>
            <sz val="10"/>
            <color indexed="81"/>
            <rFont val="Tahoma"/>
            <family val="2"/>
          </rPr>
          <t>], [Na</t>
        </r>
        <r>
          <rPr>
            <vertAlign val="subscript"/>
            <sz val="10"/>
            <color indexed="81"/>
            <rFont val="Tahoma"/>
            <family val="2"/>
          </rPr>
          <t>3</t>
        </r>
        <r>
          <rPr>
            <sz val="10"/>
            <color indexed="81"/>
            <rFont val="Tahoma"/>
            <family val="2"/>
          </rPr>
          <t>PO</t>
        </r>
        <r>
          <rPr>
            <vertAlign val="subscript"/>
            <sz val="10"/>
            <color indexed="81"/>
            <rFont val="Tahoma"/>
            <family val="2"/>
          </rPr>
          <t>4</t>
        </r>
        <r>
          <rPr>
            <sz val="10"/>
            <color indexed="81"/>
            <rFont val="Tahoma"/>
            <family val="2"/>
          </rPr>
          <t>], [NH</t>
        </r>
        <r>
          <rPr>
            <vertAlign val="subscript"/>
            <sz val="10"/>
            <color indexed="81"/>
            <rFont val="Tahoma"/>
            <family val="2"/>
          </rPr>
          <t>4</t>
        </r>
        <r>
          <rPr>
            <sz val="10"/>
            <color indexed="81"/>
            <rFont val="Tahoma"/>
            <family val="2"/>
          </rPr>
          <t>OH], [pyridine] or [Na</t>
        </r>
        <r>
          <rPr>
            <vertAlign val="subscript"/>
            <sz val="10"/>
            <color indexed="81"/>
            <rFont val="Tahoma"/>
            <family val="2"/>
          </rPr>
          <t>4</t>
        </r>
        <r>
          <rPr>
            <sz val="10"/>
            <color indexed="81"/>
            <rFont val="Tahoma"/>
            <family val="2"/>
          </rPr>
          <t>EDTA].
The green underline indicates the cell of the base protonated to neutrality.</t>
        </r>
      </text>
    </comment>
    <comment ref="J4" authorId="0" shapeId="0" xr:uid="{00000000-0006-0000-0100-000007000000}">
      <text>
        <r>
          <rPr>
            <b/>
            <sz val="8"/>
            <color indexed="81"/>
            <rFont val="Tahoma"/>
            <family val="2"/>
          </rPr>
          <t xml:space="preserve">Gutz: 
</t>
        </r>
        <r>
          <rPr>
            <sz val="10"/>
            <color indexed="81"/>
            <rFont val="Tahoma"/>
            <family val="2"/>
          </rPr>
          <t>Charge of the most deprotonated species of an acid or base in accordance with the highest pKa for the system, e.g., 
 0 for NH3 or pyridine
-1 for acetate/acetic acid
-2 for carbonate//carbonic acid
-3 for phosphate///phosphoric acid 
-4 for EDTA</t>
        </r>
      </text>
    </comment>
    <comment ref="A5" authorId="0" shapeId="0" xr:uid="{00000000-0006-0000-0100-000008000000}">
      <text>
        <r>
          <rPr>
            <b/>
            <sz val="8"/>
            <color indexed="81"/>
            <rFont val="Tahoma"/>
            <family val="2"/>
          </rPr>
          <t>Gutz:</t>
        </r>
        <r>
          <rPr>
            <sz val="8"/>
            <color indexed="81"/>
            <rFont val="Tahoma"/>
            <family val="2"/>
          </rPr>
          <t xml:space="preserve">
</t>
        </r>
        <r>
          <rPr>
            <sz val="10"/>
            <color indexed="81"/>
            <rFont val="Tahoma"/>
            <family val="2"/>
          </rPr>
          <t>Leave blank</t>
        </r>
        <r>
          <rPr>
            <b/>
            <sz val="10"/>
            <color indexed="81"/>
            <rFont val="Tahoma"/>
            <family val="2"/>
          </rPr>
          <t>/</t>
        </r>
        <r>
          <rPr>
            <sz val="10"/>
            <color indexed="81"/>
            <rFont val="Tahoma"/>
            <family val="2"/>
          </rPr>
          <t>fill out with the concentration (mol/L) of monoprotonated base (or acid, HB) added to the solution, e.g.: [Acetic acid], [NH</t>
        </r>
        <r>
          <rPr>
            <vertAlign val="subscript"/>
            <sz val="10"/>
            <color indexed="81"/>
            <rFont val="Tahoma"/>
            <family val="2"/>
          </rPr>
          <t>4</t>
        </r>
        <r>
          <rPr>
            <vertAlign val="superscript"/>
            <sz val="10"/>
            <color indexed="81"/>
            <rFont val="Tahoma"/>
            <family val="2"/>
          </rPr>
          <t>+</t>
        </r>
        <r>
          <rPr>
            <sz val="10"/>
            <color indexed="81"/>
            <rFont val="Tahoma"/>
            <family val="2"/>
          </rPr>
          <t>], [pyridonium], [NaHCO</t>
        </r>
        <r>
          <rPr>
            <vertAlign val="subscript"/>
            <sz val="10"/>
            <color indexed="81"/>
            <rFont val="Tahoma"/>
            <family val="2"/>
          </rPr>
          <t>3</t>
        </r>
        <r>
          <rPr>
            <sz val="10"/>
            <color indexed="81"/>
            <rFont val="Tahoma"/>
            <family val="2"/>
          </rPr>
          <t>] or [Na</t>
        </r>
        <r>
          <rPr>
            <vertAlign val="subscript"/>
            <sz val="10"/>
            <color indexed="81"/>
            <rFont val="Tahoma"/>
            <family val="2"/>
          </rPr>
          <t>2</t>
        </r>
        <r>
          <rPr>
            <sz val="10"/>
            <color indexed="81"/>
            <rFont val="Tahoma"/>
            <family val="2"/>
          </rPr>
          <t>HPO</t>
        </r>
        <r>
          <rPr>
            <vertAlign val="subscript"/>
            <sz val="10"/>
            <color indexed="81"/>
            <rFont val="Tahoma"/>
            <family val="2"/>
          </rPr>
          <t>4</t>
        </r>
        <r>
          <rPr>
            <sz val="10"/>
            <color indexed="81"/>
            <rFont val="Tahoma"/>
            <family val="2"/>
          </rPr>
          <t>]</t>
        </r>
      </text>
    </comment>
    <comment ref="J5" authorId="0" shapeId="0" xr:uid="{00000000-0006-0000-0100-000009000000}">
      <text>
        <r>
          <rPr>
            <b/>
            <sz val="8"/>
            <color indexed="81"/>
            <rFont val="Tahoma"/>
            <family val="2"/>
          </rPr>
          <t xml:space="preserve">Gutz: 
</t>
        </r>
        <r>
          <rPr>
            <sz val="10"/>
            <color indexed="81"/>
            <rFont val="Tahoma"/>
            <family val="2"/>
          </rPr>
          <t>Options:
a) pKa</t>
        </r>
        <r>
          <rPr>
            <vertAlign val="subscript"/>
            <sz val="12"/>
            <color indexed="81"/>
            <rFont val="Tahoma"/>
            <family val="2"/>
          </rPr>
          <t>1</t>
        </r>
        <r>
          <rPr>
            <sz val="10"/>
            <color indexed="81"/>
            <rFont val="Tahoma"/>
            <family val="2"/>
          </rPr>
          <t xml:space="preserve"> , -logarithm of the dissociation constant of a monoprotic acid or first constant for a polyprotic system.
b) logKp</t>
        </r>
        <r>
          <rPr>
            <vertAlign val="subscript"/>
            <sz val="12"/>
            <color indexed="81"/>
            <rFont val="Tahoma"/>
            <family val="2"/>
          </rPr>
          <t>i,</t>
        </r>
        <r>
          <rPr>
            <sz val="10"/>
            <color indexed="81"/>
            <rFont val="Tahoma"/>
            <family val="2"/>
          </rPr>
          <t xml:space="preserve"> logarithm of the protonation constant of a (conjugated) base, with i=1 for a monoprotonable base and i= n (most deprotonated species) for polyprotic systems (more about at U5);
c) pK</t>
        </r>
        <r>
          <rPr>
            <vertAlign val="subscript"/>
            <sz val="12"/>
            <color indexed="81"/>
            <rFont val="Tahoma"/>
            <family val="2"/>
          </rPr>
          <t>w</t>
        </r>
        <r>
          <rPr>
            <sz val="10"/>
            <color indexed="81"/>
            <rFont val="Tahoma"/>
            <family val="2"/>
          </rPr>
          <t xml:space="preserve"> - pKb</t>
        </r>
        <r>
          <rPr>
            <vertAlign val="subscript"/>
            <sz val="12"/>
            <color indexed="81"/>
            <rFont val="Tahoma"/>
            <family val="2"/>
          </rPr>
          <t>i</t>
        </r>
        <r>
          <rPr>
            <sz val="10"/>
            <color indexed="81"/>
            <rFont val="Tahoma"/>
            <family val="2"/>
          </rPr>
          <t>, for -log of the dissociation constant  of a base, with i=1 for a monoprotonable base and i= n (most deprotonated species) for polyprotonable base.
Numerically, values of a, b e c are taken as similar.</t>
        </r>
      </text>
    </comment>
    <comment ref="R5" authorId="0" shapeId="0" xr:uid="{00000000-0006-0000-0100-00000A000000}">
      <text>
        <r>
          <rPr>
            <b/>
            <sz val="8"/>
            <color indexed="81"/>
            <rFont val="Tahoma"/>
            <family val="2"/>
          </rPr>
          <t>Gutz:</t>
        </r>
        <r>
          <rPr>
            <sz val="8"/>
            <color indexed="81"/>
            <rFont val="Tahoma"/>
            <family val="2"/>
          </rPr>
          <t xml:space="preserve">
</t>
        </r>
        <r>
          <rPr>
            <sz val="10"/>
            <color indexed="81"/>
            <rFont val="Tahoma"/>
            <family val="2"/>
          </rPr>
          <t>The betas are cumulative (or global) protonation constants, obtained by multiplying the protonation constants Kp from 1 to i, with i stepping up to n, the maximum number of protons accepted by a (conjugated) base (same as the maximum number of dissociable protons of an acid, but in reversed order).
Note that pKa = logKp for a monoprotic acid (because Kp = 1/Kd or pKd = 1/logKd ) and, for polyprotic systems, the first logKp is the last pKa.
Protonation constants, Kp, and betas are preferred here in agreement with the most extensive compilations of equilibrium constants, e.g., Critical Stability Constants, Vol. 1–4 (complete references in the Database), and because the equations become unified with those used for metal-ligand-proton equilibria, based on formation (instead of dissociation) constants.</t>
        </r>
      </text>
    </comment>
    <comment ref="Z5" authorId="0" shapeId="0" xr:uid="{00000000-0006-0000-0100-00000B000000}">
      <text>
        <r>
          <rPr>
            <b/>
            <sz val="8"/>
            <color indexed="81"/>
            <rFont val="Tahoma"/>
            <family val="2"/>
          </rPr>
          <t>Gutz:</t>
        </r>
        <r>
          <rPr>
            <sz val="8"/>
            <color indexed="81"/>
            <rFont val="Tahoma"/>
            <family val="2"/>
          </rPr>
          <t xml:space="preserve">
</t>
        </r>
        <r>
          <rPr>
            <sz val="10"/>
            <color indexed="81"/>
            <rFont val="Tahoma"/>
            <family val="2"/>
          </rPr>
          <t>See R5 to understand the conversion of pKa in logKp</t>
        </r>
      </text>
    </comment>
    <comment ref="A6" authorId="0" shapeId="0" xr:uid="{00000000-0006-0000-0100-00000C000000}">
      <text>
        <r>
          <rPr>
            <b/>
            <sz val="8"/>
            <color indexed="81"/>
            <rFont val="Tahoma"/>
            <family val="2"/>
          </rPr>
          <t xml:space="preserve">Gutz: 
</t>
        </r>
        <r>
          <rPr>
            <sz val="10"/>
            <color indexed="81"/>
            <rFont val="Tahoma"/>
            <family val="2"/>
          </rPr>
          <t>Leave blank</t>
        </r>
        <r>
          <rPr>
            <b/>
            <sz val="10"/>
            <color indexed="81"/>
            <rFont val="Tahoma"/>
            <family val="2"/>
          </rPr>
          <t>/</t>
        </r>
        <r>
          <rPr>
            <sz val="10"/>
            <color indexed="81"/>
            <rFont val="Tahoma"/>
            <family val="2"/>
          </rPr>
          <t>fill out with the concentration (mol/L) of biprotonated base (H</t>
        </r>
        <r>
          <rPr>
            <vertAlign val="subscript"/>
            <sz val="10"/>
            <color indexed="81"/>
            <rFont val="Tahoma"/>
            <family val="2"/>
          </rPr>
          <t>2</t>
        </r>
        <r>
          <rPr>
            <sz val="10"/>
            <color indexed="81"/>
            <rFont val="Tahoma"/>
            <family val="2"/>
          </rPr>
          <t>B) added to the solution, e.g.:  [H</t>
        </r>
        <r>
          <rPr>
            <vertAlign val="subscript"/>
            <sz val="10"/>
            <color indexed="81"/>
            <rFont val="Tahoma"/>
            <family val="2"/>
          </rPr>
          <t>2</t>
        </r>
        <r>
          <rPr>
            <sz val="10"/>
            <color indexed="81"/>
            <rFont val="Tahoma"/>
            <family val="2"/>
          </rPr>
          <t>CO</t>
        </r>
        <r>
          <rPr>
            <vertAlign val="subscript"/>
            <sz val="10"/>
            <color indexed="81"/>
            <rFont val="Tahoma"/>
            <family val="2"/>
          </rPr>
          <t>3</t>
        </r>
        <r>
          <rPr>
            <sz val="10"/>
            <color indexed="81"/>
            <rFont val="Tahoma"/>
            <family val="2"/>
          </rPr>
          <t>],  [H</t>
        </r>
        <r>
          <rPr>
            <vertAlign val="subscript"/>
            <sz val="10"/>
            <color indexed="81"/>
            <rFont val="Tahoma"/>
            <family val="2"/>
          </rPr>
          <t>2</t>
        </r>
        <r>
          <rPr>
            <sz val="10"/>
            <color indexed="81"/>
            <rFont val="Tahoma"/>
            <family val="2"/>
          </rPr>
          <t>Na</t>
        </r>
        <r>
          <rPr>
            <vertAlign val="subscript"/>
            <sz val="10"/>
            <color indexed="81"/>
            <rFont val="Tahoma"/>
            <family val="2"/>
          </rPr>
          <t>2</t>
        </r>
        <r>
          <rPr>
            <sz val="10"/>
            <color indexed="81"/>
            <rFont val="Tahoma"/>
            <family val="2"/>
          </rPr>
          <t>EDTA] or [NaH</t>
        </r>
        <r>
          <rPr>
            <vertAlign val="subscript"/>
            <sz val="10"/>
            <color indexed="81"/>
            <rFont val="Tahoma"/>
            <family val="2"/>
          </rPr>
          <t>2</t>
        </r>
        <r>
          <rPr>
            <sz val="10"/>
            <color indexed="81"/>
            <rFont val="Tahoma"/>
            <family val="2"/>
          </rPr>
          <t>PO</t>
        </r>
        <r>
          <rPr>
            <vertAlign val="subscript"/>
            <sz val="10"/>
            <color indexed="81"/>
            <rFont val="Tahoma"/>
            <family val="2"/>
          </rPr>
          <t>4</t>
        </r>
        <r>
          <rPr>
            <sz val="10"/>
            <color indexed="81"/>
            <rFont val="Tahoma"/>
            <family val="2"/>
          </rPr>
          <t>]</t>
        </r>
      </text>
    </comment>
    <comment ref="J6" authorId="0" shapeId="0" xr:uid="{00000000-0006-0000-0100-00000D000000}">
      <text>
        <r>
          <rPr>
            <b/>
            <sz val="8"/>
            <color indexed="81"/>
            <rFont val="Tahoma"/>
            <family val="2"/>
          </rPr>
          <t xml:space="preserve">Gutz: 
</t>
        </r>
        <r>
          <rPr>
            <sz val="10"/>
            <color indexed="81"/>
            <rFont val="Tahoma"/>
            <family val="2"/>
          </rPr>
          <t>Options:
a) pKa</t>
        </r>
        <r>
          <rPr>
            <vertAlign val="subscript"/>
            <sz val="12"/>
            <color indexed="81"/>
            <rFont val="Tahoma"/>
            <family val="2"/>
          </rPr>
          <t>2</t>
        </r>
        <r>
          <rPr>
            <sz val="10"/>
            <color indexed="81"/>
            <rFont val="Tahoma"/>
            <family val="2"/>
          </rPr>
          <t xml:space="preserve"> , -log of the 2</t>
        </r>
        <r>
          <rPr>
            <vertAlign val="superscript"/>
            <sz val="12"/>
            <color indexed="81"/>
            <rFont val="Tahoma"/>
            <family val="2"/>
          </rPr>
          <t>nd</t>
        </r>
        <r>
          <rPr>
            <sz val="10"/>
            <color indexed="81"/>
            <rFont val="Tahoma"/>
            <family val="2"/>
          </rPr>
          <t xml:space="preserve"> dissociation constant of a diprotic or polyprotic acid; 
b) logKp</t>
        </r>
        <r>
          <rPr>
            <vertAlign val="subscript"/>
            <sz val="12"/>
            <color indexed="81"/>
            <rFont val="Tahoma"/>
            <family val="2"/>
          </rPr>
          <t>i,</t>
        </r>
        <r>
          <rPr>
            <sz val="10"/>
            <color indexed="81"/>
            <rFont val="Tahoma"/>
            <family val="2"/>
          </rPr>
          <t xml:space="preserve"> log of the first protonation constant of a diprotonable (conjugated) base or i=n-1 for a system with n protonations;
c) pK</t>
        </r>
        <r>
          <rPr>
            <vertAlign val="subscript"/>
            <sz val="12"/>
            <color indexed="81"/>
            <rFont val="Tahoma"/>
            <family val="2"/>
          </rPr>
          <t>w</t>
        </r>
        <r>
          <rPr>
            <sz val="10"/>
            <color indexed="81"/>
            <rFont val="Tahoma"/>
            <family val="2"/>
          </rPr>
          <t xml:space="preserve"> - pKb</t>
        </r>
        <r>
          <rPr>
            <vertAlign val="subscript"/>
            <sz val="12"/>
            <color indexed="81"/>
            <rFont val="Tahoma"/>
            <family val="2"/>
          </rPr>
          <t>i</t>
        </r>
        <r>
          <rPr>
            <sz val="10"/>
            <color indexed="81"/>
            <rFont val="Tahoma"/>
            <family val="2"/>
          </rPr>
          <t xml:space="preserve"> with i=1 for a diprotonable base or i=n-1 for a base with n protonations; for a monoprotonable base, leave blank.</t>
        </r>
      </text>
    </comment>
    <comment ref="A7" authorId="0" shapeId="0" xr:uid="{00000000-0006-0000-0100-00000E000000}">
      <text>
        <r>
          <rPr>
            <b/>
            <sz val="8"/>
            <color indexed="81"/>
            <rFont val="Tahoma"/>
            <family val="2"/>
          </rPr>
          <t>Gutz:</t>
        </r>
        <r>
          <rPr>
            <sz val="8"/>
            <color indexed="81"/>
            <rFont val="Tahoma"/>
            <family val="2"/>
          </rPr>
          <t xml:space="preserve">
</t>
        </r>
        <r>
          <rPr>
            <sz val="10"/>
            <color indexed="81"/>
            <rFont val="Tahoma"/>
            <family val="2"/>
          </rPr>
          <t>Leave blank</t>
        </r>
        <r>
          <rPr>
            <b/>
            <sz val="10"/>
            <color indexed="81"/>
            <rFont val="Tahoma"/>
            <family val="2"/>
          </rPr>
          <t>/</t>
        </r>
        <r>
          <rPr>
            <sz val="10"/>
            <color indexed="81"/>
            <rFont val="Tahoma"/>
            <family val="2"/>
          </rPr>
          <t>fill out with the concentration (mol/L) of  triprotonated base (H</t>
        </r>
        <r>
          <rPr>
            <vertAlign val="subscript"/>
            <sz val="12"/>
            <color indexed="81"/>
            <rFont val="Tahoma"/>
            <family val="2"/>
          </rPr>
          <t>3</t>
        </r>
        <r>
          <rPr>
            <sz val="10"/>
            <color indexed="81"/>
            <rFont val="Tahoma"/>
            <family val="2"/>
          </rPr>
          <t>B) added to the solution, e.g.:  [H</t>
        </r>
        <r>
          <rPr>
            <vertAlign val="subscript"/>
            <sz val="12"/>
            <color indexed="81"/>
            <rFont val="Tahoma"/>
            <family val="2"/>
          </rPr>
          <t>3</t>
        </r>
        <r>
          <rPr>
            <sz val="10"/>
            <color indexed="81"/>
            <rFont val="Tahoma"/>
            <family val="2"/>
          </rPr>
          <t>PO</t>
        </r>
        <r>
          <rPr>
            <vertAlign val="subscript"/>
            <sz val="12"/>
            <color indexed="81"/>
            <rFont val="Tahoma"/>
            <family val="2"/>
          </rPr>
          <t>4</t>
        </r>
        <r>
          <rPr>
            <sz val="10"/>
            <color indexed="81"/>
            <rFont val="Tahoma"/>
            <family val="2"/>
          </rPr>
          <t>] (green underlined because it is the neutral form).</t>
        </r>
      </text>
    </comment>
    <comment ref="A11" authorId="0" shapeId="0" xr:uid="{00000000-0006-0000-0100-00000F000000}">
      <text>
        <r>
          <rPr>
            <b/>
            <sz val="8"/>
            <color indexed="81"/>
            <rFont val="Tahoma"/>
            <family val="2"/>
          </rPr>
          <t>Gutz:</t>
        </r>
        <r>
          <rPr>
            <sz val="8"/>
            <color indexed="81"/>
            <rFont val="Tahoma"/>
            <family val="2"/>
          </rPr>
          <t xml:space="preserve">
</t>
        </r>
        <r>
          <rPr>
            <sz val="10"/>
            <color indexed="81"/>
            <rFont val="Tahoma"/>
            <family val="2"/>
          </rPr>
          <t>Sum of concentrations of all forms of the base B introduced in the solution: [HB] + [H</t>
        </r>
        <r>
          <rPr>
            <vertAlign val="subscript"/>
            <sz val="10"/>
            <color indexed="81"/>
            <rFont val="Tahoma"/>
            <family val="2"/>
          </rPr>
          <t>2</t>
        </r>
        <r>
          <rPr>
            <sz val="10"/>
            <color indexed="81"/>
            <rFont val="Tahoma"/>
            <family val="2"/>
          </rPr>
          <t>B] + [H</t>
        </r>
        <r>
          <rPr>
            <vertAlign val="subscript"/>
            <sz val="10"/>
            <color indexed="81"/>
            <rFont val="Tahoma"/>
            <family val="2"/>
          </rPr>
          <t>3</t>
        </r>
        <r>
          <rPr>
            <sz val="10"/>
            <color indexed="81"/>
            <rFont val="Tahoma"/>
            <family val="2"/>
          </rPr>
          <t xml:space="preserve">B] + ... </t>
        </r>
      </text>
    </comment>
    <comment ref="B11" authorId="1" shapeId="0" xr:uid="{00000000-0006-0000-0100-000010000000}">
      <text>
        <r>
          <rPr>
            <b/>
            <sz val="8"/>
            <color indexed="81"/>
            <rFont val="Tahoma"/>
            <family val="2"/>
          </rPr>
          <t>Gutz</t>
        </r>
        <r>
          <rPr>
            <b/>
            <sz val="8"/>
            <color indexed="81"/>
            <rFont val="Tahoma"/>
            <family val="2"/>
          </rPr>
          <t>:</t>
        </r>
        <r>
          <rPr>
            <sz val="8"/>
            <color indexed="81"/>
            <rFont val="Tahoma"/>
            <family val="2"/>
          </rPr>
          <t xml:space="preserve">
</t>
        </r>
        <r>
          <rPr>
            <sz val="10"/>
            <color indexed="81"/>
            <rFont val="Tahoma"/>
            <family val="2"/>
          </rPr>
          <t>Do NOT write in this cell or any other one of the same color, not to corrupt  the equations.</t>
        </r>
      </text>
    </comment>
    <comment ref="I11" authorId="0" shapeId="0" xr:uid="{00000000-0006-0000-0100-000011000000}">
      <text>
        <r>
          <rPr>
            <b/>
            <sz val="8"/>
            <color indexed="81"/>
            <rFont val="Tahoma"/>
            <family val="2"/>
          </rPr>
          <t>Gutz:</t>
        </r>
        <r>
          <rPr>
            <sz val="8"/>
            <color indexed="81"/>
            <rFont val="Tahoma"/>
            <family val="2"/>
          </rPr>
          <t xml:space="preserve">
</t>
        </r>
        <r>
          <rPr>
            <sz val="10"/>
            <color indexed="81"/>
            <rFont val="Tahoma"/>
            <family val="2"/>
          </rPr>
          <t>Total concentration of each base (regardless of the protonation level of the added component) in columns B to H; grand total in column I.</t>
        </r>
      </text>
    </comment>
    <comment ref="J11" authorId="0" shapeId="0" xr:uid="{00000000-0006-0000-0100-000012000000}">
      <text>
        <r>
          <rPr>
            <b/>
            <sz val="8"/>
            <color indexed="81"/>
            <rFont val="Tahoma"/>
            <family val="2"/>
          </rPr>
          <t xml:space="preserve">Gutz: 
</t>
        </r>
        <r>
          <rPr>
            <sz val="10"/>
            <color indexed="81"/>
            <rFont val="Tahoma"/>
            <family val="2"/>
          </rPr>
          <t xml:space="preserve">Write the name (or formula) of ions of strong electrolytes (not involved in protonation equilibria), like counter-ions of salts of weak acids. 
This is required for ionic strength calculation and activity coefficient estimation.
</t>
        </r>
      </text>
    </comment>
    <comment ref="Z11" authorId="0" shapeId="0" xr:uid="{00000000-0006-0000-0100-000013000000}">
      <text>
        <r>
          <rPr>
            <b/>
            <sz val="9"/>
            <color indexed="81"/>
            <rFont val="Segoe UI"/>
            <family val="2"/>
          </rPr>
          <t>Gutz:</t>
        </r>
        <r>
          <rPr>
            <sz val="9"/>
            <color indexed="81"/>
            <rFont val="Segoe UI"/>
            <family val="2"/>
          </rPr>
          <t xml:space="preserve">
</t>
        </r>
        <r>
          <rPr>
            <sz val="10"/>
            <color indexed="81"/>
            <rFont val="Tahoma"/>
            <family val="2"/>
          </rPr>
          <t xml:space="preserve">The pKa values change with temperature. To estimate the pKas at temperatures other than the indicated ones an online calculator can be used for some common acids and bases:
http://www.reachdevices.com/Protein/BiologicalBuffers.html
For other ones, if the enthalpy of the dissociation reaction is available, the van't Hoff's equation may be used. </t>
        </r>
      </text>
    </comment>
    <comment ref="A12" authorId="0" shapeId="0" xr:uid="{00000000-0006-0000-0100-000014000000}">
      <text>
        <r>
          <rPr>
            <b/>
            <sz val="8"/>
            <color indexed="81"/>
            <rFont val="Tahoma"/>
            <family val="2"/>
          </rPr>
          <t>Gutz:</t>
        </r>
        <r>
          <rPr>
            <sz val="8"/>
            <color indexed="81"/>
            <rFont val="Tahoma"/>
            <family val="2"/>
          </rPr>
          <t xml:space="preserve">
</t>
        </r>
        <r>
          <rPr>
            <sz val="10"/>
            <color indexed="81"/>
            <rFont val="Tahoma"/>
            <family val="2"/>
          </rPr>
          <t>Maximum H</t>
        </r>
        <r>
          <rPr>
            <vertAlign val="superscript"/>
            <sz val="10"/>
            <color indexed="81"/>
            <rFont val="Tahoma"/>
            <family val="2"/>
          </rPr>
          <t>+</t>
        </r>
        <r>
          <rPr>
            <sz val="10"/>
            <color indexed="81"/>
            <rFont val="Tahoma"/>
            <family val="2"/>
          </rPr>
          <t xml:space="preserve"> concentration available from the full deprotonation of all forms of H</t>
        </r>
        <r>
          <rPr>
            <vertAlign val="subscript"/>
            <sz val="10"/>
            <color indexed="81"/>
            <rFont val="Tahoma"/>
            <family val="2"/>
          </rPr>
          <t>i</t>
        </r>
        <r>
          <rPr>
            <sz val="10"/>
            <color indexed="81"/>
            <rFont val="Tahoma"/>
            <family val="2"/>
          </rPr>
          <t>B used in the formulation of the solution: [HB] + 2[H</t>
        </r>
        <r>
          <rPr>
            <vertAlign val="subscript"/>
            <sz val="10"/>
            <color indexed="81"/>
            <rFont val="Tahoma"/>
            <family val="2"/>
          </rPr>
          <t>2</t>
        </r>
        <r>
          <rPr>
            <sz val="10"/>
            <color indexed="81"/>
            <rFont val="Tahoma"/>
            <family val="2"/>
          </rPr>
          <t>B] + 3[H</t>
        </r>
        <r>
          <rPr>
            <vertAlign val="subscript"/>
            <sz val="10"/>
            <color indexed="81"/>
            <rFont val="Tahoma"/>
            <family val="2"/>
          </rPr>
          <t>3</t>
        </r>
        <r>
          <rPr>
            <sz val="10"/>
            <color indexed="81"/>
            <rFont val="Tahoma"/>
            <family val="2"/>
          </rPr>
          <t>B] + ...</t>
        </r>
      </text>
    </comment>
    <comment ref="I12" authorId="0" shapeId="0" xr:uid="{00000000-0006-0000-0100-000015000000}">
      <text>
        <r>
          <rPr>
            <b/>
            <sz val="8"/>
            <color indexed="81"/>
            <rFont val="Tahoma"/>
            <family val="2"/>
          </rPr>
          <t>Gutz:</t>
        </r>
        <r>
          <rPr>
            <sz val="8"/>
            <color indexed="81"/>
            <rFont val="Tahoma"/>
            <family val="2"/>
          </rPr>
          <t xml:space="preserve">
</t>
        </r>
        <r>
          <rPr>
            <sz val="10"/>
            <color indexed="81"/>
            <rFont val="Tahoma"/>
            <family val="2"/>
          </rPr>
          <t>Maximum concentration of  H</t>
        </r>
        <r>
          <rPr>
            <vertAlign val="superscript"/>
            <sz val="10"/>
            <color indexed="81"/>
            <rFont val="Tahoma"/>
            <family val="2"/>
          </rPr>
          <t>+</t>
        </r>
        <r>
          <rPr>
            <sz val="10"/>
            <color indexed="81"/>
            <rFont val="Tahoma"/>
            <family val="2"/>
          </rPr>
          <t xml:space="preserve"> that could possibly be dissociated from all the components added to the solution.</t>
        </r>
      </text>
    </comment>
    <comment ref="J12" authorId="0" shapeId="0" xr:uid="{00000000-0006-0000-0100-000016000000}">
      <text>
        <r>
          <rPr>
            <b/>
            <sz val="8"/>
            <color indexed="81"/>
            <rFont val="Tahoma"/>
            <family val="2"/>
          </rPr>
          <t>Gutz:</t>
        </r>
        <r>
          <rPr>
            <sz val="8"/>
            <color indexed="81"/>
            <rFont val="Tahoma"/>
            <family val="2"/>
          </rPr>
          <t xml:space="preserve">
</t>
        </r>
        <r>
          <rPr>
            <sz val="10"/>
            <color indexed="81"/>
            <rFont val="Tahoma"/>
            <family val="2"/>
          </rPr>
          <t>Fill out with the charge of the ion.</t>
        </r>
      </text>
    </comment>
    <comment ref="Z12" authorId="0" shapeId="0" xr:uid="{00000000-0006-0000-0100-000017000000}">
      <text>
        <r>
          <rPr>
            <b/>
            <sz val="9"/>
            <color indexed="81"/>
            <rFont val="Segoe UI"/>
            <family val="2"/>
          </rPr>
          <t>Gutz:</t>
        </r>
        <r>
          <rPr>
            <sz val="9"/>
            <color indexed="81"/>
            <rFont val="Segoe UI"/>
            <family val="2"/>
          </rPr>
          <t xml:space="preserve">
</t>
        </r>
        <r>
          <rPr>
            <sz val="10"/>
            <color indexed="81"/>
            <rFont val="Tahoma"/>
            <family val="2"/>
          </rPr>
          <t xml:space="preserve">See comment in cell </t>
        </r>
        <r>
          <rPr>
            <b/>
            <sz val="10"/>
            <color indexed="81"/>
            <rFont val="Tahoma"/>
            <family val="2"/>
          </rPr>
          <t>D26</t>
        </r>
        <r>
          <rPr>
            <sz val="10"/>
            <color indexed="81"/>
            <rFont val="Tahoma"/>
            <family val="2"/>
          </rPr>
          <t>.</t>
        </r>
      </text>
    </comment>
    <comment ref="A13" authorId="0" shapeId="0" xr:uid="{00000000-0006-0000-0100-000018000000}">
      <text>
        <r>
          <rPr>
            <b/>
            <sz val="8"/>
            <color indexed="81"/>
            <rFont val="Tahoma"/>
            <family val="2"/>
          </rPr>
          <t>Gutz:</t>
        </r>
        <r>
          <rPr>
            <sz val="8"/>
            <color indexed="81"/>
            <rFont val="Tahoma"/>
            <family val="2"/>
          </rPr>
          <t xml:space="preserve">
</t>
        </r>
        <r>
          <rPr>
            <sz val="10"/>
            <color indexed="81"/>
            <rFont val="Tahoma"/>
            <family val="2"/>
          </rPr>
          <t>C</t>
        </r>
        <r>
          <rPr>
            <vertAlign val="subscript"/>
            <sz val="12"/>
            <color indexed="81"/>
            <rFont val="Tahoma"/>
            <family val="2"/>
          </rPr>
          <t>i</t>
        </r>
        <r>
          <rPr>
            <sz val="10"/>
            <color indexed="81"/>
            <rFont val="Tahoma"/>
            <family val="2"/>
          </rPr>
          <t>z</t>
        </r>
        <r>
          <rPr>
            <vertAlign val="subscript"/>
            <sz val="12"/>
            <color indexed="81"/>
            <rFont val="Tahoma"/>
            <family val="2"/>
          </rPr>
          <t>i</t>
        </r>
        <r>
          <rPr>
            <sz val="10"/>
            <color indexed="81"/>
            <rFont val="Tahoma"/>
            <family val="2"/>
          </rPr>
          <t xml:space="preserve"> = ion concentration times charge of the ion (e.g., 2[Ca</t>
        </r>
        <r>
          <rPr>
            <vertAlign val="superscript"/>
            <sz val="12"/>
            <color indexed="81"/>
            <rFont val="Tahoma"/>
            <family val="2"/>
          </rPr>
          <t>2+</t>
        </r>
        <r>
          <rPr>
            <sz val="10"/>
            <color indexed="81"/>
            <rFont val="Tahoma"/>
            <family val="2"/>
          </rPr>
          <t>]).</t>
        </r>
      </text>
    </comment>
    <comment ref="I13" authorId="0" shapeId="0" xr:uid="{00000000-0006-0000-0100-000019000000}">
      <text>
        <r>
          <rPr>
            <b/>
            <sz val="8"/>
            <color indexed="81"/>
            <rFont val="Tahoma"/>
            <family val="2"/>
          </rPr>
          <t>Gutz:</t>
        </r>
        <r>
          <rPr>
            <sz val="8"/>
            <color indexed="81"/>
            <rFont val="Tahoma"/>
            <family val="2"/>
          </rPr>
          <t xml:space="preserve">
</t>
        </r>
        <r>
          <rPr>
            <sz val="10"/>
            <color indexed="81"/>
            <rFont val="Tahoma"/>
            <family val="2"/>
          </rPr>
          <t>Summation of C</t>
        </r>
        <r>
          <rPr>
            <vertAlign val="subscript"/>
            <sz val="10"/>
            <color indexed="81"/>
            <rFont val="Tahoma"/>
            <family val="2"/>
          </rPr>
          <t>i</t>
        </r>
        <r>
          <rPr>
            <sz val="10"/>
            <color indexed="81"/>
            <rFont val="Tahoma"/>
            <family val="2"/>
          </rPr>
          <t>z</t>
        </r>
        <r>
          <rPr>
            <vertAlign val="subscript"/>
            <sz val="10"/>
            <color indexed="81"/>
            <rFont val="Tahoma"/>
            <family val="2"/>
          </rPr>
          <t>i</t>
        </r>
        <r>
          <rPr>
            <sz val="10"/>
            <color indexed="81"/>
            <rFont val="Tahoma"/>
            <family val="2"/>
          </rPr>
          <t xml:space="preserve"> of all acidic and basic ingredients; if not zero, it should be neutralized by counterions in the electrolyte.</t>
        </r>
      </text>
    </comment>
    <comment ref="J13" authorId="0" shapeId="0" xr:uid="{00000000-0006-0000-0100-00001A000000}">
      <text>
        <r>
          <rPr>
            <b/>
            <sz val="8"/>
            <color indexed="81"/>
            <rFont val="Tahoma"/>
            <family val="2"/>
          </rPr>
          <t>Gutz:</t>
        </r>
        <r>
          <rPr>
            <sz val="8"/>
            <color indexed="81"/>
            <rFont val="Tahoma"/>
            <family val="2"/>
          </rPr>
          <t xml:space="preserve">
</t>
        </r>
        <r>
          <rPr>
            <sz val="10"/>
            <color indexed="81"/>
            <rFont val="Tahoma"/>
            <family val="2"/>
          </rPr>
          <t>The ionic dissociation product of water changes with temperature and ionic strength, I. For pure water at 25ºC, the accepted value is 13.997 (or 14.00). The program corrects for I variation using the Davies eq. and displays the resulting value in K31.
Values of pKw at various temperatures: http://www.chemguide.co.uk/physical/acidbaseeqia/kw.html#top</t>
        </r>
      </text>
    </comment>
    <comment ref="A14" authorId="0" shapeId="0" xr:uid="{00000000-0006-0000-0100-00001B000000}">
      <text>
        <r>
          <rPr>
            <b/>
            <sz val="8"/>
            <color indexed="81"/>
            <rFont val="Tahoma"/>
            <family val="2"/>
          </rPr>
          <t>Gutz:</t>
        </r>
        <r>
          <rPr>
            <sz val="8"/>
            <color indexed="81"/>
            <rFont val="Tahoma"/>
            <family val="2"/>
          </rPr>
          <t xml:space="preserve">
</t>
        </r>
        <r>
          <rPr>
            <sz val="10"/>
            <color indexed="81"/>
            <rFont val="Tahoma"/>
            <family val="2"/>
          </rPr>
          <t xml:space="preserve">Fill out with the concentration of counter-ions of the salts of acids and bases, as well as other electrolytes added to the solution (e.g., to adjust ionic strength). 
This data is not essential but it will reduce the uncertainty of the estimation of activity coefficients and pH.
Note: </t>
        </r>
        <r>
          <rPr>
            <sz val="8"/>
            <color indexed="81"/>
            <rFont val="Tahoma"/>
            <family val="2"/>
          </rPr>
          <t>sulfate, a common divalent anion, is only fully dissociated a pH&gt;4 because of its first protonation constant of 100 (= pKa</t>
        </r>
        <r>
          <rPr>
            <vertAlign val="subscript"/>
            <sz val="8"/>
            <color indexed="81"/>
            <rFont val="Tahoma"/>
            <family val="2"/>
          </rPr>
          <t xml:space="preserve">2 </t>
        </r>
        <r>
          <rPr>
            <sz val="8"/>
            <color indexed="81"/>
            <rFont val="Tahoma"/>
            <family val="2"/>
          </rPr>
          <t xml:space="preserve">2 of sulfuric acid). To deal more accurately with this acid/base system, load sulfuric acid from the Database (instead of defining it as electrolyte). </t>
        </r>
      </text>
    </comment>
    <comment ref="B14" authorId="0" shapeId="0" xr:uid="{00000000-0006-0000-0100-00001C000000}">
      <text>
        <r>
          <rPr>
            <b/>
            <sz val="8"/>
            <color indexed="81"/>
            <rFont val="Tahoma"/>
            <family val="2"/>
          </rPr>
          <t>Gutz:</t>
        </r>
        <r>
          <rPr>
            <sz val="8"/>
            <color indexed="81"/>
            <rFont val="Tahoma"/>
            <family val="2"/>
          </rPr>
          <t xml:space="preserve">
</t>
        </r>
        <r>
          <rPr>
            <sz val="10"/>
            <color indexed="81"/>
            <rFont val="Tahoma"/>
            <family val="2"/>
          </rPr>
          <t>Name of the ion (strong electrolyte). To change it, write in cell K11.</t>
        </r>
      </text>
    </comment>
    <comment ref="A15" authorId="0" shapeId="0" xr:uid="{00000000-0006-0000-0100-00001D000000}">
      <text>
        <r>
          <rPr>
            <b/>
            <sz val="8"/>
            <color indexed="81"/>
            <rFont val="Tahoma"/>
            <family val="2"/>
          </rPr>
          <t>Gutz:</t>
        </r>
        <r>
          <rPr>
            <sz val="8"/>
            <color indexed="81"/>
            <rFont val="Tahoma"/>
            <family val="2"/>
          </rPr>
          <t xml:space="preserve">
</t>
        </r>
        <r>
          <rPr>
            <sz val="10"/>
            <color indexed="81"/>
            <rFont val="Tahoma"/>
            <family val="2"/>
          </rPr>
          <t>To add, e.g., 0.1 mol/L NH</t>
        </r>
        <r>
          <rPr>
            <vertAlign val="subscript"/>
            <sz val="12"/>
            <color indexed="81"/>
            <rFont val="Tahoma"/>
            <family val="2"/>
          </rPr>
          <t>4</t>
        </r>
        <r>
          <rPr>
            <sz val="10"/>
            <color indexed="81"/>
            <rFont val="Tahoma"/>
            <family val="2"/>
          </rPr>
          <t>Cl  to the solution, write 0.1 in the Cl</t>
        </r>
        <r>
          <rPr>
            <vertAlign val="superscript"/>
            <sz val="10"/>
            <color indexed="81"/>
            <rFont val="Tahoma"/>
            <family val="2"/>
          </rPr>
          <t xml:space="preserve">- </t>
        </r>
        <r>
          <rPr>
            <sz val="10"/>
            <color indexed="81"/>
            <rFont val="Tahoma"/>
            <family val="2"/>
          </rPr>
          <t>column of this line and 0.1 in line 5 of the column loaded with ammonia.
For 0.1 mol/L CaCl</t>
        </r>
        <r>
          <rPr>
            <vertAlign val="subscript"/>
            <sz val="12"/>
            <color indexed="81"/>
            <rFont val="Tahoma"/>
            <family val="2"/>
          </rPr>
          <t>2</t>
        </r>
        <r>
          <rPr>
            <sz val="10"/>
            <color indexed="81"/>
            <rFont val="Tahoma"/>
            <family val="2"/>
          </rPr>
          <t xml:space="preserve"> , write 0.1 under Ca</t>
        </r>
        <r>
          <rPr>
            <vertAlign val="superscript"/>
            <sz val="10"/>
            <color indexed="81"/>
            <rFont val="Tahoma"/>
            <family val="2"/>
          </rPr>
          <t>++</t>
        </r>
        <r>
          <rPr>
            <sz val="10"/>
            <color indexed="81"/>
            <rFont val="Tahoma"/>
            <family val="2"/>
          </rPr>
          <t xml:space="preserve"> and 0.2 under Cl</t>
        </r>
        <r>
          <rPr>
            <vertAlign val="superscript"/>
            <sz val="10"/>
            <color indexed="81"/>
            <rFont val="Tahoma"/>
            <family val="2"/>
          </rPr>
          <t>-</t>
        </r>
        <r>
          <rPr>
            <sz val="10"/>
            <color indexed="81"/>
            <rFont val="Tahoma"/>
            <family val="2"/>
          </rPr>
          <t>.</t>
        </r>
      </text>
    </comment>
    <comment ref="K15" authorId="1" shapeId="0" xr:uid="{00000000-0006-0000-0100-00001E000000}">
      <text>
        <r>
          <rPr>
            <b/>
            <sz val="8"/>
            <color indexed="81"/>
            <rFont val="Tahoma"/>
            <family val="2"/>
          </rPr>
          <t>Gutz:</t>
        </r>
        <r>
          <rPr>
            <sz val="8"/>
            <color indexed="81"/>
            <rFont val="Tahoma"/>
            <family val="2"/>
          </rPr>
          <t xml:space="preserve">
</t>
        </r>
        <r>
          <rPr>
            <sz val="10"/>
            <color indexed="81"/>
            <rFont val="Tahoma"/>
            <family val="2"/>
          </rPr>
          <t xml:space="preserve">CurTiPot recalculates apparent equilibrium constants at the ionic strength, I, of the solution  from thermodynamic constants (I=0) by estimating activity coefficients  with help of the Davies equation. The accuracy is good for I&lt;0.05, acceptable for I&lt;0.2 and poor for higher values of I.
There is no rigorous mean to calculate activity coefficients of individual ions, although there are many equations pursuing the reduction of the uncertainty of the estimates by taking in account individual effective ion size parameters and specific ion-ion interactions and/or introducing empirical coefficients fitted to real data. Such parameters are readily available only for the most common inorganic and organic ions, limiting their application range in comparison with the simple, general and unspecific Davies equation, that renders the same minimum in activity  around ±0.5 mol/L for any ion.
A compilation of over twenty equations with references to original work is available in the file Ionic St_effects.pdf contained in the package Ionic St_effects.pdf contido no pacote 
 https://iupac.org/wp-content/uploads/2019/04/Aq_solutions_Nov2008.zip
and http://www.acadsoft.co.uk/download/Aq_solutions.zip
</t>
        </r>
      </text>
    </comment>
    <comment ref="A16" authorId="0" shapeId="0" xr:uid="{00000000-0006-0000-0100-00001F000000}">
      <text>
        <r>
          <rPr>
            <b/>
            <sz val="8"/>
            <color indexed="81"/>
            <rFont val="Tahoma"/>
            <family val="2"/>
          </rPr>
          <t>Gutz:</t>
        </r>
        <r>
          <rPr>
            <sz val="8"/>
            <color indexed="81"/>
            <rFont val="Tahoma"/>
            <family val="2"/>
          </rPr>
          <t xml:space="preserve">
</t>
        </r>
        <r>
          <rPr>
            <sz val="10"/>
            <color indexed="81"/>
            <rFont val="Tahoma"/>
            <family val="2"/>
          </rPr>
          <t>C</t>
        </r>
        <r>
          <rPr>
            <vertAlign val="subscript"/>
            <sz val="12"/>
            <color indexed="81"/>
            <rFont val="Tahoma"/>
            <family val="2"/>
          </rPr>
          <t>i</t>
        </r>
        <r>
          <rPr>
            <sz val="10"/>
            <color indexed="81"/>
            <rFont val="Tahoma"/>
            <family val="2"/>
          </rPr>
          <t>z</t>
        </r>
        <r>
          <rPr>
            <vertAlign val="subscript"/>
            <sz val="12"/>
            <color indexed="81"/>
            <rFont val="Tahoma"/>
            <family val="2"/>
          </rPr>
          <t>i</t>
        </r>
        <r>
          <rPr>
            <sz val="10"/>
            <color indexed="81"/>
            <rFont val="Tahoma"/>
            <family val="2"/>
          </rPr>
          <t xml:space="preserve"> = ion concentration times charge of the ion (e.g., 2[Ca</t>
        </r>
        <r>
          <rPr>
            <vertAlign val="superscript"/>
            <sz val="12"/>
            <color indexed="81"/>
            <rFont val="Tahoma"/>
            <family val="2"/>
          </rPr>
          <t>2+</t>
        </r>
        <r>
          <rPr>
            <sz val="10"/>
            <color indexed="81"/>
            <rFont val="Tahoma"/>
            <family val="2"/>
          </rPr>
          <t>]).</t>
        </r>
      </text>
    </comment>
    <comment ref="I16" authorId="0" shapeId="0" xr:uid="{00000000-0006-0000-0100-000020000000}">
      <text>
        <r>
          <rPr>
            <b/>
            <sz val="8"/>
            <color indexed="81"/>
            <rFont val="Tahoma"/>
            <family val="2"/>
          </rPr>
          <t>Gutz:</t>
        </r>
        <r>
          <rPr>
            <sz val="8"/>
            <color indexed="81"/>
            <rFont val="Tahoma"/>
            <family val="2"/>
          </rPr>
          <t xml:space="preserve">
</t>
        </r>
        <r>
          <rPr>
            <sz val="10"/>
            <color indexed="81"/>
            <rFont val="Tahoma"/>
            <family val="2"/>
          </rPr>
          <t>Summation of C</t>
        </r>
        <r>
          <rPr>
            <vertAlign val="subscript"/>
            <sz val="10"/>
            <color indexed="81"/>
            <rFont val="Tahoma"/>
            <family val="2"/>
          </rPr>
          <t>i</t>
        </r>
        <r>
          <rPr>
            <sz val="10"/>
            <color indexed="81"/>
            <rFont val="Tahoma"/>
            <family val="2"/>
          </rPr>
          <t>z</t>
        </r>
        <r>
          <rPr>
            <vertAlign val="subscript"/>
            <sz val="10"/>
            <color indexed="81"/>
            <rFont val="Tahoma"/>
            <family val="2"/>
          </rPr>
          <t>i</t>
        </r>
        <r>
          <rPr>
            <sz val="10"/>
            <color indexed="81"/>
            <rFont val="Tahoma"/>
            <family val="2"/>
          </rPr>
          <t xml:space="preserve"> of all electrolytes</t>
        </r>
      </text>
    </comment>
    <comment ref="J16" authorId="0" shapeId="0" xr:uid="{00000000-0006-0000-0100-000021000000}">
      <text>
        <r>
          <rPr>
            <b/>
            <sz val="8"/>
            <color indexed="81"/>
            <rFont val="Tahoma"/>
            <family val="2"/>
          </rPr>
          <t>Gutz:</t>
        </r>
        <r>
          <rPr>
            <sz val="8"/>
            <color indexed="81"/>
            <rFont val="Tahoma"/>
            <family val="2"/>
          </rPr>
          <t xml:space="preserve">
</t>
        </r>
        <r>
          <rPr>
            <sz val="10"/>
            <color indexed="81"/>
            <rFont val="Tahoma"/>
            <family val="2"/>
          </rPr>
          <t xml:space="preserve">A and b are parameters of the Davies equation, used for activity coefficient estimation. They depend on temperature, dielectric constant, electrolyte, etc. 
The recommended values for water at 25ºC are: A=0.509; b=0.300.
The Davies eq. does not require the size of different hydrated ions but, to some degree, the A and b parameters may be empirically adjusted to more closely describe a given electrolyte.
For example: For NaCl + HCl solutions, A=0.43 and b=0.49 conducts to </t>
        </r>
        <r>
          <rPr>
            <sz val="14"/>
            <color indexed="81"/>
            <rFont val="Symbol"/>
            <family val="1"/>
            <charset val="2"/>
          </rPr>
          <t>g</t>
        </r>
        <r>
          <rPr>
            <sz val="10"/>
            <color indexed="81"/>
            <rFont val="Tahoma"/>
            <family val="2"/>
          </rPr>
          <t>H</t>
        </r>
        <r>
          <rPr>
            <vertAlign val="superscript"/>
            <sz val="12"/>
            <color indexed="81"/>
            <rFont val="Tahoma"/>
            <family val="2"/>
          </rPr>
          <t>+</t>
        </r>
        <r>
          <rPr>
            <sz val="10"/>
            <color indexed="81"/>
            <rFont val="Tahoma"/>
            <family val="2"/>
          </rPr>
          <t xml:space="preserve"> values in excellent agreement with those provided (up to 0.5 mol/kg) in http://www.iupac.org/projects/2000/Aq_Solutions.zip
on base of more complete equations fitted to experimental data. 
For phosphate solutions, A=0.51 and b=0.20 seems appropriate at pHs above neutrality.
</t>
        </r>
      </text>
    </comment>
    <comment ref="A17" authorId="0" shapeId="0" xr:uid="{00000000-0006-0000-0100-000022000000}">
      <text>
        <r>
          <rPr>
            <b/>
            <sz val="8"/>
            <color indexed="81"/>
            <rFont val="Tahoma"/>
            <family val="2"/>
          </rPr>
          <t>Gutz:</t>
        </r>
        <r>
          <rPr>
            <sz val="8"/>
            <color indexed="81"/>
            <rFont val="Tahoma"/>
            <family val="2"/>
          </rPr>
          <t xml:space="preserve">
</t>
        </r>
        <r>
          <rPr>
            <sz val="10"/>
            <color indexed="81"/>
            <rFont val="Tahoma"/>
            <family val="2"/>
          </rPr>
          <t>Electroneutrality is not a must to calculate the pH (by clicking B18). However, there will be some extra uncertainty in the results due to incorrect ionic strength calculation.</t>
        </r>
      </text>
    </comment>
    <comment ref="I17" authorId="0" shapeId="0" xr:uid="{00000000-0006-0000-0100-000023000000}">
      <text>
        <r>
          <rPr>
            <b/>
            <sz val="8"/>
            <color indexed="81"/>
            <rFont val="Tahoma"/>
            <family val="2"/>
          </rPr>
          <t>Gutz:</t>
        </r>
        <r>
          <rPr>
            <sz val="8"/>
            <color indexed="81"/>
            <rFont val="Tahoma"/>
            <family val="2"/>
          </rPr>
          <t xml:space="preserve">
</t>
        </r>
        <r>
          <rPr>
            <sz val="10"/>
            <color indexed="81"/>
            <rFont val="Tahoma"/>
            <family val="2"/>
          </rPr>
          <t>Charge Balance of all C</t>
        </r>
        <r>
          <rPr>
            <vertAlign val="subscript"/>
            <sz val="10"/>
            <color indexed="81"/>
            <rFont val="Tahoma"/>
            <family val="2"/>
          </rPr>
          <t>i</t>
        </r>
        <r>
          <rPr>
            <sz val="10"/>
            <color indexed="81"/>
            <rFont val="Tahoma"/>
            <family val="2"/>
          </rPr>
          <t>z</t>
        </r>
        <r>
          <rPr>
            <vertAlign val="subscript"/>
            <sz val="10"/>
            <color indexed="81"/>
            <rFont val="Tahoma"/>
            <family val="2"/>
          </rPr>
          <t>i</t>
        </r>
        <r>
          <rPr>
            <sz val="10"/>
            <color indexed="81"/>
            <rFont val="Tahoma"/>
            <family val="2"/>
          </rPr>
          <t xml:space="preserve"> of ingredients added (before equilibrium); if not zero, it should be neutralized by adding counterions.</t>
        </r>
      </text>
    </comment>
    <comment ref="J17" authorId="0" shapeId="0" xr:uid="{00000000-0006-0000-0100-000024000000}">
      <text>
        <r>
          <rPr>
            <b/>
            <sz val="8"/>
            <color indexed="81"/>
            <rFont val="Tahoma"/>
            <family val="2"/>
          </rPr>
          <t>Gutz:</t>
        </r>
        <r>
          <rPr>
            <sz val="8"/>
            <color indexed="81"/>
            <rFont val="Tahoma"/>
            <family val="2"/>
          </rPr>
          <t xml:space="preserve">
</t>
        </r>
        <r>
          <rPr>
            <sz val="10"/>
            <color indexed="81"/>
            <rFont val="Tahoma"/>
            <family val="2"/>
          </rPr>
          <t>Read comment  in cell J6 (above) and K15.</t>
        </r>
      </text>
    </comment>
    <comment ref="A23" authorId="0" shapeId="0" xr:uid="{00000000-0006-0000-0100-000025000000}">
      <text>
        <r>
          <rPr>
            <b/>
            <sz val="8"/>
            <color indexed="81"/>
            <rFont val="Tahoma"/>
            <family val="2"/>
          </rPr>
          <t>Gutz:</t>
        </r>
        <r>
          <rPr>
            <sz val="8"/>
            <color indexed="81"/>
            <rFont val="Tahoma"/>
            <family val="2"/>
          </rPr>
          <t xml:space="preserve">
</t>
        </r>
        <r>
          <rPr>
            <sz val="10"/>
            <color indexed="81"/>
            <rFont val="Tahoma"/>
            <family val="2"/>
          </rPr>
          <t>This is an estimate of the pH = -logarithm of activity of  H</t>
        </r>
        <r>
          <rPr>
            <vertAlign val="superscript"/>
            <sz val="12"/>
            <color indexed="81"/>
            <rFont val="Tahoma"/>
            <family val="2"/>
          </rPr>
          <t>+</t>
        </r>
        <r>
          <rPr>
            <sz val="10"/>
            <color indexed="81"/>
            <rFont val="Tahoma"/>
            <family val="2"/>
          </rPr>
          <t xml:space="preserve"> ions or hydronium (see definition in http://www.iupac.org/goldbook/P04524.pdf ) that would be measured by a pH meter for a solution with the given composition, at 25ºC (or another temperature specified for the pKw and pKa values). The potential of potentiometric sensors (like the glass electrode or the H</t>
        </r>
        <r>
          <rPr>
            <vertAlign val="superscript"/>
            <sz val="12"/>
            <color indexed="81"/>
            <rFont val="Tahoma"/>
            <family val="2"/>
          </rPr>
          <t>+</t>
        </r>
        <r>
          <rPr>
            <sz val="10"/>
            <color indexed="81"/>
            <rFont val="Tahoma"/>
            <family val="2"/>
          </rPr>
          <t>/H</t>
        </r>
        <r>
          <rPr>
            <vertAlign val="subscript"/>
            <sz val="12"/>
            <color indexed="81"/>
            <rFont val="Tahoma"/>
            <family val="2"/>
          </rPr>
          <t xml:space="preserve">2 </t>
        </r>
        <r>
          <rPr>
            <sz val="10"/>
            <color indexed="81"/>
            <rFont val="Tahoma"/>
            <family val="2"/>
          </rPr>
          <t xml:space="preserve">electrode) changes linearly with the inverse of the logarithm of the </t>
        </r>
        <r>
          <rPr>
            <b/>
            <sz val="10"/>
            <color indexed="81"/>
            <rFont val="Tahoma"/>
            <family val="2"/>
          </rPr>
          <t>activity</t>
        </r>
        <r>
          <rPr>
            <sz val="10"/>
            <color indexed="81"/>
            <rFont val="Tahoma"/>
            <family val="2"/>
          </rPr>
          <t xml:space="preserve"> of hydrated H</t>
        </r>
        <r>
          <rPr>
            <vertAlign val="superscript"/>
            <sz val="10"/>
            <color indexed="81"/>
            <rFont val="Tahoma"/>
            <family val="2"/>
          </rPr>
          <t>+</t>
        </r>
        <r>
          <rPr>
            <sz val="10"/>
            <color indexed="81"/>
            <rFont val="Tahoma"/>
            <family val="2"/>
          </rPr>
          <t xml:space="preserve"> ions, </t>
        </r>
        <r>
          <rPr>
            <b/>
            <sz val="10"/>
            <color indexed="81"/>
            <rFont val="Tahoma"/>
            <family val="2"/>
          </rPr>
          <t>not</t>
        </r>
        <r>
          <rPr>
            <sz val="10"/>
            <color indexed="81"/>
            <rFont val="Tahoma"/>
            <family val="2"/>
          </rPr>
          <t xml:space="preserve"> the </t>
        </r>
        <r>
          <rPr>
            <b/>
            <sz val="10"/>
            <color indexed="81"/>
            <rFont val="Tahoma"/>
            <family val="2"/>
          </rPr>
          <t>concentration</t>
        </r>
        <r>
          <rPr>
            <sz val="10"/>
            <color indexed="81"/>
            <rFont val="Tahoma"/>
            <family val="2"/>
          </rPr>
          <t xml:space="preserve"> (expressed as p[H] in cell B24).  
pH = -log aH+ = -log([H</t>
        </r>
        <r>
          <rPr>
            <vertAlign val="superscript"/>
            <sz val="12"/>
            <color indexed="81"/>
            <rFont val="Tahoma"/>
            <family val="2"/>
          </rPr>
          <t>+</t>
        </r>
        <r>
          <rPr>
            <sz val="10"/>
            <color indexed="81"/>
            <rFont val="Tahoma"/>
            <family val="2"/>
          </rPr>
          <t>] x</t>
        </r>
        <r>
          <rPr>
            <sz val="10"/>
            <color indexed="81"/>
            <rFont val="Symbol"/>
            <family val="1"/>
            <charset val="2"/>
          </rPr>
          <t xml:space="preserve"> </t>
        </r>
        <r>
          <rPr>
            <sz val="12"/>
            <color indexed="81"/>
            <rFont val="Symbol"/>
            <family val="1"/>
            <charset val="2"/>
          </rPr>
          <t>g</t>
        </r>
        <r>
          <rPr>
            <vertAlign val="subscript"/>
            <sz val="12"/>
            <color indexed="81"/>
            <rFont val="Tahoma"/>
            <family val="2"/>
          </rPr>
          <t>H+</t>
        </r>
        <r>
          <rPr>
            <sz val="10"/>
            <color indexed="81"/>
            <rFont val="Tahoma"/>
            <family val="2"/>
          </rPr>
          <t xml:space="preserve">) , </t>
        </r>
        <r>
          <rPr>
            <sz val="12"/>
            <color indexed="81"/>
            <rFont val="Symbol"/>
            <family val="1"/>
            <charset val="2"/>
          </rPr>
          <t>g</t>
        </r>
        <r>
          <rPr>
            <vertAlign val="subscript"/>
            <sz val="12"/>
            <color indexed="81"/>
            <rFont val="Tahoma"/>
            <family val="2"/>
          </rPr>
          <t xml:space="preserve">H+ </t>
        </r>
        <r>
          <rPr>
            <sz val="10"/>
            <color indexed="81"/>
            <rFont val="Tahoma"/>
            <family val="2"/>
          </rPr>
          <t>is shown in the B26
The uncertainty of estimated pH values is never lower than the uncertainty of the pKa values in use, and it grows with the ionic strength, I, due to deficiencies of the Davies equation (more about in cells D26 and  K15). It can exceed 0.1 pH unit for I&gt;0.05, specially in solutions with highly charged ions (like PO</t>
        </r>
        <r>
          <rPr>
            <vertAlign val="subscript"/>
            <sz val="12"/>
            <color indexed="81"/>
            <rFont val="Tahoma"/>
            <family val="2"/>
          </rPr>
          <t>4</t>
        </r>
        <r>
          <rPr>
            <vertAlign val="superscript"/>
            <sz val="12"/>
            <color indexed="81"/>
            <rFont val="Tahoma"/>
            <family val="2"/>
          </rPr>
          <t>3--</t>
        </r>
        <r>
          <rPr>
            <sz val="10"/>
            <color indexed="81"/>
            <rFont val="Tahoma"/>
            <family val="2"/>
          </rPr>
          <t>).</t>
        </r>
      </text>
    </comment>
    <comment ref="C23" authorId="0" shapeId="0" xr:uid="{00000000-0006-0000-0100-000026000000}">
      <text>
        <r>
          <rPr>
            <b/>
            <sz val="8"/>
            <color indexed="81"/>
            <rFont val="Tahoma"/>
            <family val="2"/>
          </rPr>
          <t>Gutz:</t>
        </r>
        <r>
          <rPr>
            <sz val="8"/>
            <color indexed="81"/>
            <rFont val="Tahoma"/>
            <family val="2"/>
          </rPr>
          <t xml:space="preserve">
</t>
        </r>
        <r>
          <rPr>
            <sz val="10"/>
            <color indexed="81"/>
            <rFont val="Tahoma"/>
            <family val="2"/>
          </rPr>
          <t>This and other activity results are based on (uncertain) estimates of activity coefficient made with the Davies equation. Read more in cells A23, D26 and  K15.</t>
        </r>
      </text>
    </comment>
    <comment ref="A24" authorId="0" shapeId="0" xr:uid="{00000000-0006-0000-0100-000027000000}">
      <text>
        <r>
          <rPr>
            <b/>
            <sz val="8"/>
            <color indexed="81"/>
            <rFont val="Tahoma"/>
            <family val="2"/>
          </rPr>
          <t>Gutz:</t>
        </r>
        <r>
          <rPr>
            <sz val="8"/>
            <color indexed="81"/>
            <rFont val="Tahoma"/>
            <family val="2"/>
          </rPr>
          <t xml:space="preserve">
</t>
        </r>
        <r>
          <rPr>
            <sz val="10"/>
            <color indexed="81"/>
            <rFont val="Tahoma"/>
            <family val="2"/>
          </rPr>
          <t>p[H] = -log[H</t>
        </r>
        <r>
          <rPr>
            <vertAlign val="superscript"/>
            <sz val="10"/>
            <color indexed="81"/>
            <rFont val="Tahoma"/>
            <family val="2"/>
          </rPr>
          <t>+</t>
        </r>
        <r>
          <rPr>
            <sz val="10"/>
            <color indexed="81"/>
            <rFont val="Tahoma"/>
            <family val="2"/>
          </rPr>
          <t>], calculated with the apparent pKas (cells K25 to Q30), while "pH" (cell B25) is obtained with the thermodynamic pKas, valid only for I=0 (see comment in cell K15), and pH (cell B23) uses estimated activities to come closer to the measurable pH.  
Although potentiometric sensors respond to activity of species (see comment in B23), it is possible – but not usual – to calibrate a pH meter (a high impedance voltmeter) with H</t>
        </r>
        <r>
          <rPr>
            <vertAlign val="superscript"/>
            <sz val="10"/>
            <color indexed="81"/>
            <rFont val="Tahoma"/>
            <family val="2"/>
          </rPr>
          <t>+</t>
        </r>
        <r>
          <rPr>
            <sz val="10"/>
            <color indexed="81"/>
            <rFont val="Tahoma"/>
            <family val="2"/>
          </rPr>
          <t xml:space="preserve"> concentration standards at a given value of  I (to keep the activity coefficients constant) and measure free hydrated proton concentrations directly at this I. 
Some other techniques like spectrophotometry present a concentration response and may be used to indirectly measure p[H] (e.g., optodes).</t>
        </r>
      </text>
    </comment>
    <comment ref="A25" authorId="0" shapeId="0" xr:uid="{00000000-0006-0000-0100-000028000000}">
      <text>
        <r>
          <rPr>
            <b/>
            <sz val="8"/>
            <color indexed="81"/>
            <rFont val="Tahoma"/>
            <family val="2"/>
          </rPr>
          <t>Gutz:</t>
        </r>
        <r>
          <rPr>
            <sz val="8"/>
            <color indexed="81"/>
            <rFont val="Tahoma"/>
            <family val="2"/>
          </rPr>
          <t xml:space="preserve">
</t>
        </r>
        <r>
          <rPr>
            <sz val="10"/>
            <color indexed="81"/>
            <rFont val="Tahoma"/>
            <family val="2"/>
          </rPr>
          <t>"pH" is the value found in calculations where concentrations are used in the law of mass action expressions supplied with thermodynamic equilibrium constants – as usual in high school or introductory general chemistry classes and textbooks. 
Comparison with pH (cell B23) and p[H] (cell B24) reveals that errors are small only for diluted solutions, where ion-ion interactions are less significant and activities depart less from concentrations (see comments in cells A23, D26 and  K15).</t>
        </r>
      </text>
    </comment>
    <comment ref="A26" authorId="0" shapeId="0" xr:uid="{00000000-0006-0000-0100-000029000000}">
      <text>
        <r>
          <rPr>
            <b/>
            <sz val="8"/>
            <color indexed="81"/>
            <rFont val="Tahoma"/>
            <family val="2"/>
          </rPr>
          <t>Gutz:</t>
        </r>
        <r>
          <rPr>
            <sz val="8"/>
            <color indexed="81"/>
            <rFont val="Tahoma"/>
            <family val="2"/>
          </rPr>
          <t xml:space="preserve">
</t>
        </r>
        <r>
          <rPr>
            <sz val="10"/>
            <color indexed="81"/>
            <rFont val="Tahoma"/>
            <family val="2"/>
          </rPr>
          <t>This and other activity coefficients are (uncertain) estimates made with the Davies equation. Read more in cells A23, D26 and  K15.</t>
        </r>
      </text>
    </comment>
    <comment ref="D26" authorId="0" shapeId="0" xr:uid="{00000000-0006-0000-0100-00002A000000}">
      <text>
        <r>
          <rPr>
            <b/>
            <sz val="8"/>
            <color indexed="81"/>
            <rFont val="Tahoma"/>
            <family val="2"/>
          </rPr>
          <t>Gutz:</t>
        </r>
        <r>
          <rPr>
            <sz val="8"/>
            <color indexed="81"/>
            <rFont val="Tahoma"/>
            <family val="2"/>
          </rPr>
          <t xml:space="preserve">
</t>
        </r>
        <r>
          <rPr>
            <sz val="10"/>
            <color indexed="81"/>
            <rFont val="Tahoma"/>
            <family val="2"/>
          </rPr>
          <t>The ionic strength, I, is a determining parameter in the equations used for the estimation of the ions activity coefficients (</t>
        </r>
        <r>
          <rPr>
            <sz val="12"/>
            <color indexed="81"/>
            <rFont val="Symbol"/>
            <family val="1"/>
            <charset val="2"/>
          </rPr>
          <t>g</t>
        </r>
        <r>
          <rPr>
            <vertAlign val="subscript"/>
            <sz val="12"/>
            <color indexed="81"/>
            <rFont val="Tahoma"/>
            <family val="2"/>
          </rPr>
          <t>i</t>
        </r>
        <r>
          <rPr>
            <sz val="10"/>
            <color indexed="81"/>
            <rFont val="Tahoma"/>
            <family val="2"/>
          </rPr>
          <t>) that affect the pKas and thus the cistribution curves. It consists of half of the summation of the concentration of each ion times the square of its charge: 
I = 0.5</t>
        </r>
        <r>
          <rPr>
            <sz val="12"/>
            <color indexed="81"/>
            <rFont val="Symbol"/>
            <family val="1"/>
            <charset val="2"/>
          </rPr>
          <t>S</t>
        </r>
        <r>
          <rPr>
            <sz val="10"/>
            <color indexed="81"/>
            <rFont val="Tahoma"/>
            <family val="2"/>
          </rPr>
          <t>c</t>
        </r>
        <r>
          <rPr>
            <vertAlign val="subscript"/>
            <sz val="10"/>
            <color indexed="81"/>
            <rFont val="Tahoma"/>
            <family val="2"/>
          </rPr>
          <t>i</t>
        </r>
        <r>
          <rPr>
            <sz val="10"/>
            <color indexed="81"/>
            <rFont val="Tahoma"/>
            <family val="2"/>
          </rPr>
          <t>z</t>
        </r>
        <r>
          <rPr>
            <vertAlign val="subscript"/>
            <sz val="10"/>
            <color indexed="81"/>
            <rFont val="Tahoma"/>
            <family val="2"/>
          </rPr>
          <t>i</t>
        </r>
        <r>
          <rPr>
            <vertAlign val="superscript"/>
            <sz val="10"/>
            <color indexed="81"/>
            <rFont val="Tahoma"/>
            <family val="2"/>
          </rPr>
          <t>2</t>
        </r>
        <r>
          <rPr>
            <sz val="10"/>
            <color indexed="81"/>
            <rFont val="Tahoma"/>
            <family val="2"/>
          </rPr>
          <t xml:space="preserve">
The amount of electrostatic interaction between ions in solution is related to the ionic strength, I, a parameter used in the Debye Hückel equation for estimation of activity coefficients and extended versions of this equation, suitable for work at I&gt;0.01 mol/L, where the effective hydrated ion size of the species also becomes relevant. 
As a general trend, the activity coefficient decreases with the increase of I (due to ion-ion interactions like the formation of ion pairs) down to a minimum in the region of I = 0.3 to 0.7 mol/L. At such high values of I, the association constants of each with all other major ions need to be feed to the equations or empirically fitted, to reduce uncertainty in estimates. The Davies equation, based on the average behavior of the ions and used here to deal with in complex mixtures for witch such constants are not readily available, renders estimates with greater uncertainty. Read also A23 and  K15.</t>
        </r>
        <r>
          <rPr>
            <sz val="8"/>
            <color indexed="81"/>
            <rFont val="Tahoma"/>
            <family val="2"/>
          </rPr>
          <t xml:space="preserve">
</t>
        </r>
      </text>
    </comment>
    <comment ref="C27" authorId="2" shapeId="0" xr:uid="{00000000-0006-0000-0100-00002B000000}">
      <text>
        <r>
          <rPr>
            <b/>
            <sz val="8"/>
            <color indexed="81"/>
            <rFont val="Tahoma"/>
            <family val="2"/>
          </rPr>
          <t xml:space="preserve">Gutz:
</t>
        </r>
        <r>
          <rPr>
            <sz val="10"/>
            <color indexed="81"/>
            <rFont val="Tahoma"/>
            <family val="2"/>
          </rPr>
          <t xml:space="preserve">The Buffer Capacity, BC, (or Buffer Index, BI) can be understood as the concentration of (strong) acid or sodium hydroxide that, when added to the solution under consideration, would shift the pH by one unit, in a hypothetical pH region of constant BC. Since BC can change  rapidly with pH (as shown in Figures 3 and 7 in "Distribution"), estimates of the resistance against acid or base addition are reasonably accurate only for 0.1 </t>
        </r>
        <r>
          <rPr>
            <sz val="10"/>
            <color indexed="81"/>
            <rFont val="Symbol"/>
            <family val="1"/>
            <charset val="2"/>
          </rPr>
          <t>D</t>
        </r>
        <r>
          <rPr>
            <sz val="10"/>
            <color indexed="81"/>
            <rFont val="Tahoma"/>
            <family val="2"/>
          </rPr>
          <t>pH or less.
For example, a buffer solution of pH 7.001 prepared with 0.0200 mol/L NaH</t>
        </r>
        <r>
          <rPr>
            <vertAlign val="subscript"/>
            <sz val="12"/>
            <color indexed="81"/>
            <rFont val="Tahoma"/>
            <family val="2"/>
          </rPr>
          <t>2</t>
        </r>
        <r>
          <rPr>
            <sz val="10"/>
            <color indexed="81"/>
            <rFont val="Tahoma"/>
            <family val="2"/>
          </rPr>
          <t>PO</t>
        </r>
        <r>
          <rPr>
            <vertAlign val="subscript"/>
            <sz val="12"/>
            <color indexed="81"/>
            <rFont val="Tahoma"/>
            <family val="2"/>
          </rPr>
          <t>4</t>
        </r>
        <r>
          <rPr>
            <sz val="10"/>
            <color indexed="81"/>
            <rFont val="Tahoma"/>
            <family val="2"/>
          </rPr>
          <t xml:space="preserve">  and 0.0265 mol/L Na</t>
        </r>
        <r>
          <rPr>
            <vertAlign val="subscript"/>
            <sz val="12"/>
            <color indexed="81"/>
            <rFont val="Tahoma"/>
            <family val="2"/>
          </rPr>
          <t>2</t>
        </r>
        <r>
          <rPr>
            <sz val="10"/>
            <color indexed="81"/>
            <rFont val="Tahoma"/>
            <family val="2"/>
          </rPr>
          <t>HPO</t>
        </r>
        <r>
          <rPr>
            <vertAlign val="subscript"/>
            <sz val="12"/>
            <color indexed="81"/>
            <rFont val="Tahoma"/>
            <family val="2"/>
          </rPr>
          <t>4</t>
        </r>
        <r>
          <rPr>
            <sz val="10"/>
            <color indexed="81"/>
            <rFont val="Tahoma"/>
            <family val="2"/>
          </rPr>
          <t xml:space="preserve"> presents a BC= 0.02625. 
i) The addition of acid or base in a BC/10 concentration, aiming a </t>
        </r>
        <r>
          <rPr>
            <sz val="10"/>
            <color indexed="81"/>
            <rFont val="Symbol"/>
            <family val="1"/>
            <charset val="2"/>
          </rPr>
          <t>D</t>
        </r>
        <r>
          <rPr>
            <sz val="10"/>
            <color indexed="81"/>
            <rFont val="Tahoma"/>
            <family val="2"/>
          </rPr>
          <t xml:space="preserve">pH of 0.1, renders an accurate result. Calculation of the pH of the described buffer plus 0.002625 mol/L HCl shows a pH to  6.904, close to the expected 6.901; a similar concentration of NaOH increases the pH to 7.098, practically 7.101.
ii) The addition of a concentration equal to BC of strong acid or base produces a </t>
        </r>
        <r>
          <rPr>
            <sz val="10"/>
            <color indexed="81"/>
            <rFont val="Symbol"/>
            <family val="1"/>
            <charset val="2"/>
          </rPr>
          <t>D</t>
        </r>
        <r>
          <rPr>
            <sz val="10"/>
            <color indexed="81"/>
            <rFont val="Tahoma"/>
            <family val="2"/>
          </rPr>
          <t>pH larger than the aimed one unit, because, for the example under consideration, BC presents a maximum at pH 6.87 (see Distribution). Addition of [HCl]=0.02625 mol/L renders a pH of 4.79 instead of 6.00 while addition of [NaOH]=0.02625 mol/L raises the pH to 10.86 (an overshot of 2.9 units, worse than in the acidic side because there is more HPO</t>
        </r>
        <r>
          <rPr>
            <vertAlign val="subscript"/>
            <sz val="12"/>
            <color indexed="81"/>
            <rFont val="Tahoma"/>
            <family val="2"/>
          </rPr>
          <t>4</t>
        </r>
        <r>
          <rPr>
            <vertAlign val="superscript"/>
            <sz val="12"/>
            <color indexed="81"/>
            <rFont val="Tahoma"/>
            <family val="2"/>
          </rPr>
          <t>2-</t>
        </r>
        <r>
          <rPr>
            <sz val="10"/>
            <color indexed="81"/>
            <rFont val="Tahoma"/>
            <family val="2"/>
          </rPr>
          <t xml:space="preserve"> than H</t>
        </r>
        <r>
          <rPr>
            <vertAlign val="subscript"/>
            <sz val="12"/>
            <color indexed="81"/>
            <rFont val="Tahoma"/>
            <family val="2"/>
          </rPr>
          <t>2</t>
        </r>
        <r>
          <rPr>
            <sz val="10"/>
            <color indexed="81"/>
            <rFont val="Tahoma"/>
            <family val="2"/>
          </rPr>
          <t>PO</t>
        </r>
        <r>
          <rPr>
            <vertAlign val="subscript"/>
            <sz val="12"/>
            <color indexed="81"/>
            <rFont val="Tahoma"/>
            <family val="2"/>
          </rPr>
          <t>4</t>
        </r>
        <r>
          <rPr>
            <vertAlign val="superscript"/>
            <sz val="12"/>
            <color indexed="81"/>
            <rFont val="Tahoma"/>
            <family val="2"/>
          </rPr>
          <t>-</t>
        </r>
        <r>
          <rPr>
            <sz val="10"/>
            <color indexed="81"/>
            <rFont val="Tahoma"/>
            <family val="2"/>
          </rPr>
          <t xml:space="preserve"> in the buffer). 
More about, e.g.: Understanding, Deriving, and Computing Buffer Capacity, by Edward T. Urbansky and Michael R. Schock, Journal of Chemical Education,  2000, Vol. 77, 1640-44 and references cited therein.</t>
        </r>
      </text>
    </comment>
    <comment ref="G27" authorId="2" shapeId="0" xr:uid="{00000000-0006-0000-0100-00002C000000}">
      <text>
        <r>
          <rPr>
            <b/>
            <sz val="8"/>
            <color indexed="81"/>
            <rFont val="Tahoma"/>
            <family val="2"/>
          </rPr>
          <t>Gutz:</t>
        </r>
        <r>
          <rPr>
            <sz val="10"/>
            <color indexed="81"/>
            <rFont val="Tahoma"/>
            <family val="2"/>
          </rPr>
          <t xml:space="preserve">
Buffer Capacity=Buffer Strength x ln(10),  where ln(10) ~ 2.303
For a monoprotic acid, e.g., Acetic Acid written in column C, the Buffer Strength is evaluated by the expression: C11 x (C44/100) x (C45/100) + D24+F24
</t>
        </r>
      </text>
    </comment>
    <comment ref="A30" authorId="1" shapeId="0" xr:uid="{00000000-0006-0000-0100-00002D000000}">
      <text>
        <r>
          <rPr>
            <b/>
            <sz val="8"/>
            <color indexed="81"/>
            <rFont val="Tahoma"/>
            <family val="2"/>
          </rPr>
          <t>Gutz:</t>
        </r>
        <r>
          <rPr>
            <sz val="8"/>
            <color indexed="81"/>
            <rFont val="Tahoma"/>
            <family val="2"/>
          </rPr>
          <t xml:space="preserve">
</t>
        </r>
        <r>
          <rPr>
            <sz val="10"/>
            <color indexed="81"/>
            <rFont val="Tahoma"/>
            <family val="2"/>
          </rPr>
          <t xml:space="preserve">The mean or average charge of a conjugate acid/base system </t>
        </r>
        <r>
          <rPr>
            <b/>
            <sz val="10"/>
            <color indexed="81"/>
            <rFont val="Tahoma"/>
            <family val="2"/>
          </rPr>
          <t>H</t>
        </r>
        <r>
          <rPr>
            <b/>
            <vertAlign val="subscript"/>
            <sz val="12"/>
            <color indexed="81"/>
            <rFont val="Tahoma"/>
            <family val="2"/>
          </rPr>
          <t>i</t>
        </r>
        <r>
          <rPr>
            <b/>
            <sz val="10"/>
            <color indexed="81"/>
            <rFont val="Tahoma"/>
            <family val="2"/>
          </rPr>
          <t>B</t>
        </r>
        <r>
          <rPr>
            <sz val="10"/>
            <color indexed="81"/>
            <rFont val="Tahoma"/>
            <family val="2"/>
          </rPr>
          <t xml:space="preserve"> at a given pH is calculated by the equation z</t>
        </r>
        <r>
          <rPr>
            <vertAlign val="subscript"/>
            <sz val="12"/>
            <color indexed="81"/>
            <rFont val="Tahoma"/>
            <family val="2"/>
          </rPr>
          <t>m</t>
        </r>
        <r>
          <rPr>
            <sz val="10"/>
            <color indexed="81"/>
            <rFont val="Tahoma"/>
            <family val="2"/>
          </rPr>
          <t xml:space="preserve"> = z +  h</t>
        </r>
        <r>
          <rPr>
            <vertAlign val="subscript"/>
            <sz val="12"/>
            <color indexed="81"/>
            <rFont val="Tahoma"/>
            <family val="2"/>
          </rPr>
          <t>m</t>
        </r>
        <r>
          <rPr>
            <sz val="10"/>
            <color indexed="81"/>
            <rFont val="Tahoma"/>
            <family val="2"/>
          </rPr>
          <t xml:space="preserve"> where  z is the charge of the base B (cells K4 to Q4) and h</t>
        </r>
        <r>
          <rPr>
            <vertAlign val="subscript"/>
            <sz val="12"/>
            <color indexed="81"/>
            <rFont val="Tahoma"/>
            <family val="2"/>
          </rPr>
          <t>m</t>
        </r>
        <r>
          <rPr>
            <sz val="10"/>
            <color indexed="81"/>
            <rFont val="Tahoma"/>
            <family val="2"/>
          </rPr>
          <t xml:space="preserve"> is the mean number of protons bound to the base, taking in account the fractional contribution of all species in equilibrium. 
Refer to the </t>
        </r>
        <r>
          <rPr>
            <b/>
            <sz val="10"/>
            <color indexed="81"/>
            <rFont val="Tahoma"/>
            <family val="2"/>
          </rPr>
          <t>Distribution</t>
        </r>
        <r>
          <rPr>
            <sz val="10"/>
            <color indexed="81"/>
            <rFont val="Tahoma"/>
            <family val="2"/>
          </rPr>
          <t xml:space="preserve"> module to generate complete curves of mean charge versus pH or titrant volume.
The </t>
        </r>
        <r>
          <rPr>
            <b/>
            <sz val="10"/>
            <color indexed="81"/>
            <rFont val="Tahoma"/>
            <family val="2"/>
          </rPr>
          <t>isoelectric point</t>
        </r>
        <r>
          <rPr>
            <sz val="10"/>
            <color indexed="81"/>
            <rFont val="Tahoma"/>
            <family val="2"/>
          </rPr>
          <t xml:space="preserve"> (pI or PIE) corresponds to the pH value where polyfunctional species  (zwitterions) like amino acids, in average, present no unbalance of positive and negative charges in the molecules, so that the mean charge, z</t>
        </r>
        <r>
          <rPr>
            <vertAlign val="subscript"/>
            <sz val="12"/>
            <color indexed="81"/>
            <rFont val="Tahoma"/>
            <family val="2"/>
          </rPr>
          <t>m</t>
        </r>
        <r>
          <rPr>
            <sz val="10"/>
            <color indexed="81"/>
            <rFont val="Tahoma"/>
            <family val="2"/>
          </rPr>
          <t xml:space="preserve"> = 0.</t>
        </r>
      </text>
    </comment>
    <comment ref="A31" authorId="1" shapeId="0" xr:uid="{00000000-0006-0000-0100-00002E000000}">
      <text>
        <r>
          <rPr>
            <b/>
            <sz val="8"/>
            <color indexed="81"/>
            <rFont val="Tahoma"/>
            <family val="2"/>
          </rPr>
          <t>Gutz:</t>
        </r>
        <r>
          <rPr>
            <sz val="8"/>
            <color indexed="81"/>
            <rFont val="Tahoma"/>
            <family val="2"/>
          </rPr>
          <t xml:space="preserve">
</t>
        </r>
        <r>
          <rPr>
            <sz val="10"/>
            <color indexed="81"/>
            <rFont val="Tahoma"/>
            <family val="2"/>
          </rPr>
          <t>h</t>
        </r>
        <r>
          <rPr>
            <vertAlign val="subscript"/>
            <sz val="12"/>
            <color indexed="81"/>
            <rFont val="Tahoma"/>
            <family val="2"/>
          </rPr>
          <t>m</t>
        </r>
        <r>
          <rPr>
            <sz val="10"/>
            <color indexed="81"/>
            <rFont val="Tahoma"/>
            <family val="2"/>
          </rPr>
          <t xml:space="preserve"> or </t>
        </r>
        <r>
          <rPr>
            <strike/>
            <sz val="10"/>
            <color indexed="81"/>
            <rFont val="Tahoma"/>
            <family val="2"/>
          </rPr>
          <t>h</t>
        </r>
        <r>
          <rPr>
            <sz val="10"/>
            <color indexed="81"/>
            <rFont val="Tahoma"/>
            <family val="2"/>
          </rPr>
          <t>,  is the mean number of protons bound with a  base B at given pH. 
For H</t>
        </r>
        <r>
          <rPr>
            <vertAlign val="subscript"/>
            <sz val="14"/>
            <color indexed="81"/>
            <rFont val="Tahoma"/>
            <family val="2"/>
          </rPr>
          <t>i</t>
        </r>
        <r>
          <rPr>
            <sz val="10"/>
            <color indexed="81"/>
            <rFont val="Tahoma"/>
            <family val="2"/>
          </rPr>
          <t xml:space="preserve">B species with stepwise number of protons </t>
        </r>
        <r>
          <rPr>
            <b/>
            <sz val="10"/>
            <color indexed="81"/>
            <rFont val="Tahoma"/>
            <family val="2"/>
          </rPr>
          <t>i</t>
        </r>
        <r>
          <rPr>
            <sz val="10"/>
            <color indexed="81"/>
            <rFont val="Tahoma"/>
            <family val="2"/>
          </rPr>
          <t xml:space="preserve">  coexisting at a given pH, </t>
        </r>
        <r>
          <rPr>
            <strike/>
            <sz val="10"/>
            <color indexed="81"/>
            <rFont val="Tahoma"/>
            <family val="2"/>
          </rPr>
          <t>h</t>
        </r>
        <r>
          <rPr>
            <sz val="10"/>
            <color indexed="81"/>
            <rFont val="Tahoma"/>
            <family val="2"/>
          </rPr>
          <t xml:space="preserve"> is the sum of their molar fractions (cells in lines 44 to 50) times the</t>
        </r>
        <r>
          <rPr>
            <b/>
            <sz val="10"/>
            <color indexed="81"/>
            <rFont val="Tahoma"/>
            <family val="2"/>
          </rPr>
          <t xml:space="preserve"> i</t>
        </r>
        <r>
          <rPr>
            <sz val="10"/>
            <color indexed="81"/>
            <rFont val="Tahoma"/>
            <family val="2"/>
          </rPr>
          <t xml:space="preserve"> of each species.</t>
        </r>
      </text>
    </comment>
    <comment ref="L32" authorId="0" shapeId="0" xr:uid="{00000000-0006-0000-0100-00002F000000}">
      <text>
        <r>
          <rPr>
            <b/>
            <sz val="8"/>
            <color indexed="81"/>
            <rFont val="Tahoma"/>
            <family val="2"/>
          </rPr>
          <t>Gutz:</t>
        </r>
        <r>
          <rPr>
            <sz val="8"/>
            <color indexed="81"/>
            <rFont val="Tahoma"/>
            <family val="2"/>
          </rPr>
          <t xml:space="preserve">
</t>
        </r>
        <r>
          <rPr>
            <sz val="10"/>
            <color indexed="81"/>
            <rFont val="Tahoma"/>
            <family val="2"/>
          </rPr>
          <t>These activity coefficients were estimated with the Davies equation and their uncertainty increases with the ionic strength. More information in cells A23, D26 and K15.</t>
        </r>
      </text>
    </comment>
    <comment ref="I41" authorId="0" shapeId="0" xr:uid="{00000000-0006-0000-0100-000030000000}">
      <text>
        <r>
          <rPr>
            <b/>
            <sz val="8"/>
            <color indexed="81"/>
            <rFont val="Tahoma"/>
            <family val="2"/>
          </rPr>
          <t>Gutz:</t>
        </r>
        <r>
          <rPr>
            <sz val="8"/>
            <color indexed="81"/>
            <rFont val="Tahoma"/>
            <family val="2"/>
          </rPr>
          <t xml:space="preserve">
</t>
        </r>
        <r>
          <rPr>
            <sz val="10"/>
            <color indexed="81"/>
            <rFont val="Tahoma"/>
            <family val="2"/>
          </rPr>
          <t>Summation of the concentrations of all H</t>
        </r>
        <r>
          <rPr>
            <vertAlign val="superscript"/>
            <sz val="12"/>
            <color indexed="81"/>
            <rFont val="Tahoma"/>
            <family val="2"/>
          </rPr>
          <t>+</t>
        </r>
        <r>
          <rPr>
            <vertAlign val="superscript"/>
            <sz val="10"/>
            <color indexed="81"/>
            <rFont val="Tahoma"/>
            <family val="2"/>
          </rPr>
          <t xml:space="preserve"> </t>
        </r>
        <r>
          <rPr>
            <sz val="10"/>
            <color indexed="81"/>
            <rFont val="Tahoma"/>
            <family val="2"/>
          </rPr>
          <t>potentially dissociable from reagents available in the solution, coined C</t>
        </r>
        <r>
          <rPr>
            <vertAlign val="subscript"/>
            <sz val="12"/>
            <color indexed="81"/>
            <rFont val="Tahoma"/>
            <family val="2"/>
          </rPr>
          <t>Htotal</t>
        </r>
        <r>
          <rPr>
            <sz val="10"/>
            <color indexed="81"/>
            <rFont val="Tahoma"/>
            <family val="2"/>
          </rPr>
          <t>. to be equaled with  C</t>
        </r>
        <r>
          <rPr>
            <vertAlign val="subscript"/>
            <sz val="12"/>
            <color indexed="81"/>
            <rFont val="Tahoma"/>
            <family val="2"/>
          </rPr>
          <t>Hcalc</t>
        </r>
        <r>
          <rPr>
            <sz val="10"/>
            <color indexed="81"/>
            <rFont val="Tahoma"/>
            <family val="2"/>
          </rPr>
          <t xml:space="preserve"> obtained by iteratively changing fitting the pH value.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Gutz</author>
  </authors>
  <commentList>
    <comment ref="B1" authorId="0" shapeId="0" xr:uid="{00000000-0006-0000-0200-000001000000}">
      <text>
        <r>
          <rPr>
            <b/>
            <sz val="9"/>
            <color indexed="81"/>
            <rFont val="Segoe UI"/>
            <family val="2"/>
          </rPr>
          <t>Gutz:</t>
        </r>
        <r>
          <rPr>
            <sz val="9"/>
            <color indexed="81"/>
            <rFont val="Segoe UI"/>
            <family val="2"/>
          </rPr>
          <t xml:space="preserve">
</t>
        </r>
        <r>
          <rPr>
            <sz val="10"/>
            <color indexed="81"/>
            <rFont val="Segoe UI"/>
            <family val="2"/>
          </rPr>
          <t xml:space="preserve">Copy the results of interest to this spreadsheet as they are obtained and add identification and observations, like a logbook.
The most recent result will be inserted in the first lines and the former ones will be shifted down.
When saving the program, give a name to assist in future location, eg, CurTiPot_citric_juides.xlsm.
In order to compact the information and facilitate comparisons, only the essential cells are copied and the data columns (real or simulated) are transposed in rows (for back-conversion into columns use the commands: mark, Copy and Paste Special, checking Values and Transpose).
To remove a result delete the corresponding lines (check the entire lines, click on the right button of the mouse and choose Delete).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Gutz</author>
    <author>Ivano Gebhardt Rolf Gutz</author>
    <author>gtz</author>
    <author>GPQAI-51</author>
  </authors>
  <commentList>
    <comment ref="G1" authorId="0" shapeId="0" xr:uid="{00000000-0006-0000-0300-000001000000}">
      <text>
        <r>
          <rPr>
            <b/>
            <sz val="10"/>
            <color indexed="81"/>
            <rFont val="Tahoma"/>
            <family val="2"/>
          </rPr>
          <t xml:space="preserve"> "Hands on" the "Manual Virtual Titrator with visual indicator":</t>
        </r>
        <r>
          <rPr>
            <sz val="10"/>
            <color indexed="81"/>
            <rFont val="Tahoma"/>
            <family val="2"/>
          </rPr>
          <t xml:space="preserve">
If you are familiar with acid-base titrations and have already practiced with a buret, you may skip this module designed to let first-time students practice with titration end point detection with visual acid/base indicators, as well as by pH measurements.
If however you have no idea why acids are titrated, what indicators and acid-base dissociation constants are, perhaps you should first go through a textbook, a tutorial or at least the Wikipedia, unless you intend to play with the titrator as a game (and maybe learn something by reading the comments added to cells with a red dot). Examples of tutorials: 
acid/base titrations, http://www.chemguide.co.uk/physical/acidbaseeqia/phcurves.html#top ; 
acid-base indicators, http://www.chemguide.co.uk/physical/acidbaseeqia/indicators.html ;
titration animation, http://amrita.vlab.co.in/?sub=3&amp;brch=63&amp;sim=1336&amp;cnt=2841 .
Always use the most recent version available at the author’s site http://www.iq.usp.br/gutz/Curtipot_.html, choosing between CurTiPot and CurTiPot option i – the same full program plus balloons with first steps for beginners.
The sample (unknown) can be freely defined in cells B3 to H10 (read comment of cell A3), from a single component to complex mixtures, probably unapproachable by visual endpoint indication (but eventually solvable in the Evaluation or Regression modules). 
Like in the laboratory, you may decide about the titrant to be used and its concentration (cells B14 and D16), the volume of sample (cell F16), dilution water (G16), the capacity (maximum volume) of the buret (cell F18), as well as the volumes to be dispensed during the titration, in steps ranging from 5 mL (some 100 drops) down to 0.01 mL (1/5 of a drop).
By varying the pKa of the visual indicator in the cell B29 you will find out how to accurately match the color change observed in the beaker (end point) with the correct stoichiometric point of the titration (or each of them, if there are various).
Note that indicators are acids or bases to be titrated, causing a significant error in the titration if used at a concentration higher than 0.1% of the analyte(s) to be determined. Sometimes a blank titration of the indicator or of a standard + indicator is used to define a correction to be applied.
</t>
        </r>
        <r>
          <rPr>
            <b/>
            <sz val="10"/>
            <color indexed="81"/>
            <rFont val="Tahoma"/>
            <family val="2"/>
          </rPr>
          <t xml:space="preserve">
Nice features</t>
        </r>
        <r>
          <rPr>
            <sz val="10"/>
            <color indexed="81"/>
            <rFont val="Tahoma"/>
            <family val="2"/>
          </rPr>
          <t xml:space="preserve"> of this virtual titrator:
- The buret is a digital one with a motorized syringe, like those used in modern labs or commercial titrators, instead of the old fashioned graduated glass tube with a stopcock. 
- If you miss the end point, you can step back one or more additions of titrant and re-approach the end point with smaller volume increments (impossible in the real world!). 
- The pH measurements, generation of the titration curve and distribution of the species of the titrand can be displayed or hidden by checking/unchecking the boxes in cells F25 and F26. 
- You can generate samples with unknown concentration(s) of titrand(s) and check the correctness of your answer.
- The "pH" vs. volume data of a titration (columns A and B, starting at line 41) can be imported by the Distribution, Evaluation and Regression modules for further analysis.
</t>
        </r>
        <r>
          <rPr>
            <b/>
            <sz val="10"/>
            <color indexed="81"/>
            <rFont val="Tahoma"/>
            <family val="2"/>
          </rPr>
          <t>Remarks</t>
        </r>
        <r>
          <rPr>
            <sz val="10"/>
            <color indexed="81"/>
            <rFont val="Tahoma"/>
            <family val="2"/>
          </rPr>
          <t xml:space="preserve">: 
- Some components of the titrator may become distorted or misplaced, depending on the screen resolution of your computer and/or the Microsoft Excel version.  The magnetic bar of the stirrer does not swirl in this version (because the programming is dependent of the of the Excel version (ask the author about an animation for the Excel you are using, if you like).
- The effect of the ionic strength, I, on the activity coefficients of the ions is neglected in the “pH” calculations of the </t>
        </r>
        <r>
          <rPr>
            <b/>
            <sz val="10"/>
            <color indexed="81"/>
            <rFont val="Tahoma"/>
            <family val="2"/>
          </rPr>
          <t>Titration</t>
        </r>
        <r>
          <rPr>
            <sz val="10"/>
            <color indexed="81"/>
            <rFont val="Tahoma"/>
            <family val="2"/>
          </rPr>
          <t xml:space="preserve"> module, but taken in account in the pH calculations of the</t>
        </r>
        <r>
          <rPr>
            <b/>
            <sz val="10"/>
            <color indexed="81"/>
            <rFont val="Tahoma"/>
            <family val="2"/>
          </rPr>
          <t xml:space="preserve"> pH_calc</t>
        </r>
        <r>
          <rPr>
            <sz val="10"/>
            <color indexed="81"/>
            <rFont val="Tahoma"/>
            <family val="2"/>
          </rPr>
          <t xml:space="preserve">, </t>
        </r>
        <r>
          <rPr>
            <b/>
            <sz val="10"/>
            <color indexed="81"/>
            <rFont val="Tahoma"/>
            <family val="2"/>
          </rPr>
          <t>Distribution</t>
        </r>
        <r>
          <rPr>
            <sz val="10"/>
            <color indexed="81"/>
            <rFont val="Tahoma"/>
            <family val="2"/>
          </rPr>
          <t xml:space="preserve">, </t>
        </r>
        <r>
          <rPr>
            <b/>
            <sz val="10"/>
            <color indexed="81"/>
            <rFont val="Tahoma"/>
            <family val="2"/>
          </rPr>
          <t>Simulation</t>
        </r>
        <r>
          <rPr>
            <sz val="10"/>
            <color indexed="81"/>
            <rFont val="Tahoma"/>
            <family val="2"/>
          </rPr>
          <t xml:space="preserve"> and </t>
        </r>
        <r>
          <rPr>
            <b/>
            <sz val="10"/>
            <color indexed="81"/>
            <rFont val="Tahoma"/>
            <family val="2"/>
          </rPr>
          <t>Regression</t>
        </r>
        <r>
          <rPr>
            <sz val="10"/>
            <color indexed="81"/>
            <rFont val="Tahoma"/>
            <family val="2"/>
          </rPr>
          <t xml:space="preserve"> modules. More information in cells B39 and G21.
</t>
        </r>
        <r>
          <rPr>
            <b/>
            <sz val="10"/>
            <color indexed="81"/>
            <rFont val="Tahoma"/>
            <family val="2"/>
          </rPr>
          <t>Copyright</t>
        </r>
        <r>
          <rPr>
            <sz val="10"/>
            <color indexed="81"/>
            <rFont val="Tahoma"/>
            <family val="2"/>
          </rPr>
          <t>: This is a new module added in 2014 to the acid-base titration curve simulator CurTiPot (originally a Turbo Basic for DOS program launched by the Author in 1992).
                 Prof. Dr.  Ivano G. R. Gutz
                  www.iq.usp.br/docente/gutz</t>
        </r>
      </text>
    </comment>
    <comment ref="M1" authorId="0" shapeId="0" xr:uid="{00000000-0006-0000-0300-000002000000}">
      <text>
        <r>
          <rPr>
            <b/>
            <sz val="8"/>
            <color indexed="81"/>
            <rFont val="Tahoma"/>
            <family val="2"/>
          </rPr>
          <t>Gutz:</t>
        </r>
        <r>
          <rPr>
            <sz val="8"/>
            <color indexed="81"/>
            <rFont val="Tahoma"/>
            <family val="2"/>
          </rPr>
          <t xml:space="preserve">
</t>
        </r>
        <r>
          <rPr>
            <sz val="10"/>
            <color indexed="81"/>
            <rFont val="Tahoma"/>
            <family val="2"/>
          </rPr>
          <t xml:space="preserve">Selecting/editing names, charges ans pKas. Options:
a) Write directly in the cells K3 to Q10 and R3 to T6; 
b) Click on names in line 2, slide along the list, click on another name; finally, click on J2 to load the constants from the </t>
        </r>
        <r>
          <rPr>
            <b/>
            <sz val="10"/>
            <color indexed="81"/>
            <rFont val="Tahoma"/>
            <family val="2"/>
          </rPr>
          <t>Database</t>
        </r>
        <r>
          <rPr>
            <sz val="10"/>
            <color indexed="81"/>
            <rFont val="Tahoma"/>
            <family val="2"/>
          </rPr>
          <t>.
Frequently used acids/bases missing in the Database can be added to it for further use.</t>
        </r>
      </text>
    </comment>
    <comment ref="S2" authorId="0" shapeId="0" xr:uid="{00000000-0006-0000-0300-000003000000}">
      <text>
        <r>
          <rPr>
            <b/>
            <sz val="8"/>
            <color indexed="81"/>
            <rFont val="Tahoma"/>
            <family val="2"/>
          </rPr>
          <t>Gutz:</t>
        </r>
        <r>
          <rPr>
            <sz val="8"/>
            <color indexed="81"/>
            <rFont val="Tahoma"/>
            <family val="2"/>
          </rPr>
          <t xml:space="preserve">
</t>
        </r>
        <r>
          <rPr>
            <sz val="10"/>
            <color indexed="81"/>
            <rFont val="Tahoma"/>
            <family val="2"/>
          </rPr>
          <t>The titrant may contain up to three diprotic reagents (other than the default ones).
Names and constants must be changed manually.</t>
        </r>
      </text>
    </comment>
    <comment ref="AF2" authorId="0" shapeId="0" xr:uid="{00000000-0006-0000-0300-000004000000}">
      <text>
        <r>
          <rPr>
            <b/>
            <sz val="8"/>
            <color indexed="81"/>
            <rFont val="Tahoma"/>
            <family val="2"/>
          </rPr>
          <t xml:space="preserve">Gutz: 
</t>
        </r>
        <r>
          <rPr>
            <sz val="10"/>
            <color indexed="81"/>
            <rFont val="Tahoma"/>
            <family val="2"/>
          </rPr>
          <t>The pKas shown here are copied automatically from the Database by changing K2 to Q2. 
See U5 to understand why 
pKa1 = -logKpn</t>
        </r>
      </text>
    </comment>
    <comment ref="A3" authorId="0" shapeId="0" xr:uid="{00000000-0006-0000-0300-000005000000}">
      <text>
        <r>
          <rPr>
            <b/>
            <sz val="8"/>
            <color indexed="81"/>
            <rFont val="Tahoma"/>
            <family val="2"/>
          </rPr>
          <t>Gutz:</t>
        </r>
        <r>
          <rPr>
            <sz val="8"/>
            <color indexed="81"/>
            <rFont val="Tahoma"/>
            <family val="2"/>
          </rPr>
          <t xml:space="preserve">
</t>
        </r>
        <r>
          <rPr>
            <sz val="10"/>
            <color indexed="81"/>
            <rFont val="Tahoma"/>
            <family val="2"/>
          </rPr>
          <t xml:space="preserve">In a titration, the </t>
        </r>
        <r>
          <rPr>
            <b/>
            <sz val="10"/>
            <color indexed="81"/>
            <rFont val="Tahoma"/>
            <family val="2"/>
          </rPr>
          <t>sample</t>
        </r>
        <r>
          <rPr>
            <sz val="10"/>
            <color indexed="81"/>
            <rFont val="Tahoma"/>
            <family val="2"/>
          </rPr>
          <t xml:space="preserve"> volume (G15) plus the dilution water, if any (G16),  is called </t>
        </r>
        <r>
          <rPr>
            <b/>
            <sz val="10"/>
            <color indexed="81"/>
            <rFont val="Tahoma"/>
            <family val="2"/>
          </rPr>
          <t>titrand</t>
        </r>
        <r>
          <rPr>
            <sz val="10"/>
            <color indexed="81"/>
            <rFont val="Tahoma"/>
            <family val="2"/>
          </rPr>
          <t xml:space="preserve">. All concentrations in cells B4 to H13 (among others) refer to the </t>
        </r>
        <r>
          <rPr>
            <u/>
            <sz val="10"/>
            <color indexed="81"/>
            <rFont val="Tahoma"/>
            <family val="2"/>
          </rPr>
          <t>sample</t>
        </r>
        <r>
          <rPr>
            <sz val="10"/>
            <color indexed="81"/>
            <rFont val="Tahoma"/>
            <family val="2"/>
          </rPr>
          <t xml:space="preserve">, while the initial pH refers to the </t>
        </r>
        <r>
          <rPr>
            <u/>
            <sz val="10"/>
            <color indexed="81"/>
            <rFont val="Tahoma"/>
            <family val="2"/>
          </rPr>
          <t>titrand</t>
        </r>
        <r>
          <rPr>
            <sz val="10"/>
            <color indexed="81"/>
            <rFont val="Tahoma"/>
            <family val="2"/>
          </rPr>
          <t xml:space="preserve"> (= sample + added water) and, during the titration, to titrand + titrant. As a rule, alkaline samples are titrated with a strong acid (B15) and acid samples with a strong base (C14).
</t>
        </r>
        <r>
          <rPr>
            <u/>
            <sz val="10"/>
            <color indexed="81"/>
            <rFont val="Tahoma"/>
            <family val="2"/>
          </rPr>
          <t>Explanation</t>
        </r>
        <r>
          <rPr>
            <sz val="10"/>
            <color indexed="81"/>
            <rFont val="Tahoma"/>
            <family val="2"/>
          </rPr>
          <t xml:space="preserve">: classically, 5 to 25 mL of titrand (cell F16) are accurately measured (with a volumetric pipet) and transferred into an Erlenmeyer, some drops of a visual indicator are added, as well as some distilled water (cell G16). Titrant is added with a buret while the Erlenmeyer is hand swirled until the indicator changes color at the endpoint of the titration.
In a modern setup, a beaker replaces the Erlenmeyer, a motor driven syringe substitutes the buret, a magnetic stirrer serves to homogenize the solution and a combined glass electrode is immersed in the solution (connected to a pH meter) to measure the pH during the titration. A computer may be used to control the buret and take care of data acquisition.
</t>
        </r>
      </text>
    </comment>
    <comment ref="B3" authorId="0" shapeId="0" xr:uid="{00000000-0006-0000-0300-000006000000}">
      <text>
        <r>
          <rPr>
            <b/>
            <sz val="8"/>
            <color indexed="81"/>
            <rFont val="Tahoma"/>
            <family val="2"/>
          </rPr>
          <t>Gutz:</t>
        </r>
        <r>
          <rPr>
            <sz val="10"/>
            <color indexed="81"/>
            <rFont val="Tahoma"/>
            <family val="2"/>
          </rPr>
          <t xml:space="preserve">
See comment in cell M1 on how to change acids and bases.
Fill in (or leave blank) the concentrations in mol/L. The green underline identifies the cell of the base protonated to neutrality (e.g. H</t>
        </r>
        <r>
          <rPr>
            <vertAlign val="subscript"/>
            <sz val="12"/>
            <color indexed="81"/>
            <rFont val="Tahoma"/>
            <family val="2"/>
          </rPr>
          <t>3</t>
        </r>
        <r>
          <rPr>
            <sz val="10"/>
            <color indexed="81"/>
            <rFont val="Tahoma"/>
            <family val="2"/>
          </rPr>
          <t>PO</t>
        </r>
        <r>
          <rPr>
            <vertAlign val="subscript"/>
            <sz val="12"/>
            <color indexed="81"/>
            <rFont val="Tahoma"/>
            <family val="2"/>
          </rPr>
          <t>4</t>
        </r>
        <r>
          <rPr>
            <sz val="10"/>
            <color indexed="81"/>
            <rFont val="Tahoma"/>
            <family val="2"/>
          </rPr>
          <t xml:space="preserve"> for phosphate).</t>
        </r>
      </text>
    </comment>
    <comment ref="R3" authorId="0" shapeId="0" xr:uid="{00000000-0006-0000-0300-000007000000}">
      <text>
        <r>
          <rPr>
            <b/>
            <sz val="8"/>
            <color indexed="81"/>
            <rFont val="Tahoma"/>
            <family val="2"/>
          </rPr>
          <t>Gutz:</t>
        </r>
        <r>
          <rPr>
            <sz val="8"/>
            <color indexed="81"/>
            <rFont val="Tahoma"/>
            <family val="2"/>
          </rPr>
          <t xml:space="preserve">
</t>
        </r>
        <r>
          <rPr>
            <sz val="10"/>
            <color indexed="81"/>
            <rFont val="Tahoma"/>
            <family val="2"/>
          </rPr>
          <t>Strong acids like HCl or HClO</t>
        </r>
        <r>
          <rPr>
            <vertAlign val="subscript"/>
            <sz val="10"/>
            <color indexed="81"/>
            <rFont val="Tahoma"/>
            <family val="2"/>
          </rPr>
          <t>4</t>
        </r>
        <r>
          <rPr>
            <sz val="10"/>
            <color indexed="81"/>
            <rFont val="Tahoma"/>
            <family val="2"/>
          </rPr>
          <t xml:space="preserve"> have negative pKas, possibly -6 or lower.
For a diprotic titrant like H</t>
        </r>
        <r>
          <rPr>
            <vertAlign val="subscript"/>
            <sz val="12"/>
            <color indexed="81"/>
            <rFont val="Tahoma"/>
            <family val="2"/>
          </rPr>
          <t>2</t>
        </r>
        <r>
          <rPr>
            <sz val="10"/>
            <color indexed="81"/>
            <rFont val="Tahoma"/>
            <family val="2"/>
          </rPr>
          <t>SO</t>
        </r>
        <r>
          <rPr>
            <vertAlign val="subscript"/>
            <sz val="12"/>
            <color indexed="81"/>
            <rFont val="Tahoma"/>
            <family val="2"/>
          </rPr>
          <t>4</t>
        </r>
        <r>
          <rPr>
            <sz val="10"/>
            <color indexed="81"/>
            <rFont val="Tahoma"/>
            <family val="2"/>
          </rPr>
          <t>, use pKa1 = -6 and pKa2 = 1.8.
Any other mono- or biprotonable acid or base and its pKas can be written in this column.</t>
        </r>
      </text>
    </comment>
    <comment ref="S3" authorId="0" shapeId="0" xr:uid="{00000000-0006-0000-0300-000008000000}">
      <text>
        <r>
          <rPr>
            <b/>
            <sz val="8"/>
            <color indexed="81"/>
            <rFont val="Tahoma"/>
            <family val="2"/>
          </rPr>
          <t>Gutz:</t>
        </r>
        <r>
          <rPr>
            <sz val="8"/>
            <color indexed="81"/>
            <rFont val="Tahoma"/>
            <family val="2"/>
          </rPr>
          <t xml:space="preserve">
</t>
        </r>
        <r>
          <rPr>
            <sz val="10"/>
            <color indexed="81"/>
            <rFont val="Tahoma"/>
            <family val="2"/>
          </rPr>
          <t>The accepted value of the pKa (=log Kp) of the strong base  OH- is 15,745 at 25ºC and infinite dilution. As I increases, the activity coefficient of OH- decreases (as can be checked with module pH_calc), and more specific interaction can occur with cations, so that lower values are sometimes mentioned in the literature (see references in the Database for details).
Any other mono- or biprotonable acid or base and its pKas can be written in this column instead of OH-.</t>
        </r>
      </text>
    </comment>
    <comment ref="T3" authorId="0" shapeId="0" xr:uid="{00000000-0006-0000-0300-000009000000}">
      <text>
        <r>
          <rPr>
            <b/>
            <sz val="8"/>
            <color indexed="81"/>
            <rFont val="Tahoma"/>
            <family val="2"/>
          </rPr>
          <t>Gutz:</t>
        </r>
        <r>
          <rPr>
            <sz val="8"/>
            <color indexed="81"/>
            <rFont val="Tahoma"/>
            <family val="2"/>
          </rPr>
          <t xml:space="preserve">
</t>
        </r>
        <r>
          <rPr>
            <sz val="10"/>
            <color indexed="81"/>
            <rFont val="Tahoma"/>
            <family val="2"/>
          </rPr>
          <t>H</t>
        </r>
        <r>
          <rPr>
            <vertAlign val="subscript"/>
            <sz val="10"/>
            <color indexed="81"/>
            <rFont val="Tahoma"/>
            <family val="2"/>
          </rPr>
          <t>2</t>
        </r>
        <r>
          <rPr>
            <sz val="10"/>
            <color indexed="81"/>
            <rFont val="Tahoma"/>
            <family val="2"/>
          </rPr>
          <t>CO</t>
        </r>
        <r>
          <rPr>
            <vertAlign val="subscript"/>
            <sz val="10"/>
            <color indexed="81"/>
            <rFont val="Tahoma"/>
            <family val="2"/>
          </rPr>
          <t>3</t>
        </r>
        <r>
          <rPr>
            <sz val="10"/>
            <color indexed="81"/>
            <rFont val="Tahoma"/>
            <family val="2"/>
          </rPr>
          <t xml:space="preserve"> charge=-2; pKa1=6,352; pKa2=10,329</t>
        </r>
        <r>
          <rPr>
            <sz val="8"/>
            <color indexed="81"/>
            <rFont val="Tahoma"/>
            <family val="2"/>
          </rPr>
          <t xml:space="preserve">
</t>
        </r>
        <r>
          <rPr>
            <sz val="10"/>
            <color indexed="81"/>
            <rFont val="Tahoma"/>
            <family val="2"/>
          </rPr>
          <t>Aqueous solutions exposed to air or stored in plastic flasks (gas permeable) are always contaminated with CO</t>
        </r>
        <r>
          <rPr>
            <vertAlign val="subscript"/>
            <sz val="12"/>
            <color indexed="81"/>
            <rFont val="Tahoma"/>
            <family val="2"/>
          </rPr>
          <t>2</t>
        </r>
        <r>
          <rPr>
            <sz val="10"/>
            <color indexed="81"/>
            <rFont val="Tahoma"/>
            <family val="2"/>
          </rPr>
          <t>. Thus, it is advisable to include the carbonic acid system in simulations and regressions. But any other mono- or diprotic system can be specified here.
The pKa</t>
        </r>
        <r>
          <rPr>
            <vertAlign val="subscript"/>
            <sz val="12"/>
            <color indexed="81"/>
            <rFont val="Tahoma"/>
            <family val="2"/>
          </rPr>
          <t>1</t>
        </r>
        <r>
          <rPr>
            <sz val="10"/>
            <color indexed="81"/>
            <rFont val="Tahoma"/>
            <family val="2"/>
          </rPr>
          <t xml:space="preserve"> from the Database for H2CO3 is apparent. By considering the fraction of dissolved CO</t>
        </r>
        <r>
          <rPr>
            <vertAlign val="subscript"/>
            <sz val="12"/>
            <color indexed="81"/>
            <rFont val="Tahoma"/>
            <family val="2"/>
          </rPr>
          <t>2</t>
        </r>
        <r>
          <rPr>
            <sz val="10"/>
            <color indexed="81"/>
            <rFont val="Tahoma"/>
            <family val="2"/>
          </rPr>
          <t xml:space="preserve">  converted in H</t>
        </r>
        <r>
          <rPr>
            <vertAlign val="subscript"/>
            <sz val="12"/>
            <color indexed="81"/>
            <rFont val="Tahoma"/>
            <family val="2"/>
          </rPr>
          <t>2</t>
        </r>
        <r>
          <rPr>
            <sz val="10"/>
            <color indexed="81"/>
            <rFont val="Tahoma"/>
            <family val="2"/>
          </rPr>
          <t>CO</t>
        </r>
        <r>
          <rPr>
            <vertAlign val="subscript"/>
            <sz val="12"/>
            <color indexed="81"/>
            <rFont val="Tahoma"/>
            <family val="2"/>
          </rPr>
          <t>3</t>
        </r>
        <r>
          <rPr>
            <sz val="10"/>
            <color indexed="81"/>
            <rFont val="Tahoma"/>
            <family val="2"/>
          </rPr>
          <t xml:space="preserve"> (most of it remains as CO</t>
        </r>
        <r>
          <rPr>
            <vertAlign val="subscript"/>
            <sz val="12"/>
            <color indexed="81"/>
            <rFont val="Tahoma"/>
            <family val="2"/>
          </rPr>
          <t>2</t>
        </r>
        <r>
          <rPr>
            <sz val="10"/>
            <color indexed="81"/>
            <rFont val="Tahoma"/>
            <family val="2"/>
          </rPr>
          <t>(aq)) a "true" pKa1 of 3.58 is found.</t>
        </r>
      </text>
    </comment>
    <comment ref="A4" authorId="0" shapeId="0" xr:uid="{00000000-0006-0000-0300-00000A000000}">
      <text>
        <r>
          <rPr>
            <b/>
            <sz val="8"/>
            <color indexed="81"/>
            <rFont val="Tahoma"/>
            <family val="2"/>
          </rPr>
          <t xml:space="preserve">Gutz: 
</t>
        </r>
        <r>
          <rPr>
            <sz val="10"/>
            <color indexed="81"/>
            <rFont val="Tahoma"/>
            <family val="2"/>
          </rPr>
          <t>Leave blank/fill out with the concentration (mol/L) of fully deprotonated base (of a conjugated acid) added to the solution, e.g.: [Na</t>
        </r>
        <r>
          <rPr>
            <vertAlign val="subscript"/>
            <sz val="10"/>
            <color indexed="81"/>
            <rFont val="Tahoma"/>
            <family val="2"/>
          </rPr>
          <t>2</t>
        </r>
        <r>
          <rPr>
            <sz val="10"/>
            <color indexed="81"/>
            <rFont val="Tahoma"/>
            <family val="2"/>
          </rPr>
          <t>CO</t>
        </r>
        <r>
          <rPr>
            <vertAlign val="subscript"/>
            <sz val="10"/>
            <color indexed="81"/>
            <rFont val="Tahoma"/>
            <family val="2"/>
          </rPr>
          <t>3</t>
        </r>
        <r>
          <rPr>
            <sz val="10"/>
            <color indexed="81"/>
            <rFont val="Tahoma"/>
            <family val="2"/>
          </rPr>
          <t>], [Na</t>
        </r>
        <r>
          <rPr>
            <vertAlign val="subscript"/>
            <sz val="10"/>
            <color indexed="81"/>
            <rFont val="Tahoma"/>
            <family val="2"/>
          </rPr>
          <t>3</t>
        </r>
        <r>
          <rPr>
            <sz val="10"/>
            <color indexed="81"/>
            <rFont val="Tahoma"/>
            <family val="2"/>
          </rPr>
          <t>PO</t>
        </r>
        <r>
          <rPr>
            <vertAlign val="subscript"/>
            <sz val="10"/>
            <color indexed="81"/>
            <rFont val="Tahoma"/>
            <family val="2"/>
          </rPr>
          <t>4</t>
        </r>
        <r>
          <rPr>
            <sz val="10"/>
            <color indexed="81"/>
            <rFont val="Tahoma"/>
            <family val="2"/>
          </rPr>
          <t>], [NH</t>
        </r>
        <r>
          <rPr>
            <vertAlign val="subscript"/>
            <sz val="10"/>
            <color indexed="81"/>
            <rFont val="Tahoma"/>
            <family val="2"/>
          </rPr>
          <t>4</t>
        </r>
        <r>
          <rPr>
            <sz val="10"/>
            <color indexed="81"/>
            <rFont val="Tahoma"/>
            <family val="2"/>
          </rPr>
          <t>OH], [pyridine] or [Na</t>
        </r>
        <r>
          <rPr>
            <vertAlign val="subscript"/>
            <sz val="10"/>
            <color indexed="81"/>
            <rFont val="Tahoma"/>
            <family val="2"/>
          </rPr>
          <t>4</t>
        </r>
        <r>
          <rPr>
            <sz val="10"/>
            <color indexed="81"/>
            <rFont val="Tahoma"/>
            <family val="2"/>
          </rPr>
          <t>EDTA].
The green underline indicates the cell of the base protonated to neutrality.</t>
        </r>
      </text>
    </comment>
    <comment ref="J4" authorId="0" shapeId="0" xr:uid="{00000000-0006-0000-0300-00000B000000}">
      <text>
        <r>
          <rPr>
            <b/>
            <sz val="8"/>
            <color indexed="81"/>
            <rFont val="Tahoma"/>
            <family val="2"/>
          </rPr>
          <t xml:space="preserve">Gutz: 
</t>
        </r>
        <r>
          <rPr>
            <sz val="10"/>
            <color indexed="81"/>
            <rFont val="Tahoma"/>
            <family val="2"/>
          </rPr>
          <t>Charge of the most deprotonated species of an acid or base in accordance with the highest pKa for the system, e.g., 
 0 for NH3 or pyridine
-1 for acetate/acetic acid
-2 for carbonate//carbonic acid
-3 for phosphate///phosphoric acid 
-4 for EDTA</t>
        </r>
      </text>
    </comment>
    <comment ref="A5" authorId="0" shapeId="0" xr:uid="{00000000-0006-0000-0300-00000C000000}">
      <text>
        <r>
          <rPr>
            <b/>
            <sz val="8"/>
            <color indexed="81"/>
            <rFont val="Tahoma"/>
            <family val="2"/>
          </rPr>
          <t>Gutz:</t>
        </r>
        <r>
          <rPr>
            <sz val="8"/>
            <color indexed="81"/>
            <rFont val="Tahoma"/>
            <family val="2"/>
          </rPr>
          <t xml:space="preserve">
</t>
        </r>
        <r>
          <rPr>
            <sz val="10"/>
            <color indexed="81"/>
            <rFont val="Tahoma"/>
            <family val="2"/>
          </rPr>
          <t>Leave blank</t>
        </r>
        <r>
          <rPr>
            <b/>
            <sz val="10"/>
            <color indexed="81"/>
            <rFont val="Tahoma"/>
            <family val="2"/>
          </rPr>
          <t>/</t>
        </r>
        <r>
          <rPr>
            <sz val="10"/>
            <color indexed="81"/>
            <rFont val="Tahoma"/>
            <family val="2"/>
          </rPr>
          <t>fill out with the concentration (mol/L) of monoprotonated base (or acid, HB) to be considered in the simulation, e.g.: [Acetic acid], [NH</t>
        </r>
        <r>
          <rPr>
            <vertAlign val="subscript"/>
            <sz val="10"/>
            <color indexed="81"/>
            <rFont val="Tahoma"/>
            <family val="2"/>
          </rPr>
          <t>4</t>
        </r>
        <r>
          <rPr>
            <vertAlign val="superscript"/>
            <sz val="10"/>
            <color indexed="81"/>
            <rFont val="Tahoma"/>
            <family val="2"/>
          </rPr>
          <t>+</t>
        </r>
        <r>
          <rPr>
            <sz val="10"/>
            <color indexed="81"/>
            <rFont val="Tahoma"/>
            <family val="2"/>
          </rPr>
          <t>], [pyridonium], [NaHCO</t>
        </r>
        <r>
          <rPr>
            <vertAlign val="subscript"/>
            <sz val="10"/>
            <color indexed="81"/>
            <rFont val="Tahoma"/>
            <family val="2"/>
          </rPr>
          <t>3</t>
        </r>
        <r>
          <rPr>
            <sz val="10"/>
            <color indexed="81"/>
            <rFont val="Tahoma"/>
            <family val="2"/>
          </rPr>
          <t>] or [Na</t>
        </r>
        <r>
          <rPr>
            <vertAlign val="subscript"/>
            <sz val="10"/>
            <color indexed="81"/>
            <rFont val="Tahoma"/>
            <family val="2"/>
          </rPr>
          <t>2</t>
        </r>
        <r>
          <rPr>
            <sz val="10"/>
            <color indexed="81"/>
            <rFont val="Tahoma"/>
            <family val="2"/>
          </rPr>
          <t>HPO</t>
        </r>
        <r>
          <rPr>
            <vertAlign val="subscript"/>
            <sz val="10"/>
            <color indexed="81"/>
            <rFont val="Tahoma"/>
            <family val="2"/>
          </rPr>
          <t>4</t>
        </r>
        <r>
          <rPr>
            <sz val="10"/>
            <color indexed="81"/>
            <rFont val="Tahoma"/>
            <family val="2"/>
          </rPr>
          <t>]</t>
        </r>
      </text>
    </comment>
    <comment ref="J5" authorId="0" shapeId="0" xr:uid="{00000000-0006-0000-0300-00000D000000}">
      <text>
        <r>
          <rPr>
            <b/>
            <sz val="8"/>
            <color indexed="81"/>
            <rFont val="Tahoma"/>
            <family val="2"/>
          </rPr>
          <t xml:space="preserve">Gutz: 
</t>
        </r>
        <r>
          <rPr>
            <sz val="10"/>
            <color indexed="81"/>
            <rFont val="Tahoma"/>
            <family val="2"/>
          </rPr>
          <t>Options:
a) pKa</t>
        </r>
        <r>
          <rPr>
            <vertAlign val="subscript"/>
            <sz val="12"/>
            <color indexed="81"/>
            <rFont val="Tahoma"/>
            <family val="2"/>
          </rPr>
          <t>1</t>
        </r>
        <r>
          <rPr>
            <sz val="10"/>
            <color indexed="81"/>
            <rFont val="Tahoma"/>
            <family val="2"/>
          </rPr>
          <t xml:space="preserve"> , -logarithm of the dissociation constant of a monoprotic acid or first constant for a polyprotic system.
b) logKp</t>
        </r>
        <r>
          <rPr>
            <vertAlign val="subscript"/>
            <sz val="12"/>
            <color indexed="81"/>
            <rFont val="Tahoma"/>
            <family val="2"/>
          </rPr>
          <t>i,</t>
        </r>
        <r>
          <rPr>
            <sz val="10"/>
            <color indexed="81"/>
            <rFont val="Tahoma"/>
            <family val="2"/>
          </rPr>
          <t xml:space="preserve"> logarithm of the protonation constant of a (conjugated) base, with i=1 for a monoprotonable base and i= n (most deprotonated species) for polyprotic systems (more about at U5);
c) pK</t>
        </r>
        <r>
          <rPr>
            <vertAlign val="subscript"/>
            <sz val="12"/>
            <color indexed="81"/>
            <rFont val="Tahoma"/>
            <family val="2"/>
          </rPr>
          <t>w</t>
        </r>
        <r>
          <rPr>
            <sz val="10"/>
            <color indexed="81"/>
            <rFont val="Tahoma"/>
            <family val="2"/>
          </rPr>
          <t xml:space="preserve"> - pKb</t>
        </r>
        <r>
          <rPr>
            <vertAlign val="subscript"/>
            <sz val="12"/>
            <color indexed="81"/>
            <rFont val="Tahoma"/>
            <family val="2"/>
          </rPr>
          <t>i</t>
        </r>
        <r>
          <rPr>
            <sz val="10"/>
            <color indexed="81"/>
            <rFont val="Tahoma"/>
            <family val="2"/>
          </rPr>
          <t>, for -log of the dissociation constant  of a base, with i=1 for a monoprotonable base and i= n (most deprotonated species) for polyprotonable base.
Numerically, values of a, b e c are taken as similar.</t>
        </r>
      </text>
    </comment>
    <comment ref="U5" authorId="0" shapeId="0" xr:uid="{00000000-0006-0000-0300-00000E000000}">
      <text>
        <r>
          <rPr>
            <b/>
            <sz val="8"/>
            <color indexed="81"/>
            <rFont val="Tahoma"/>
            <family val="2"/>
          </rPr>
          <t>Gutz:</t>
        </r>
        <r>
          <rPr>
            <sz val="8"/>
            <color indexed="81"/>
            <rFont val="Tahoma"/>
            <family val="2"/>
          </rPr>
          <t xml:space="preserve">
</t>
        </r>
        <r>
          <rPr>
            <sz val="10"/>
            <color indexed="81"/>
            <rFont val="Tahoma"/>
            <family val="2"/>
          </rPr>
          <t>The betas are cumulative (or global) protonation constants, obtained by multiplying the protonation constants Kp from 1 to i, with i stepping up to n, the maximum number of protons accepted by a (conjugated) base (same as the maximum number of dissociable protons of an acid, but in reversed order).
Note that pKa = logKp for a monoprotic acid (because Kp = 1/Kd or pKd = 1/logKd ) and, for multiprotic systems, the first logKp is the last pKa.
Protonation constants, Kp, and betas are preferred here in agreement with the most extensive compilations of equilibrium constants, e.g., Critical Stability Constants, Vol. 1–4 (complete references in the Database), and because the equations become unified with those used for metal-ligand-proton equilibria, based on formation (instead of dissociation) constants.</t>
        </r>
      </text>
    </comment>
    <comment ref="AF5" authorId="0" shapeId="0" xr:uid="{00000000-0006-0000-0300-00000F000000}">
      <text>
        <r>
          <rPr>
            <b/>
            <sz val="8"/>
            <color indexed="81"/>
            <rFont val="Tahoma"/>
            <family val="2"/>
          </rPr>
          <t>Gutz:</t>
        </r>
        <r>
          <rPr>
            <sz val="8"/>
            <color indexed="81"/>
            <rFont val="Tahoma"/>
            <family val="2"/>
          </rPr>
          <t xml:space="preserve">
</t>
        </r>
        <r>
          <rPr>
            <sz val="10"/>
            <color indexed="81"/>
            <rFont val="Tahoma"/>
            <family val="2"/>
          </rPr>
          <t>See U5 to understand why pKa1 = logKpn</t>
        </r>
      </text>
    </comment>
    <comment ref="A6" authorId="0" shapeId="0" xr:uid="{00000000-0006-0000-0300-000010000000}">
      <text>
        <r>
          <rPr>
            <b/>
            <sz val="8"/>
            <color indexed="81"/>
            <rFont val="Tahoma"/>
            <family val="2"/>
          </rPr>
          <t xml:space="preserve">Gutz: 
</t>
        </r>
        <r>
          <rPr>
            <sz val="10"/>
            <color indexed="81"/>
            <rFont val="Tahoma"/>
            <family val="2"/>
          </rPr>
          <t>Leave blank</t>
        </r>
        <r>
          <rPr>
            <b/>
            <sz val="10"/>
            <color indexed="81"/>
            <rFont val="Tahoma"/>
            <family val="2"/>
          </rPr>
          <t>/</t>
        </r>
        <r>
          <rPr>
            <sz val="10"/>
            <color indexed="81"/>
            <rFont val="Tahoma"/>
            <family val="2"/>
          </rPr>
          <t>fill out with the concentration (mol/L) of biprotonated base (H</t>
        </r>
        <r>
          <rPr>
            <vertAlign val="subscript"/>
            <sz val="10"/>
            <color indexed="81"/>
            <rFont val="Tahoma"/>
            <family val="2"/>
          </rPr>
          <t>2</t>
        </r>
        <r>
          <rPr>
            <sz val="10"/>
            <color indexed="81"/>
            <rFont val="Tahoma"/>
            <family val="2"/>
          </rPr>
          <t>B) to be considered in the simulation, e.g.:  [H</t>
        </r>
        <r>
          <rPr>
            <vertAlign val="subscript"/>
            <sz val="10"/>
            <color indexed="81"/>
            <rFont val="Tahoma"/>
            <family val="2"/>
          </rPr>
          <t>2</t>
        </r>
        <r>
          <rPr>
            <sz val="10"/>
            <color indexed="81"/>
            <rFont val="Tahoma"/>
            <family val="2"/>
          </rPr>
          <t>CO</t>
        </r>
        <r>
          <rPr>
            <vertAlign val="subscript"/>
            <sz val="10"/>
            <color indexed="81"/>
            <rFont val="Tahoma"/>
            <family val="2"/>
          </rPr>
          <t>3</t>
        </r>
        <r>
          <rPr>
            <sz val="10"/>
            <color indexed="81"/>
            <rFont val="Tahoma"/>
            <family val="2"/>
          </rPr>
          <t>],  [H</t>
        </r>
        <r>
          <rPr>
            <vertAlign val="subscript"/>
            <sz val="10"/>
            <color indexed="81"/>
            <rFont val="Tahoma"/>
            <family val="2"/>
          </rPr>
          <t>2</t>
        </r>
        <r>
          <rPr>
            <sz val="10"/>
            <color indexed="81"/>
            <rFont val="Tahoma"/>
            <family val="2"/>
          </rPr>
          <t>Na</t>
        </r>
        <r>
          <rPr>
            <vertAlign val="subscript"/>
            <sz val="10"/>
            <color indexed="81"/>
            <rFont val="Tahoma"/>
            <family val="2"/>
          </rPr>
          <t>2</t>
        </r>
        <r>
          <rPr>
            <sz val="10"/>
            <color indexed="81"/>
            <rFont val="Tahoma"/>
            <family val="2"/>
          </rPr>
          <t>EDTA] or [NaH</t>
        </r>
        <r>
          <rPr>
            <vertAlign val="subscript"/>
            <sz val="10"/>
            <color indexed="81"/>
            <rFont val="Tahoma"/>
            <family val="2"/>
          </rPr>
          <t>2</t>
        </r>
        <r>
          <rPr>
            <sz val="10"/>
            <color indexed="81"/>
            <rFont val="Tahoma"/>
            <family val="2"/>
          </rPr>
          <t>PO</t>
        </r>
        <r>
          <rPr>
            <vertAlign val="subscript"/>
            <sz val="10"/>
            <color indexed="81"/>
            <rFont val="Tahoma"/>
            <family val="2"/>
          </rPr>
          <t>4</t>
        </r>
        <r>
          <rPr>
            <sz val="10"/>
            <color indexed="81"/>
            <rFont val="Tahoma"/>
            <family val="2"/>
          </rPr>
          <t>]</t>
        </r>
      </text>
    </comment>
    <comment ref="J6" authorId="0" shapeId="0" xr:uid="{00000000-0006-0000-0300-000011000000}">
      <text>
        <r>
          <rPr>
            <b/>
            <sz val="8"/>
            <color indexed="81"/>
            <rFont val="Tahoma"/>
            <family val="2"/>
          </rPr>
          <t xml:space="preserve">Gutz: 
</t>
        </r>
        <r>
          <rPr>
            <sz val="10"/>
            <color indexed="81"/>
            <rFont val="Tahoma"/>
            <family val="2"/>
          </rPr>
          <t>Options:
a) pKa</t>
        </r>
        <r>
          <rPr>
            <vertAlign val="subscript"/>
            <sz val="12"/>
            <color indexed="81"/>
            <rFont val="Tahoma"/>
            <family val="2"/>
          </rPr>
          <t>2</t>
        </r>
        <r>
          <rPr>
            <sz val="10"/>
            <color indexed="81"/>
            <rFont val="Tahoma"/>
            <family val="2"/>
          </rPr>
          <t xml:space="preserve"> , -log of the 2</t>
        </r>
        <r>
          <rPr>
            <vertAlign val="superscript"/>
            <sz val="12"/>
            <color indexed="81"/>
            <rFont val="Tahoma"/>
            <family val="2"/>
          </rPr>
          <t>nd</t>
        </r>
        <r>
          <rPr>
            <sz val="10"/>
            <color indexed="81"/>
            <rFont val="Tahoma"/>
            <family val="2"/>
          </rPr>
          <t xml:space="preserve"> dissociation constant of a diprotic or polyprotic acid; 
b) logKp</t>
        </r>
        <r>
          <rPr>
            <vertAlign val="subscript"/>
            <sz val="12"/>
            <color indexed="81"/>
            <rFont val="Tahoma"/>
            <family val="2"/>
          </rPr>
          <t>i,</t>
        </r>
        <r>
          <rPr>
            <sz val="10"/>
            <color indexed="81"/>
            <rFont val="Tahoma"/>
            <family val="2"/>
          </rPr>
          <t xml:space="preserve"> log of the first protonation constant of a diprotonable (conjugated) base or i=n-1 for a system with n protonations;
c) pK</t>
        </r>
        <r>
          <rPr>
            <vertAlign val="subscript"/>
            <sz val="12"/>
            <color indexed="81"/>
            <rFont val="Tahoma"/>
            <family val="2"/>
          </rPr>
          <t>w</t>
        </r>
        <r>
          <rPr>
            <sz val="10"/>
            <color indexed="81"/>
            <rFont val="Tahoma"/>
            <family val="2"/>
          </rPr>
          <t xml:space="preserve"> - pKb</t>
        </r>
        <r>
          <rPr>
            <vertAlign val="subscript"/>
            <sz val="12"/>
            <color indexed="81"/>
            <rFont val="Tahoma"/>
            <family val="2"/>
          </rPr>
          <t>i</t>
        </r>
        <r>
          <rPr>
            <sz val="10"/>
            <color indexed="81"/>
            <rFont val="Tahoma"/>
            <family val="2"/>
          </rPr>
          <t xml:space="preserve"> with i=1 for a diprotonable base or i=n-1 for a base with n protonations; for a monoprotonable base, leave blank.</t>
        </r>
      </text>
    </comment>
    <comment ref="A7" authorId="0" shapeId="0" xr:uid="{00000000-0006-0000-0300-000012000000}">
      <text>
        <r>
          <rPr>
            <b/>
            <sz val="8"/>
            <color indexed="81"/>
            <rFont val="Tahoma"/>
            <family val="2"/>
          </rPr>
          <t>Gutz:</t>
        </r>
        <r>
          <rPr>
            <sz val="8"/>
            <color indexed="81"/>
            <rFont val="Tahoma"/>
            <family val="2"/>
          </rPr>
          <t xml:space="preserve">
</t>
        </r>
        <r>
          <rPr>
            <sz val="10"/>
            <color indexed="81"/>
            <rFont val="Tahoma"/>
            <family val="2"/>
          </rPr>
          <t>Leave blank</t>
        </r>
        <r>
          <rPr>
            <b/>
            <sz val="10"/>
            <color indexed="81"/>
            <rFont val="Tahoma"/>
            <family val="2"/>
          </rPr>
          <t>/</t>
        </r>
        <r>
          <rPr>
            <sz val="10"/>
            <color indexed="81"/>
            <rFont val="Tahoma"/>
            <family val="2"/>
          </rPr>
          <t>fill out with the concentration (mol/L) of  triprotonated base (H</t>
        </r>
        <r>
          <rPr>
            <vertAlign val="subscript"/>
            <sz val="10"/>
            <color indexed="81"/>
            <rFont val="Tahoma"/>
            <family val="2"/>
          </rPr>
          <t>3</t>
        </r>
        <r>
          <rPr>
            <sz val="10"/>
            <color indexed="81"/>
            <rFont val="Tahoma"/>
            <family val="2"/>
          </rPr>
          <t>B) to be considered in the simulation, e.g.:  [H</t>
        </r>
        <r>
          <rPr>
            <vertAlign val="subscript"/>
            <sz val="10"/>
            <color indexed="81"/>
            <rFont val="Tahoma"/>
            <family val="2"/>
          </rPr>
          <t>3</t>
        </r>
        <r>
          <rPr>
            <sz val="10"/>
            <color indexed="81"/>
            <rFont val="Tahoma"/>
            <family val="2"/>
          </rPr>
          <t>PO4]</t>
        </r>
      </text>
    </comment>
    <comment ref="A11" authorId="0" shapeId="0" xr:uid="{00000000-0006-0000-0300-000013000000}">
      <text>
        <r>
          <rPr>
            <b/>
            <sz val="8"/>
            <color indexed="81"/>
            <rFont val="Tahoma"/>
            <family val="2"/>
          </rPr>
          <t>Gutz:</t>
        </r>
        <r>
          <rPr>
            <sz val="8"/>
            <color indexed="81"/>
            <rFont val="Tahoma"/>
            <family val="2"/>
          </rPr>
          <t xml:space="preserve">
</t>
        </r>
        <r>
          <rPr>
            <sz val="10"/>
            <color indexed="81"/>
            <rFont val="Tahoma"/>
            <family val="2"/>
          </rPr>
          <t>Sum of concentrations of all forms of base B introduced in the titrand (e.g., [HB] + [H</t>
        </r>
        <r>
          <rPr>
            <vertAlign val="subscript"/>
            <sz val="10"/>
            <color indexed="81"/>
            <rFont val="Tahoma"/>
            <family val="2"/>
          </rPr>
          <t>2</t>
        </r>
        <r>
          <rPr>
            <sz val="10"/>
            <color indexed="81"/>
            <rFont val="Tahoma"/>
            <family val="2"/>
          </rPr>
          <t>B] + [H</t>
        </r>
        <r>
          <rPr>
            <vertAlign val="subscript"/>
            <sz val="10"/>
            <color indexed="81"/>
            <rFont val="Tahoma"/>
            <family val="2"/>
          </rPr>
          <t>3</t>
        </r>
        <r>
          <rPr>
            <sz val="10"/>
            <color indexed="81"/>
            <rFont val="Tahoma"/>
            <family val="2"/>
          </rPr>
          <t xml:space="preserve">B]) </t>
        </r>
      </text>
    </comment>
    <comment ref="B11" authorId="1" shapeId="0" xr:uid="{00000000-0006-0000-0300-000014000000}">
      <text>
        <r>
          <rPr>
            <b/>
            <sz val="8"/>
            <color indexed="81"/>
            <rFont val="Tahoma"/>
            <family val="2"/>
          </rPr>
          <t>Gutz</t>
        </r>
        <r>
          <rPr>
            <b/>
            <sz val="8"/>
            <color indexed="81"/>
            <rFont val="Tahoma"/>
            <family val="2"/>
          </rPr>
          <t>:</t>
        </r>
        <r>
          <rPr>
            <sz val="8"/>
            <color indexed="81"/>
            <rFont val="Tahoma"/>
            <family val="2"/>
          </rPr>
          <t xml:space="preserve">
</t>
        </r>
        <r>
          <rPr>
            <sz val="10"/>
            <color indexed="81"/>
            <rFont val="Tahoma"/>
            <family val="2"/>
          </rPr>
          <t>Do NOT write in this cell or any other one of the same color, not to corrupt  the equations.</t>
        </r>
      </text>
    </comment>
    <comment ref="I11" authorId="0" shapeId="0" xr:uid="{00000000-0006-0000-0300-000015000000}">
      <text>
        <r>
          <rPr>
            <b/>
            <sz val="8"/>
            <color indexed="81"/>
            <rFont val="Tahoma"/>
            <family val="2"/>
          </rPr>
          <t>Gutz:</t>
        </r>
        <r>
          <rPr>
            <sz val="8"/>
            <color indexed="81"/>
            <rFont val="Tahoma"/>
            <family val="2"/>
          </rPr>
          <t xml:space="preserve">
</t>
        </r>
        <r>
          <rPr>
            <sz val="10"/>
            <color indexed="81"/>
            <rFont val="Tahoma"/>
            <family val="2"/>
          </rPr>
          <t>Total concentration of each base (regardless of the protonation level of the added component) in columns B to H; grand total sor the sample in column I.</t>
        </r>
      </text>
    </comment>
    <comment ref="J11" authorId="0" shapeId="0" xr:uid="{00000000-0006-0000-0300-000016000000}">
      <text>
        <r>
          <rPr>
            <b/>
            <sz val="8"/>
            <color indexed="81"/>
            <rFont val="Tahoma"/>
            <family val="2"/>
          </rPr>
          <t>Gutz:</t>
        </r>
        <r>
          <rPr>
            <sz val="8"/>
            <color indexed="81"/>
            <rFont val="Tahoma"/>
            <family val="2"/>
          </rPr>
          <t xml:space="preserve">
</t>
        </r>
        <r>
          <rPr>
            <sz val="10"/>
            <color indexed="81"/>
            <rFont val="Tahoma"/>
            <family val="2"/>
          </rPr>
          <t>The ionic dissociation product of water changes with temperature and ionic strength, I. For pure water at 25ºC, the accepted value is 13.997 (or 14.00). 
Values corrected for I can be calculated with module pH_calc.</t>
        </r>
      </text>
    </comment>
    <comment ref="A12" authorId="0" shapeId="0" xr:uid="{00000000-0006-0000-0300-000017000000}">
      <text>
        <r>
          <rPr>
            <b/>
            <sz val="8"/>
            <color indexed="81"/>
            <rFont val="Tahoma"/>
            <family val="2"/>
          </rPr>
          <t>Gutz:</t>
        </r>
        <r>
          <rPr>
            <sz val="8"/>
            <color indexed="81"/>
            <rFont val="Tahoma"/>
            <family val="2"/>
          </rPr>
          <t xml:space="preserve">
</t>
        </r>
        <r>
          <rPr>
            <sz val="10"/>
            <color indexed="81"/>
            <rFont val="Tahoma"/>
            <family val="2"/>
          </rPr>
          <t>Maximum H</t>
        </r>
        <r>
          <rPr>
            <vertAlign val="superscript"/>
            <sz val="10"/>
            <color indexed="81"/>
            <rFont val="Tahoma"/>
            <family val="2"/>
          </rPr>
          <t>+</t>
        </r>
        <r>
          <rPr>
            <sz val="10"/>
            <color indexed="81"/>
            <rFont val="Tahoma"/>
            <family val="2"/>
          </rPr>
          <t xml:space="preserve"> concentration available from full deprotonation of all forms of H</t>
        </r>
        <r>
          <rPr>
            <vertAlign val="subscript"/>
            <sz val="10"/>
            <color indexed="81"/>
            <rFont val="Tahoma"/>
            <family val="2"/>
          </rPr>
          <t>i</t>
        </r>
        <r>
          <rPr>
            <sz val="10"/>
            <color indexed="81"/>
            <rFont val="Tahoma"/>
            <family val="2"/>
          </rPr>
          <t>B used in the formulation of the titrand (e.g., [HB] + 2[H</t>
        </r>
        <r>
          <rPr>
            <vertAlign val="subscript"/>
            <sz val="10"/>
            <color indexed="81"/>
            <rFont val="Tahoma"/>
            <family val="2"/>
          </rPr>
          <t>2</t>
        </r>
        <r>
          <rPr>
            <sz val="10"/>
            <color indexed="81"/>
            <rFont val="Tahoma"/>
            <family val="2"/>
          </rPr>
          <t>B] + 3[H</t>
        </r>
        <r>
          <rPr>
            <vertAlign val="subscript"/>
            <sz val="10"/>
            <color indexed="81"/>
            <rFont val="Tahoma"/>
            <family val="2"/>
          </rPr>
          <t>3</t>
        </r>
        <r>
          <rPr>
            <sz val="10"/>
            <color indexed="81"/>
            <rFont val="Tahoma"/>
            <family val="2"/>
          </rPr>
          <t>B])</t>
        </r>
      </text>
    </comment>
    <comment ref="I12" authorId="0" shapeId="0" xr:uid="{00000000-0006-0000-0300-000018000000}">
      <text>
        <r>
          <rPr>
            <b/>
            <sz val="8"/>
            <color indexed="81"/>
            <rFont val="Tahoma"/>
            <family val="2"/>
          </rPr>
          <t>Gutz:</t>
        </r>
        <r>
          <rPr>
            <sz val="8"/>
            <color indexed="81"/>
            <rFont val="Tahoma"/>
            <family val="2"/>
          </rPr>
          <t xml:space="preserve">
</t>
        </r>
        <r>
          <rPr>
            <sz val="10"/>
            <color indexed="81"/>
            <rFont val="Tahoma"/>
            <family val="2"/>
          </rPr>
          <t>Maximum concentration of  H</t>
        </r>
        <r>
          <rPr>
            <vertAlign val="superscript"/>
            <sz val="10"/>
            <color indexed="81"/>
            <rFont val="Tahoma"/>
            <family val="2"/>
          </rPr>
          <t>+</t>
        </r>
        <r>
          <rPr>
            <sz val="10"/>
            <color indexed="81"/>
            <rFont val="Tahoma"/>
            <family val="2"/>
          </rPr>
          <t xml:space="preserve"> that could possibly be dissociated from all the components added to the sample solution.</t>
        </r>
      </text>
    </comment>
    <comment ref="D13" authorId="0" shapeId="0" xr:uid="{00000000-0006-0000-0300-000019000000}">
      <text>
        <r>
          <rPr>
            <b/>
            <sz val="8"/>
            <color indexed="81"/>
            <rFont val="Tahoma"/>
            <family val="2"/>
          </rPr>
          <t>Gutz:</t>
        </r>
        <r>
          <rPr>
            <sz val="8"/>
            <color indexed="81"/>
            <rFont val="Tahoma"/>
            <family val="2"/>
          </rPr>
          <t xml:space="preserve">
</t>
        </r>
        <r>
          <rPr>
            <sz val="10"/>
            <color indexed="81"/>
            <rFont val="Tahoma"/>
            <family val="2"/>
          </rPr>
          <t>Aqueous solutions exposed to air or stored in (gas permeable) plastic flasks are always contaminated with CO</t>
        </r>
        <r>
          <rPr>
            <vertAlign val="subscript"/>
            <sz val="12"/>
            <color indexed="81"/>
            <rFont val="Tahoma"/>
            <family val="2"/>
          </rPr>
          <t>2</t>
        </r>
        <r>
          <rPr>
            <sz val="10"/>
            <color indexed="81"/>
            <rFont val="Tahoma"/>
            <family val="2"/>
          </rPr>
          <t xml:space="preserve">. Thus, it is advisable to include the carbonic acid system in simulations and regressions. 
However, any other mono- or biprotic acid/base system can be used instead in simulations. Its name and pKas should be filled out in column T.
</t>
        </r>
      </text>
    </comment>
    <comment ref="B14" authorId="0" shapeId="0" xr:uid="{00000000-0006-0000-0300-00001A000000}">
      <text>
        <r>
          <rPr>
            <b/>
            <sz val="10"/>
            <color indexed="81"/>
            <rFont val="Tahoma"/>
            <family val="2"/>
          </rPr>
          <t>Gutz:</t>
        </r>
        <r>
          <rPr>
            <sz val="10"/>
            <color indexed="81"/>
            <rFont val="Tahoma"/>
            <family val="2"/>
          </rPr>
          <t xml:space="preserve">
Leave blank - this cell corresponds to the conjugated base of the acid, e.g., Cl- or NO</t>
        </r>
        <r>
          <rPr>
            <vertAlign val="subscript"/>
            <sz val="12"/>
            <color indexed="81"/>
            <rFont val="Tahoma"/>
            <family val="2"/>
          </rPr>
          <t>3</t>
        </r>
        <r>
          <rPr>
            <vertAlign val="superscript"/>
            <sz val="12"/>
            <color indexed="81"/>
            <rFont val="Tahoma"/>
            <family val="2"/>
          </rPr>
          <t>-</t>
        </r>
        <r>
          <rPr>
            <sz val="10"/>
            <color indexed="81"/>
            <rFont val="Tahoma"/>
            <family val="2"/>
          </rPr>
          <t>.</t>
        </r>
      </text>
    </comment>
    <comment ref="C14" authorId="0" shapeId="0" xr:uid="{00000000-0006-0000-0300-00001B000000}">
      <text>
        <r>
          <rPr>
            <b/>
            <sz val="10"/>
            <color indexed="81"/>
            <rFont val="Tahoma"/>
            <family val="2"/>
          </rPr>
          <t>Gutz:</t>
        </r>
        <r>
          <rPr>
            <sz val="10"/>
            <color indexed="81"/>
            <rFont val="Tahoma"/>
            <family val="2"/>
          </rPr>
          <t xml:space="preserve">
Leave blank/fill with de concentration of strong monoprotonable base used as titrant for acidic samples e.g., NaOH, KOH (or twice the mol/L concentration of Ca(OH)</t>
        </r>
        <r>
          <rPr>
            <vertAlign val="subscript"/>
            <sz val="10"/>
            <color indexed="81"/>
            <rFont val="Tahoma"/>
            <family val="2"/>
          </rPr>
          <t>2</t>
        </r>
        <r>
          <rPr>
            <sz val="10"/>
            <color indexed="81"/>
            <rFont val="Tahoma"/>
            <family val="2"/>
          </rPr>
          <t>)</t>
        </r>
      </text>
    </comment>
    <comment ref="D14" authorId="0" shapeId="0" xr:uid="{00000000-0006-0000-0300-00001C000000}">
      <text>
        <r>
          <rPr>
            <b/>
            <sz val="8"/>
            <color indexed="81"/>
            <rFont val="Tahoma"/>
            <family val="2"/>
          </rPr>
          <t>Gutz:</t>
        </r>
        <r>
          <rPr>
            <sz val="8"/>
            <color indexed="81"/>
            <rFont val="Tahoma"/>
            <family val="2"/>
          </rPr>
          <t xml:space="preserve">
</t>
        </r>
        <r>
          <rPr>
            <sz val="10"/>
            <color indexed="81"/>
            <rFont val="Tahoma"/>
            <family val="2"/>
          </rPr>
          <t>Leave blank/fill out with the concentration of carbonate, if used as titrant. 
To simulate the absorption of CO</t>
        </r>
        <r>
          <rPr>
            <vertAlign val="subscript"/>
            <sz val="10"/>
            <color indexed="81"/>
            <rFont val="Tahoma"/>
            <family val="2"/>
          </rPr>
          <t xml:space="preserve">2 </t>
        </r>
        <r>
          <rPr>
            <sz val="10"/>
            <color indexed="81"/>
            <rFont val="Tahoma"/>
            <family val="2"/>
          </rPr>
          <t>from the air by an alkaline titrant, leave blank and fill cell D16.</t>
        </r>
      </text>
    </comment>
    <comment ref="B15" authorId="0" shapeId="0" xr:uid="{00000000-0006-0000-0300-00001D000000}">
      <text>
        <r>
          <rPr>
            <b/>
            <sz val="10"/>
            <color indexed="81"/>
            <rFont val="Tahoma"/>
            <family val="2"/>
          </rPr>
          <t>Gutz:</t>
        </r>
        <r>
          <rPr>
            <sz val="10"/>
            <color indexed="81"/>
            <rFont val="Tahoma"/>
            <family val="2"/>
          </rPr>
          <t xml:space="preserve">
Leave blank/fill with de concentration of strong monoprotic acid used as titrant of alkaline samples e.g., HCl. For weak or diprotic acids like H</t>
        </r>
        <r>
          <rPr>
            <vertAlign val="subscript"/>
            <sz val="10"/>
            <color indexed="81"/>
            <rFont val="Tahoma"/>
            <family val="2"/>
          </rPr>
          <t>2</t>
        </r>
        <r>
          <rPr>
            <sz val="10"/>
            <color indexed="81"/>
            <rFont val="Tahoma"/>
            <family val="2"/>
          </rPr>
          <t>SO</t>
        </r>
        <r>
          <rPr>
            <vertAlign val="subscript"/>
            <sz val="10"/>
            <color indexed="81"/>
            <rFont val="Tahoma"/>
            <family val="2"/>
          </rPr>
          <t>4</t>
        </r>
        <r>
          <rPr>
            <sz val="10"/>
            <color indexed="81"/>
            <rFont val="Tahoma"/>
            <family val="2"/>
          </rPr>
          <t xml:space="preserve">  change charge and pKas first, at cells R4 to R6.</t>
        </r>
      </text>
    </comment>
    <comment ref="C15" authorId="0" shapeId="0" xr:uid="{00000000-0006-0000-0300-00001E000000}">
      <text>
        <r>
          <rPr>
            <b/>
            <sz val="8"/>
            <color indexed="81"/>
            <rFont val="Tahoma"/>
            <family val="2"/>
          </rPr>
          <t>Gutz:</t>
        </r>
        <r>
          <rPr>
            <sz val="8"/>
            <color indexed="81"/>
            <rFont val="Tahoma"/>
            <family val="2"/>
          </rPr>
          <t xml:space="preserve">
</t>
        </r>
        <r>
          <rPr>
            <sz val="10"/>
            <color indexed="81"/>
            <rFont val="Tahoma"/>
            <family val="2"/>
          </rPr>
          <t>Leave blank - as a rule, this cell corresponds to the protonated form of OH-, H</t>
        </r>
        <r>
          <rPr>
            <vertAlign val="subscript"/>
            <sz val="10"/>
            <color indexed="81"/>
            <rFont val="Tahoma"/>
            <family val="2"/>
          </rPr>
          <t>2</t>
        </r>
        <r>
          <rPr>
            <sz val="10"/>
            <color indexed="81"/>
            <rFont val="Tahoma"/>
            <family val="2"/>
          </rPr>
          <t>O, indistiguishable from the solvent. However, if a different acid/base is system is specified in column S, [HB] may be filled out as needed.</t>
        </r>
      </text>
    </comment>
    <comment ref="D15" authorId="0" shapeId="0" xr:uid="{00000000-0006-0000-0300-00001F000000}">
      <text>
        <r>
          <rPr>
            <b/>
            <sz val="8"/>
            <color indexed="81"/>
            <rFont val="Tahoma"/>
            <family val="2"/>
          </rPr>
          <t>Gutz:</t>
        </r>
        <r>
          <rPr>
            <sz val="8"/>
            <color indexed="81"/>
            <rFont val="Tahoma"/>
            <family val="2"/>
          </rPr>
          <t xml:space="preserve">
</t>
        </r>
        <r>
          <rPr>
            <sz val="10"/>
            <color indexed="81"/>
            <rFont val="Tahoma"/>
            <family val="2"/>
          </rPr>
          <t>Leave blank</t>
        </r>
        <r>
          <rPr>
            <b/>
            <sz val="10"/>
            <color indexed="81"/>
            <rFont val="Tahoma"/>
            <family val="2"/>
          </rPr>
          <t>/</t>
        </r>
        <r>
          <rPr>
            <sz val="10"/>
            <color indexed="81"/>
            <rFont val="Tahoma"/>
            <family val="2"/>
          </rPr>
          <t>fill out with de concentration of bicarbonate, if used as titrant.
To simulate the absorption of CO</t>
        </r>
        <r>
          <rPr>
            <vertAlign val="subscript"/>
            <sz val="10"/>
            <color indexed="81"/>
            <rFont val="Tahoma"/>
            <family val="2"/>
          </rPr>
          <t>2</t>
        </r>
        <r>
          <rPr>
            <sz val="10"/>
            <color indexed="81"/>
            <rFont val="Tahoma"/>
            <family val="2"/>
          </rPr>
          <t xml:space="preserve"> from the air by an alkaline titrant, leave blank and fill H</t>
        </r>
        <r>
          <rPr>
            <vertAlign val="subscript"/>
            <sz val="10"/>
            <color indexed="81"/>
            <rFont val="Tahoma"/>
            <family val="2"/>
          </rPr>
          <t>2</t>
        </r>
        <r>
          <rPr>
            <sz val="10"/>
            <color indexed="81"/>
            <rFont val="Tahoma"/>
            <family val="2"/>
          </rPr>
          <t>CO</t>
        </r>
        <r>
          <rPr>
            <vertAlign val="subscript"/>
            <sz val="10"/>
            <color indexed="81"/>
            <rFont val="Tahoma"/>
            <family val="2"/>
          </rPr>
          <t>3</t>
        </r>
        <r>
          <rPr>
            <sz val="10"/>
            <color indexed="81"/>
            <rFont val="Tahoma"/>
            <family val="2"/>
          </rPr>
          <t xml:space="preserve"> (cell D16)</t>
        </r>
      </text>
    </comment>
    <comment ref="B16" authorId="0" shapeId="0" xr:uid="{00000000-0006-0000-0300-000020000000}">
      <text>
        <r>
          <rPr>
            <b/>
            <sz val="8"/>
            <color indexed="81"/>
            <rFont val="Tahoma"/>
            <family val="2"/>
          </rPr>
          <t>Gutz:</t>
        </r>
        <r>
          <rPr>
            <sz val="8"/>
            <color indexed="81"/>
            <rFont val="Tahoma"/>
            <family val="2"/>
          </rPr>
          <t xml:space="preserve">
</t>
        </r>
        <r>
          <rPr>
            <sz val="10"/>
            <color indexed="81"/>
            <rFont val="Tahoma"/>
            <family val="2"/>
          </rPr>
          <t>Leave blank unless you have replaced the base, its charge and pKas in cells S4 to S6 and H</t>
        </r>
        <r>
          <rPr>
            <vertAlign val="subscript"/>
            <sz val="10"/>
            <color indexed="81"/>
            <rFont val="Tahoma"/>
            <family val="2"/>
          </rPr>
          <t>2</t>
        </r>
        <r>
          <rPr>
            <sz val="10"/>
            <color indexed="81"/>
            <rFont val="Tahoma"/>
            <family val="2"/>
          </rPr>
          <t>B is and ingredient of the titrant.</t>
        </r>
      </text>
    </comment>
    <comment ref="C16" authorId="0" shapeId="0" xr:uid="{00000000-0006-0000-0300-000021000000}">
      <text>
        <r>
          <rPr>
            <b/>
            <sz val="8"/>
            <color indexed="81"/>
            <rFont val="Tahoma"/>
            <family val="2"/>
          </rPr>
          <t>Gutz:</t>
        </r>
        <r>
          <rPr>
            <sz val="8"/>
            <color indexed="81"/>
            <rFont val="Tahoma"/>
            <family val="2"/>
          </rPr>
          <t xml:space="preserve">
</t>
        </r>
        <r>
          <rPr>
            <sz val="10"/>
            <color indexed="81"/>
            <rFont val="Tahoma"/>
            <family val="2"/>
          </rPr>
          <t>Leave blank unless you have replaced the base, its charge and pKas in cells S4 to S6 and H</t>
        </r>
        <r>
          <rPr>
            <vertAlign val="subscript"/>
            <sz val="10"/>
            <color indexed="81"/>
            <rFont val="Tahoma"/>
            <family val="2"/>
          </rPr>
          <t>2</t>
        </r>
        <r>
          <rPr>
            <sz val="10"/>
            <color indexed="81"/>
            <rFont val="Tahoma"/>
            <family val="2"/>
          </rPr>
          <t>B is and ingredient of the titrant.</t>
        </r>
      </text>
    </comment>
    <comment ref="D16" authorId="0" shapeId="0" xr:uid="{00000000-0006-0000-0300-000022000000}">
      <text>
        <r>
          <rPr>
            <b/>
            <sz val="10"/>
            <color indexed="81"/>
            <rFont val="Tahoma"/>
            <family val="2"/>
          </rPr>
          <t>Gutz:</t>
        </r>
        <r>
          <rPr>
            <sz val="10"/>
            <color indexed="81"/>
            <rFont val="Tahoma"/>
            <family val="2"/>
          </rPr>
          <t xml:space="preserve">
Leave blank</t>
        </r>
        <r>
          <rPr>
            <b/>
            <sz val="10"/>
            <color indexed="81"/>
            <rFont val="Tahoma"/>
            <family val="2"/>
          </rPr>
          <t>/</t>
        </r>
        <r>
          <rPr>
            <sz val="10"/>
            <color indexed="81"/>
            <rFont val="Tahoma"/>
            <family val="2"/>
          </rPr>
          <t>fill out to simulate the absorption of CO</t>
        </r>
        <r>
          <rPr>
            <vertAlign val="subscript"/>
            <sz val="10"/>
            <color indexed="81"/>
            <rFont val="Tahoma"/>
            <family val="2"/>
          </rPr>
          <t>2</t>
        </r>
        <r>
          <rPr>
            <sz val="10"/>
            <color indexed="81"/>
            <rFont val="Tahoma"/>
            <family val="2"/>
          </rPr>
          <t xml:space="preserve"> by an alkaline titrant (effect visible on the curve for 1% or more of [H</t>
        </r>
        <r>
          <rPr>
            <vertAlign val="subscript"/>
            <sz val="10"/>
            <color indexed="81"/>
            <rFont val="Tahoma"/>
            <family val="2"/>
          </rPr>
          <t>2</t>
        </r>
        <r>
          <rPr>
            <sz val="10"/>
            <color indexed="81"/>
            <rFont val="Tahoma"/>
            <family val="2"/>
          </rPr>
          <t>CO</t>
        </r>
        <r>
          <rPr>
            <vertAlign val="subscript"/>
            <sz val="10"/>
            <color indexed="81"/>
            <rFont val="Tahoma"/>
            <family val="2"/>
          </rPr>
          <t>3</t>
        </r>
        <r>
          <rPr>
            <sz val="10"/>
            <color indexed="81"/>
            <rFont val="Tahoma"/>
            <family val="2"/>
          </rPr>
          <t xml:space="preserve">] relative to the titrant concentration)  
</t>
        </r>
      </text>
    </comment>
    <comment ref="F16" authorId="0" shapeId="0" xr:uid="{00000000-0006-0000-0300-000023000000}">
      <text>
        <r>
          <rPr>
            <b/>
            <sz val="10"/>
            <color indexed="81"/>
            <rFont val="Tahoma"/>
            <family val="2"/>
          </rPr>
          <t>Gutz:</t>
        </r>
        <r>
          <rPr>
            <sz val="10"/>
            <color indexed="81"/>
            <rFont val="Tahoma"/>
            <family val="2"/>
          </rPr>
          <t xml:space="preserve">
Volume of the aliquot of sample (with the composition given in cells B4 to H10) to be titrated.</t>
        </r>
      </text>
    </comment>
    <comment ref="G16" authorId="0" shapeId="0" xr:uid="{00000000-0006-0000-0300-000024000000}">
      <text>
        <r>
          <rPr>
            <b/>
            <sz val="10"/>
            <color indexed="81"/>
            <rFont val="Tahoma"/>
            <family val="2"/>
          </rPr>
          <t>Gutz:</t>
        </r>
        <r>
          <rPr>
            <sz val="10"/>
            <color indexed="81"/>
            <rFont val="Tahoma"/>
            <family val="2"/>
          </rPr>
          <t xml:space="preserve">
Water is frequently added to the sample until the glass electrode bulb and reference electrode junction are covered by the solution. The (undesirable) effect of dillution can be evaluated by comparing the curves simulated with no water added and with 5 times more water than sample.</t>
        </r>
      </text>
    </comment>
    <comment ref="H16" authorId="0" shapeId="0" xr:uid="{00000000-0006-0000-0300-000025000000}">
      <text>
        <r>
          <rPr>
            <b/>
            <sz val="8"/>
            <color indexed="81"/>
            <rFont val="Tahoma"/>
            <family val="2"/>
          </rPr>
          <t>Gutz:</t>
        </r>
        <r>
          <rPr>
            <sz val="10"/>
            <color indexed="81"/>
            <rFont val="Tahoma"/>
            <family val="2"/>
          </rPr>
          <t xml:space="preserve">
Total  volume before titration (F16+G16)</t>
        </r>
      </text>
    </comment>
    <comment ref="A17" authorId="0" shapeId="0" xr:uid="{00000000-0006-0000-0300-000026000000}">
      <text>
        <r>
          <rPr>
            <b/>
            <sz val="8"/>
            <color indexed="81"/>
            <rFont val="Tahoma"/>
            <family val="2"/>
          </rPr>
          <t>Gutz:</t>
        </r>
        <r>
          <rPr>
            <sz val="8"/>
            <color indexed="81"/>
            <rFont val="Tahoma"/>
            <family val="2"/>
          </rPr>
          <t xml:space="preserve">
</t>
        </r>
        <r>
          <rPr>
            <sz val="10"/>
            <color indexed="81"/>
            <rFont val="Tahoma"/>
            <family val="2"/>
          </rPr>
          <t>Sum of concentrations of all forms of base B introduced in the titrant (e.g., [HB] + [H</t>
        </r>
        <r>
          <rPr>
            <vertAlign val="subscript"/>
            <sz val="10"/>
            <color indexed="81"/>
            <rFont val="Tahoma"/>
            <family val="2"/>
          </rPr>
          <t>2</t>
        </r>
        <r>
          <rPr>
            <sz val="10"/>
            <color indexed="81"/>
            <rFont val="Tahoma"/>
            <family val="2"/>
          </rPr>
          <t>B] + [H</t>
        </r>
        <r>
          <rPr>
            <vertAlign val="subscript"/>
            <sz val="10"/>
            <color indexed="81"/>
            <rFont val="Tahoma"/>
            <family val="2"/>
          </rPr>
          <t>3</t>
        </r>
        <r>
          <rPr>
            <sz val="10"/>
            <color indexed="81"/>
            <rFont val="Tahoma"/>
            <family val="2"/>
          </rPr>
          <t xml:space="preserve">B]) </t>
        </r>
      </text>
    </comment>
    <comment ref="A18" authorId="0" shapeId="0" xr:uid="{00000000-0006-0000-0300-000027000000}">
      <text>
        <r>
          <rPr>
            <b/>
            <sz val="8"/>
            <color indexed="81"/>
            <rFont val="Tahoma"/>
            <family val="2"/>
          </rPr>
          <t>Gutz:</t>
        </r>
        <r>
          <rPr>
            <sz val="8"/>
            <color indexed="81"/>
            <rFont val="Tahoma"/>
            <family val="2"/>
          </rPr>
          <t xml:space="preserve">
</t>
        </r>
        <r>
          <rPr>
            <sz val="10"/>
            <color indexed="81"/>
            <rFont val="Tahoma"/>
            <family val="2"/>
          </rPr>
          <t>Maximum H</t>
        </r>
        <r>
          <rPr>
            <vertAlign val="superscript"/>
            <sz val="10"/>
            <color indexed="81"/>
            <rFont val="Tahoma"/>
            <family val="2"/>
          </rPr>
          <t>+</t>
        </r>
        <r>
          <rPr>
            <sz val="10"/>
            <color indexed="81"/>
            <rFont val="Tahoma"/>
            <family val="2"/>
          </rPr>
          <t xml:space="preserve"> concentration available from full deprotonation of all forms of H</t>
        </r>
        <r>
          <rPr>
            <vertAlign val="subscript"/>
            <sz val="10"/>
            <color indexed="81"/>
            <rFont val="Tahoma"/>
            <family val="2"/>
          </rPr>
          <t>i</t>
        </r>
        <r>
          <rPr>
            <sz val="10"/>
            <color indexed="81"/>
            <rFont val="Tahoma"/>
            <family val="2"/>
          </rPr>
          <t>B used in the formulation of the titrant (e.g., [HB] + 2[H</t>
        </r>
        <r>
          <rPr>
            <vertAlign val="subscript"/>
            <sz val="10"/>
            <color indexed="81"/>
            <rFont val="Tahoma"/>
            <family val="2"/>
          </rPr>
          <t>2</t>
        </r>
        <r>
          <rPr>
            <sz val="10"/>
            <color indexed="81"/>
            <rFont val="Tahoma"/>
            <family val="2"/>
          </rPr>
          <t>B] + 3[H</t>
        </r>
        <r>
          <rPr>
            <vertAlign val="subscript"/>
            <sz val="10"/>
            <color indexed="81"/>
            <rFont val="Tahoma"/>
            <family val="2"/>
          </rPr>
          <t>3</t>
        </r>
        <r>
          <rPr>
            <sz val="10"/>
            <color indexed="81"/>
            <rFont val="Tahoma"/>
            <family val="2"/>
          </rPr>
          <t>B])</t>
        </r>
      </text>
    </comment>
    <comment ref="F18" authorId="0" shapeId="0" xr:uid="{00000000-0006-0000-0300-000028000000}">
      <text>
        <r>
          <rPr>
            <b/>
            <sz val="8"/>
            <color indexed="81"/>
            <rFont val="Tahoma"/>
            <family val="2"/>
          </rPr>
          <t>Gutz:</t>
        </r>
        <r>
          <rPr>
            <sz val="8"/>
            <color indexed="81"/>
            <rFont val="Tahoma"/>
            <family val="2"/>
          </rPr>
          <t xml:space="preserve">
</t>
        </r>
        <r>
          <rPr>
            <sz val="10"/>
            <color indexed="81"/>
            <rFont val="Tahoma"/>
            <family val="2"/>
          </rPr>
          <t xml:space="preserve">Maximum volume of titrant to be added up to the end of the titration (size or capacity of the syringe to be used with the motor driven buret, cell C20) </t>
        </r>
      </text>
    </comment>
    <comment ref="A19" authorId="2" shapeId="0" xr:uid="{00000000-0006-0000-0300-000029000000}">
      <text>
        <r>
          <rPr>
            <b/>
            <sz val="9"/>
            <color indexed="81"/>
            <rFont val="Tahoma"/>
            <family val="2"/>
          </rPr>
          <t>Gutz:</t>
        </r>
        <r>
          <rPr>
            <sz val="9"/>
            <color indexed="81"/>
            <rFont val="Tahoma"/>
            <family val="2"/>
          </rPr>
          <t xml:space="preserve">
</t>
        </r>
        <r>
          <rPr>
            <sz val="10"/>
            <color indexed="81"/>
            <rFont val="Tahoma"/>
            <family val="2"/>
          </rPr>
          <t xml:space="preserve">Click on </t>
        </r>
        <r>
          <rPr>
            <b/>
            <sz val="10"/>
            <color indexed="81"/>
            <rFont val="Tahoma"/>
            <family val="2"/>
          </rPr>
          <t>Generate</t>
        </r>
        <r>
          <rPr>
            <sz val="10"/>
            <color indexed="81"/>
            <rFont val="Tahoma"/>
            <family val="2"/>
          </rPr>
          <t xml:space="preserve"> to simulate a new sample in the beaker, with the same volume and ingredient(s) chosen in cells B3 to H10, but with different hidden concentration(s), randomly generated in the range from 30% lower to 30% higher than the original concentration(s).  For greater realism of this titration exercise with visual indication, please uncheck F25 and F26.
Click on </t>
        </r>
        <r>
          <rPr>
            <b/>
            <sz val="10"/>
            <color indexed="81"/>
            <rFont val="Tahoma"/>
            <family val="2"/>
          </rPr>
          <t>Show</t>
        </r>
        <r>
          <rPr>
            <sz val="10"/>
            <color indexed="81"/>
            <rFont val="Tahoma"/>
            <family val="2"/>
          </rPr>
          <t xml:space="preserve"> after finishing your titration, to reveal (in cells B3 to H10) the correct concentration(s), to be compared with your results (and appropriateness of the indicator pKa).</t>
        </r>
      </text>
    </comment>
    <comment ref="E21" authorId="2" shapeId="0" xr:uid="{00000000-0006-0000-0300-00002A000000}">
      <text>
        <r>
          <rPr>
            <b/>
            <sz val="10"/>
            <color indexed="81"/>
            <rFont val="Tahoma"/>
            <family val="2"/>
          </rPr>
          <t>Gutz:</t>
        </r>
        <r>
          <rPr>
            <sz val="10"/>
            <color indexed="81"/>
            <rFont val="Tahoma"/>
            <family val="2"/>
          </rPr>
          <t xml:space="preserve">
The pH-meter is connected to a pH sensor, the combined glass electrode, consisting of a glass bulb with a buffer solution and a reference electrode inside. The ddp, measured against a concentric external reference electrode is directly proportional to the difference of pH at the internal and external surfaces of the glass membrane, with a slope of 59,16 mV per pH unit at 25ºC.</t>
        </r>
      </text>
    </comment>
    <comment ref="G21" authorId="1" shapeId="0" xr:uid="{00000000-0006-0000-0300-00002B000000}">
      <text>
        <r>
          <rPr>
            <b/>
            <sz val="8"/>
            <color indexed="81"/>
            <rFont val="Tahoma"/>
            <family val="2"/>
          </rPr>
          <t>Gutz:</t>
        </r>
        <r>
          <rPr>
            <sz val="8"/>
            <color indexed="81"/>
            <rFont val="Tahoma"/>
            <family val="2"/>
          </rPr>
          <t xml:space="preserve">
</t>
        </r>
        <r>
          <rPr>
            <sz val="10"/>
            <color indexed="81"/>
            <rFont val="Tahoma"/>
            <family val="2"/>
          </rPr>
          <t xml:space="preserve">Click on the button </t>
        </r>
        <r>
          <rPr>
            <b/>
            <sz val="10"/>
            <color indexed="81"/>
            <rFont val="Tahoma"/>
            <family val="2"/>
          </rPr>
          <t>Reset</t>
        </r>
        <r>
          <rPr>
            <sz val="10"/>
            <color indexed="81"/>
            <rFont val="Tahoma"/>
            <family val="2"/>
          </rPr>
          <t xml:space="preserve"> (cell A25) to find the "pH" of the starting solution (defined by cells B3 to H10, F16 and G16), before the addition of titrant.
</t>
        </r>
        <r>
          <rPr>
            <sz val="10"/>
            <color indexed="81"/>
            <rFont val="Tahoma"/>
            <family val="2"/>
          </rPr>
          <t xml:space="preserve">
The pH values shown in cell G21 are accurate only for very diluted solutions (at 25ºC) because the effects of ionic interactions are neglected (deviations of 0.1 or 0.2 in the pH may occur at 0.1 mol/L).
Switch to the </t>
        </r>
        <r>
          <rPr>
            <b/>
            <sz val="10"/>
            <color indexed="81"/>
            <rFont val="Tahoma"/>
            <family val="2"/>
          </rPr>
          <t>Simulation</t>
        </r>
        <r>
          <rPr>
            <sz val="10"/>
            <color indexed="81"/>
            <rFont val="Tahoma"/>
            <family val="2"/>
          </rPr>
          <t xml:space="preserve"> or </t>
        </r>
        <r>
          <rPr>
            <b/>
            <sz val="10"/>
            <color indexed="81"/>
            <rFont val="Tahoma"/>
            <family val="2"/>
          </rPr>
          <t>pH_calc</t>
        </r>
        <r>
          <rPr>
            <sz val="10"/>
            <color indexed="81"/>
            <rFont val="Tahoma"/>
            <family val="2"/>
          </rPr>
          <t xml:space="preserve"> modules to refine the pH calculation of a solution and to find explanations.</t>
        </r>
      </text>
    </comment>
    <comment ref="C22" authorId="2" shapeId="0" xr:uid="{00000000-0006-0000-0300-00002C000000}">
      <text>
        <r>
          <rPr>
            <b/>
            <sz val="9"/>
            <color indexed="81"/>
            <rFont val="Tahoma"/>
            <family val="2"/>
          </rPr>
          <t>Gutz:</t>
        </r>
        <r>
          <rPr>
            <sz val="9"/>
            <color indexed="81"/>
            <rFont val="Tahoma"/>
            <family val="2"/>
          </rPr>
          <t xml:space="preserve">
</t>
        </r>
        <r>
          <rPr>
            <sz val="10"/>
            <color indexed="81"/>
            <rFont val="Tahoma"/>
            <family val="2"/>
          </rPr>
          <t>Click on the button Reset (cell A25) to find the "pH" of the starting solution (defined by cells B3 to H10, F16 and G16), before the addition of titrant.
Click repeatedly on buttons A31 to B36 to observe the effect of titrant addition on the solution in the beaker. Watch: the color of the dissolved indicator, measured pH, equilibrium position (may be hidden, uncheck checkbox F26), and the aspect of the pH versus titrant volume curve (may be hidden, uncheck checkbox F25).</t>
        </r>
      </text>
    </comment>
    <comment ref="G24" authorId="2" shapeId="0" xr:uid="{00000000-0006-0000-0300-00002D000000}">
      <text>
        <r>
          <rPr>
            <b/>
            <sz val="9"/>
            <color indexed="81"/>
            <rFont val="Tahoma"/>
            <family val="2"/>
          </rPr>
          <t>Gutz:</t>
        </r>
        <r>
          <rPr>
            <sz val="9"/>
            <color indexed="81"/>
            <rFont val="Tahoma"/>
            <family val="2"/>
          </rPr>
          <t xml:space="preserve">
</t>
        </r>
        <r>
          <rPr>
            <sz val="10"/>
            <color indexed="81"/>
            <rFont val="Tahoma"/>
            <family val="2"/>
          </rPr>
          <t xml:space="preserve">In a real titration with visual endpoint indication, the pH is not measured, nor is the equilibrium position shown. </t>
        </r>
      </text>
    </comment>
    <comment ref="B28" authorId="3" shapeId="0" xr:uid="{00000000-0006-0000-0300-00002E000000}">
      <text>
        <r>
          <rPr>
            <b/>
            <sz val="8"/>
            <color indexed="81"/>
            <rFont val="Tahoma"/>
            <family val="2"/>
          </rPr>
          <t>Gutz:</t>
        </r>
        <r>
          <rPr>
            <sz val="8"/>
            <color indexed="81"/>
            <rFont val="Tahoma"/>
            <family val="2"/>
          </rPr>
          <t xml:space="preserve">
</t>
        </r>
        <r>
          <rPr>
            <sz val="10"/>
            <color indexed="81"/>
            <rFont val="Tahoma"/>
            <family val="2"/>
          </rPr>
          <t>There are examples of indicators at the end of the Database; phenol red is loaded as default in N3, and its concentrarion can be changed in E6 (to evaluate the error caused by the presence of titrable indicator). Various indicators have 2 or more pKas and color transitions and the Titrators handles one at a time; please copy one of them to B29 (default: from N6), or consider a model indicator with any pKa.</t>
        </r>
      </text>
    </comment>
    <comment ref="A29" authorId="2" shapeId="0" xr:uid="{00000000-0006-0000-0300-00002F000000}">
      <text>
        <r>
          <rPr>
            <b/>
            <sz val="9"/>
            <color indexed="81"/>
            <rFont val="Tahoma"/>
            <family val="2"/>
          </rPr>
          <t>Gutz:</t>
        </r>
        <r>
          <rPr>
            <sz val="9"/>
            <color indexed="81"/>
            <rFont val="Tahoma"/>
            <family val="2"/>
          </rPr>
          <t xml:space="preserve">
</t>
        </r>
        <r>
          <rPr>
            <sz val="10"/>
            <color indexed="81"/>
            <rFont val="Tahoma"/>
            <family val="2"/>
          </rPr>
          <t>As a rule of thumb, to obtain accurate results, the pKa of the chosen indicator should be close to the pH at (one of) the stoichiometric point(s) of the titration (or inflections of the titration curve). As an exercise, verify, by simulation, if this is more important for strong or for weak acids and bases; examine also the situation of very diluted samples.</t>
        </r>
      </text>
    </comment>
    <comment ref="H29" authorId="2" shapeId="0" xr:uid="{00000000-0006-0000-0300-000030000000}">
      <text>
        <r>
          <rPr>
            <b/>
            <sz val="9"/>
            <color indexed="81"/>
            <rFont val="Tahoma"/>
            <family val="2"/>
          </rPr>
          <t>Gutz:</t>
        </r>
        <r>
          <rPr>
            <sz val="9"/>
            <color indexed="81"/>
            <rFont val="Tahoma"/>
            <family val="2"/>
          </rPr>
          <t xml:space="preserve">
</t>
        </r>
        <r>
          <rPr>
            <sz val="10"/>
            <color indexed="81"/>
            <rFont val="Tahoma"/>
            <family val="2"/>
          </rPr>
          <t>If a sample with more than one acid or base is simulted, only the distribution of species of the most concentrated one (in line 11) will be shown here.</t>
        </r>
      </text>
    </comment>
    <comment ref="B30" authorId="2" shapeId="0" xr:uid="{00000000-0006-0000-0300-000031000000}">
      <text>
        <r>
          <rPr>
            <b/>
            <sz val="9"/>
            <color indexed="81"/>
            <rFont val="Tahoma"/>
            <family val="2"/>
          </rPr>
          <t>Gutz:</t>
        </r>
        <r>
          <rPr>
            <sz val="9"/>
            <color indexed="81"/>
            <rFont val="Tahoma"/>
            <family val="2"/>
          </rPr>
          <t xml:space="preserve">
</t>
        </r>
        <r>
          <rPr>
            <sz val="10"/>
            <color indexed="81"/>
            <rFont val="Tahoma"/>
            <family val="2"/>
          </rPr>
          <t xml:space="preserve">The colors shown here as default resemble those of phenol red, and indicator with pKa of 7.7 (available in the Database and loaded in N3; pKa2 in N6; concentration in E6)
Indicators with different pKas can be specified in cell B29, shifting the region of the color transition, but not the colors. 
The colors may be changed as follows: mark cells D31 to E35, click on Conditional Formating and edit the two colors. </t>
        </r>
      </text>
    </comment>
    <comment ref="A32" authorId="2" shapeId="0" xr:uid="{00000000-0006-0000-0300-000032000000}">
      <text>
        <r>
          <rPr>
            <b/>
            <sz val="9"/>
            <color indexed="81"/>
            <rFont val="Tahoma"/>
            <family val="2"/>
          </rPr>
          <t>Gutz:</t>
        </r>
        <r>
          <rPr>
            <sz val="9"/>
            <color indexed="81"/>
            <rFont val="Tahoma"/>
            <family val="2"/>
          </rPr>
          <t xml:space="preserve">
</t>
        </r>
        <r>
          <rPr>
            <sz val="10"/>
            <color indexed="81"/>
            <rFont val="Tahoma"/>
            <family val="2"/>
          </rPr>
          <t>The assumption made here is that the colors of the acidic and basic forms of the indicator present the same intensity, but this is frequently not true. Consequently the color transition range becomes more or less displaced from the interval of pH=pKa-1 to pH=pKa+1. The pH of the center of this range found in tables of visual indicators may be used instead of the pKa  in the simulations made here.</t>
        </r>
      </text>
    </comment>
    <comment ref="S34" authorId="1" shapeId="0" xr:uid="{00000000-0006-0000-0300-000033000000}">
      <text>
        <r>
          <rPr>
            <b/>
            <sz val="8"/>
            <color indexed="81"/>
            <rFont val="Tahoma"/>
            <family val="2"/>
          </rPr>
          <t>Gutz:</t>
        </r>
        <r>
          <rPr>
            <sz val="8"/>
            <color indexed="81"/>
            <rFont val="Tahoma"/>
            <family val="2"/>
          </rPr>
          <t xml:space="preserve">
</t>
        </r>
        <r>
          <rPr>
            <sz val="10"/>
            <color indexed="81"/>
            <rFont val="Tahoma"/>
            <family val="2"/>
          </rPr>
          <t>Hover the mouse on a curve and point any data point to readout its ID and coordinates.
To add labels to your graphics, activate the drawing tools of Excel and insert text boxes.</t>
        </r>
      </text>
    </comment>
    <comment ref="S35" authorId="1" shapeId="0" xr:uid="{00000000-0006-0000-0300-000034000000}">
      <text>
        <r>
          <rPr>
            <b/>
            <sz val="8"/>
            <color indexed="81"/>
            <rFont val="Tahoma"/>
            <family val="2"/>
          </rPr>
          <t>Gutz:</t>
        </r>
        <r>
          <rPr>
            <sz val="8"/>
            <color indexed="81"/>
            <rFont val="Tahoma"/>
            <family val="2"/>
          </rPr>
          <t xml:space="preserve">
</t>
        </r>
        <r>
          <rPr>
            <sz val="10"/>
            <color indexed="81"/>
            <rFont val="Tahoma"/>
            <family val="2"/>
          </rPr>
          <t xml:space="preserve">To copy graphics with simulated curves and paste them into other documents (e.g.: Word or Excel without links to the original:
- Fill out the header of the figure (optional)
- Click in the box of the figure near the margins, to select it
  (for Excel versions older than 12 from 2007 - Uncheck/check F25 to replot the curve) </t>
        </r>
        <r>
          <rPr>
            <b/>
            <sz val="10"/>
            <color indexed="81"/>
            <rFont val="Tahoma"/>
            <family val="2"/>
          </rPr>
          <t xml:space="preserve">
</t>
        </r>
        <r>
          <rPr>
            <sz val="10"/>
            <color indexed="81"/>
            <rFont val="Tahoma"/>
            <family val="2"/>
          </rPr>
          <t xml:space="preserve">- Press Ctrl+C (and wait for processing)
- Switch to the Word document or another Excel spreadsheet 
- Select Insert/Paste Special/Picture (enhanced metafile)
Obs.: do NOT use Ctrl+C and Ctrl+V, because the figure may become coupled with CurTiPot and respond to changes
</t>
        </r>
      </text>
    </comment>
    <comment ref="D36" authorId="2" shapeId="0" xr:uid="{00000000-0006-0000-0300-000035000000}">
      <text>
        <r>
          <rPr>
            <b/>
            <sz val="9"/>
            <color indexed="81"/>
            <rFont val="Tahoma"/>
            <family val="2"/>
          </rPr>
          <t>Gutz</t>
        </r>
        <r>
          <rPr>
            <sz val="9"/>
            <color indexed="81"/>
            <rFont val="Tahoma"/>
            <family val="2"/>
          </rPr>
          <t xml:space="preserve">
</t>
        </r>
        <r>
          <rPr>
            <sz val="10"/>
            <color indexed="81"/>
            <rFont val="Tahoma"/>
            <family val="2"/>
          </rPr>
          <t>The stirrer is used in real titrations to homogenize the solution;
it is superfluous in this titration simulator, where homogenization occurs instantly (an animation of the stirring bar is available from the author for specific versions of Excel).</t>
        </r>
      </text>
    </comment>
    <comment ref="S36" authorId="1" shapeId="0" xr:uid="{00000000-0006-0000-0300-000036000000}">
      <text>
        <r>
          <rPr>
            <b/>
            <sz val="10"/>
            <color indexed="81"/>
            <rFont val="Tahoma"/>
            <family val="2"/>
          </rPr>
          <t>Gutz:</t>
        </r>
        <r>
          <rPr>
            <sz val="10"/>
            <color indexed="81"/>
            <rFont val="Tahoma"/>
            <family val="2"/>
          </rPr>
          <t xml:space="preserve">
Click twice on the volume or pH scale to redifine it.
Use Ctrl+Z (as many times as needed) to undo scale expansion</t>
        </r>
      </text>
    </comment>
    <comment ref="S37" authorId="1" shapeId="0" xr:uid="{00000000-0006-0000-0300-000037000000}">
      <text>
        <r>
          <rPr>
            <b/>
            <sz val="10"/>
            <color indexed="81"/>
            <rFont val="Tahoma"/>
            <family val="2"/>
          </rPr>
          <t>Gutz:</t>
        </r>
        <r>
          <rPr>
            <sz val="10"/>
            <color indexed="81"/>
            <rFont val="Tahoma"/>
            <family val="2"/>
          </rPr>
          <t xml:space="preserve">
- Use the </t>
        </r>
        <r>
          <rPr>
            <b/>
            <sz val="10"/>
            <color indexed="81"/>
            <rFont val="Tahoma"/>
            <family val="2"/>
          </rPr>
          <t>Graphics</t>
        </r>
        <r>
          <rPr>
            <sz val="10"/>
            <color indexed="81"/>
            <rFont val="Tahoma"/>
            <family val="2"/>
          </rPr>
          <t xml:space="preserve"> spreadsheet to plot derivatives by the </t>
        </r>
        <r>
          <rPr>
            <sz val="10"/>
            <color indexed="81"/>
            <rFont val="Symbol"/>
            <family val="1"/>
            <charset val="2"/>
          </rPr>
          <t>D</t>
        </r>
        <r>
          <rPr>
            <sz val="10"/>
            <color indexed="81"/>
            <rFont val="Tahoma"/>
            <family val="2"/>
          </rPr>
          <t>pH/</t>
        </r>
        <r>
          <rPr>
            <sz val="10"/>
            <color indexed="81"/>
            <rFont val="Symbol"/>
            <family val="1"/>
            <charset val="2"/>
          </rPr>
          <t>D</t>
        </r>
        <r>
          <rPr>
            <sz val="10"/>
            <color indexed="81"/>
            <rFont val="Tahoma"/>
            <family val="2"/>
          </rPr>
          <t>V</t>
        </r>
        <r>
          <rPr>
            <sz val="10"/>
            <color indexed="81"/>
            <rFont val="Tahoma"/>
            <family val="2"/>
          </rPr>
          <t xml:space="preserve"> aproximation and to overlay curves.
- Use </t>
        </r>
        <r>
          <rPr>
            <b/>
            <sz val="10"/>
            <color indexed="81"/>
            <rFont val="Tahoma"/>
            <family val="2"/>
          </rPr>
          <t>Evaluation</t>
        </r>
        <r>
          <rPr>
            <sz val="10"/>
            <color indexed="81"/>
            <rFont val="Tahoma"/>
            <family val="2"/>
          </rPr>
          <t xml:space="preserve"> to generate first and second derivative curves with interpolation and smoothig and to accurately locate inflection points of real and simulated titration curves.
- Use </t>
        </r>
        <r>
          <rPr>
            <b/>
            <sz val="10"/>
            <color indexed="81"/>
            <rFont val="Tahoma"/>
            <family val="2"/>
          </rPr>
          <t>Distribution</t>
        </r>
        <r>
          <rPr>
            <sz val="10"/>
            <color indexed="81"/>
            <rFont val="Tahoma"/>
            <family val="2"/>
          </rPr>
          <t xml:space="preserve"> to obtain de fractional composition and the mean protonation level of the bases during the titration as well as in function of pH.</t>
        </r>
      </text>
    </comment>
    <comment ref="S38" authorId="1" shapeId="0" xr:uid="{00000000-0006-0000-0300-000038000000}">
      <text>
        <r>
          <rPr>
            <b/>
            <sz val="8"/>
            <color indexed="81"/>
            <rFont val="Tahoma"/>
            <family val="2"/>
          </rPr>
          <t>Gutz:</t>
        </r>
        <r>
          <rPr>
            <sz val="8"/>
            <color indexed="81"/>
            <rFont val="Tahoma"/>
            <family val="2"/>
          </rPr>
          <t xml:space="preserve">
</t>
        </r>
        <r>
          <rPr>
            <sz val="10"/>
            <color indexed="81"/>
            <rFont val="Tahoma"/>
            <family val="2"/>
          </rPr>
          <t xml:space="preserve">- Use </t>
        </r>
        <r>
          <rPr>
            <b/>
            <sz val="10"/>
            <color indexed="81"/>
            <rFont val="Tahoma"/>
            <family val="2"/>
          </rPr>
          <t>Evaluation</t>
        </r>
        <r>
          <rPr>
            <sz val="10"/>
            <color indexed="81"/>
            <rFont val="Tahoma"/>
            <family val="2"/>
          </rPr>
          <t xml:space="preserve"> to accurately evaluate well defined inflection points on real and simulated titration curves, assisted by cubic splines smoothing and interpolation
- Use </t>
        </r>
        <r>
          <rPr>
            <b/>
            <sz val="10"/>
            <color indexed="81"/>
            <rFont val="Tahoma"/>
            <family val="2"/>
          </rPr>
          <t>Regression</t>
        </r>
        <r>
          <rPr>
            <sz val="10"/>
            <color indexed="81"/>
            <rFont val="Tahoma"/>
            <family val="2"/>
          </rPr>
          <t xml:space="preserve"> to refine the concentrations of analytes and/or pK values of real or simulated titration curves by nonlinear multiparametric regression and to analyse complex curves, with hidden inflections (some learning required)
Data transfer from </t>
        </r>
        <r>
          <rPr>
            <b/>
            <sz val="10"/>
            <color indexed="81"/>
            <rFont val="Tahoma"/>
            <family val="2"/>
          </rPr>
          <t>Simulation</t>
        </r>
        <r>
          <rPr>
            <sz val="10"/>
            <color indexed="81"/>
            <rFont val="Tahoma"/>
            <family val="2"/>
          </rPr>
          <t xml:space="preserve"> to </t>
        </r>
        <r>
          <rPr>
            <b/>
            <sz val="10"/>
            <color indexed="81"/>
            <rFont val="Tahoma"/>
            <family val="2"/>
          </rPr>
          <t xml:space="preserve">Evaluation </t>
        </r>
        <r>
          <rPr>
            <sz val="10"/>
            <color indexed="81"/>
            <rFont val="Tahoma"/>
            <family val="2"/>
          </rPr>
          <t xml:space="preserve">or </t>
        </r>
        <r>
          <rPr>
            <b/>
            <sz val="10"/>
            <color indexed="81"/>
            <rFont val="Tahoma"/>
            <family val="2"/>
          </rPr>
          <t>Regression</t>
        </r>
        <r>
          <rPr>
            <sz val="10"/>
            <color indexed="81"/>
            <rFont val="Tahoma"/>
            <family val="2"/>
          </rPr>
          <t>:
- Copy data of columns A and B from line 41 on
- When evaluating the effect of dispersion (simulation of experimental errors), copy columns A and D instead (select column A, press Ctrl and select column D)</t>
        </r>
      </text>
    </comment>
    <comment ref="A39" authorId="1" shapeId="0" xr:uid="{00000000-0006-0000-0300-000039000000}">
      <text>
        <r>
          <rPr>
            <b/>
            <sz val="8"/>
            <color indexed="81"/>
            <rFont val="Tahoma"/>
            <family val="2"/>
          </rPr>
          <t>Gutz:</t>
        </r>
        <r>
          <rPr>
            <sz val="8"/>
            <color indexed="81"/>
            <rFont val="Tahoma"/>
            <family val="2"/>
          </rPr>
          <t xml:space="preserve">
</t>
        </r>
        <r>
          <rPr>
            <sz val="10"/>
            <color indexed="81"/>
            <rFont val="Tahoma"/>
            <family val="2"/>
          </rPr>
          <t xml:space="preserve">Data transfer from </t>
        </r>
        <r>
          <rPr>
            <b/>
            <sz val="10"/>
            <color indexed="81"/>
            <rFont val="Tahoma"/>
            <family val="2"/>
          </rPr>
          <t>Simulation</t>
        </r>
        <r>
          <rPr>
            <sz val="10"/>
            <color indexed="81"/>
            <rFont val="Tahoma"/>
            <family val="2"/>
          </rPr>
          <t xml:space="preserve"> to </t>
        </r>
        <r>
          <rPr>
            <b/>
            <sz val="10"/>
            <color indexed="81"/>
            <rFont val="Tahoma"/>
            <family val="2"/>
          </rPr>
          <t>Evaluation</t>
        </r>
        <r>
          <rPr>
            <sz val="10"/>
            <color indexed="81"/>
            <rFont val="Tahoma"/>
            <family val="2"/>
          </rPr>
          <t xml:space="preserve"> or </t>
        </r>
        <r>
          <rPr>
            <b/>
            <sz val="10"/>
            <color indexed="81"/>
            <rFont val="Tahoma"/>
            <family val="2"/>
          </rPr>
          <t>Regression:</t>
        </r>
        <r>
          <rPr>
            <sz val="10"/>
            <color indexed="81"/>
            <rFont val="Tahoma"/>
            <family val="2"/>
          </rPr>
          <t xml:space="preserve">
- Copy data of columns A and B from line 41 on
- When evaluating the effect of dispersion (simulation of experimental errors), copy columns A and D instead (select column A, press Ctrl and select column D)
- Paste data in columns A and B of the destination spreadsheet</t>
        </r>
      </text>
    </comment>
    <comment ref="B39" authorId="0" shapeId="0" xr:uid="{00000000-0006-0000-0300-00003A000000}">
      <text>
        <r>
          <rPr>
            <b/>
            <sz val="8"/>
            <color indexed="81"/>
            <rFont val="Tahoma"/>
            <family val="2"/>
          </rPr>
          <t>Gutz:</t>
        </r>
        <r>
          <rPr>
            <sz val="8"/>
            <color indexed="81"/>
            <rFont val="Tahoma"/>
            <family val="2"/>
          </rPr>
          <t xml:space="preserve">
</t>
        </r>
        <r>
          <rPr>
            <sz val="10"/>
            <color indexed="81"/>
            <rFont val="Tahoma"/>
            <family val="2"/>
          </rPr>
          <t>Ionic interactions can be neglected in the simulation of the behavior of visual indicators during titration of diluted acids and bases. Therefore, the effect of the ionic strength, I, on the activity coefficients of the ions is neglected in the “pH” calculations of the Titration module while it is taken in account in the pH calculations of the</t>
        </r>
        <r>
          <rPr>
            <b/>
            <sz val="10"/>
            <color indexed="81"/>
            <rFont val="Tahoma"/>
            <family val="2"/>
          </rPr>
          <t xml:space="preserve"> pH_calc</t>
        </r>
        <r>
          <rPr>
            <sz val="10"/>
            <color indexed="81"/>
            <rFont val="Tahoma"/>
            <family val="2"/>
          </rPr>
          <t xml:space="preserve">, </t>
        </r>
        <r>
          <rPr>
            <b/>
            <sz val="10"/>
            <color indexed="81"/>
            <rFont val="Tahoma"/>
            <family val="2"/>
          </rPr>
          <t>Distribution</t>
        </r>
        <r>
          <rPr>
            <sz val="10"/>
            <color indexed="81"/>
            <rFont val="Tahoma"/>
            <family val="2"/>
          </rPr>
          <t xml:space="preserve">, </t>
        </r>
        <r>
          <rPr>
            <b/>
            <sz val="10"/>
            <color indexed="81"/>
            <rFont val="Tahoma"/>
            <family val="2"/>
          </rPr>
          <t>Simulation</t>
        </r>
        <r>
          <rPr>
            <sz val="10"/>
            <color indexed="81"/>
            <rFont val="Tahoma"/>
            <family val="2"/>
          </rPr>
          <t xml:space="preserve"> and </t>
        </r>
        <r>
          <rPr>
            <b/>
            <sz val="10"/>
            <color indexed="81"/>
            <rFont val="Tahoma"/>
            <family val="2"/>
          </rPr>
          <t>Regression</t>
        </r>
        <r>
          <rPr>
            <sz val="10"/>
            <color indexed="81"/>
            <rFont val="Tahoma"/>
            <family val="2"/>
          </rPr>
          <t xml:space="preserve"> modules, where more information is available in the comments. 
The use of “pH” instead of pH does not change the volume of the inflections nor does it appreciably change the general shape of the pH vs. volume curves besides a slight vertical shift in some regions, with little effect on the color transition range of the visual indicator. </t>
        </r>
      </text>
    </comment>
    <comment ref="C39" authorId="1" shapeId="0" xr:uid="{00000000-0006-0000-0300-00003B000000}">
      <text>
        <r>
          <rPr>
            <b/>
            <sz val="8"/>
            <color indexed="81"/>
            <rFont val="Tahoma"/>
            <family val="2"/>
          </rPr>
          <t>Gutz:</t>
        </r>
        <r>
          <rPr>
            <sz val="8"/>
            <color indexed="81"/>
            <rFont val="Tahoma"/>
            <family val="2"/>
          </rPr>
          <t xml:space="preserve">
</t>
        </r>
        <r>
          <rPr>
            <sz val="10"/>
            <color indexed="81"/>
            <rFont val="Tahoma"/>
            <family val="2"/>
          </rPr>
          <t>This column repeats the values of column A only when F25 is checked, in order to display the graphic.</t>
        </r>
      </text>
    </comment>
    <comment ref="D39" authorId="1" shapeId="0" xr:uid="{00000000-0006-0000-0300-00003C000000}">
      <text>
        <r>
          <rPr>
            <b/>
            <sz val="8"/>
            <color indexed="81"/>
            <rFont val="Tahoma"/>
            <family val="2"/>
          </rPr>
          <t>Gutz:</t>
        </r>
        <r>
          <rPr>
            <sz val="8"/>
            <color indexed="81"/>
            <rFont val="Tahoma"/>
            <family val="2"/>
          </rPr>
          <t xml:space="preserve">
</t>
        </r>
        <r>
          <rPr>
            <sz val="10"/>
            <color indexed="81"/>
            <rFont val="Tahoma"/>
            <family val="2"/>
          </rPr>
          <t>This column repeats the values of column B only when F25 is checked, in order to display the graphic.</t>
        </r>
      </text>
    </comment>
    <comment ref="E39" authorId="1" shapeId="0" xr:uid="{00000000-0006-0000-0300-00003D000000}">
      <text>
        <r>
          <rPr>
            <b/>
            <sz val="8"/>
            <color indexed="81"/>
            <rFont val="Tahoma"/>
            <family val="2"/>
          </rPr>
          <t>Gutz:</t>
        </r>
        <r>
          <rPr>
            <sz val="8"/>
            <color indexed="81"/>
            <rFont val="Tahoma"/>
            <family val="2"/>
          </rPr>
          <t xml:space="preserve">
</t>
        </r>
        <r>
          <rPr>
            <sz val="10"/>
            <color indexed="81"/>
            <rFont val="Tahoma"/>
            <family val="2"/>
          </rPr>
          <t>Free hydrated proton concentration (or activity)</t>
        </r>
      </text>
    </comment>
    <comment ref="F39" authorId="1" shapeId="0" xr:uid="{00000000-0006-0000-0300-00003E000000}">
      <text>
        <r>
          <rPr>
            <b/>
            <sz val="8"/>
            <color indexed="81"/>
            <rFont val="Tahoma"/>
            <family val="2"/>
          </rPr>
          <t>Gutz:</t>
        </r>
        <r>
          <rPr>
            <sz val="8"/>
            <color indexed="81"/>
            <rFont val="Tahoma"/>
            <family val="2"/>
          </rPr>
          <t xml:space="preserve">
</t>
        </r>
        <r>
          <rPr>
            <sz val="10"/>
            <color indexed="81"/>
            <rFont val="Tahoma"/>
            <family val="2"/>
          </rPr>
          <t>Total concentration of H+ required to satisfy all protonation equilibria, using the general equation, the concentration s of line 11 and the pKas given or under refinement.</t>
        </r>
      </text>
    </comment>
    <comment ref="G39" authorId="1" shapeId="0" xr:uid="{00000000-0006-0000-0300-00003F000000}">
      <text>
        <r>
          <rPr>
            <b/>
            <sz val="10"/>
            <color indexed="81"/>
            <rFont val="Tahoma"/>
            <family val="2"/>
          </rPr>
          <t>Gutz:</t>
        </r>
        <r>
          <rPr>
            <sz val="10"/>
            <color indexed="81"/>
            <rFont val="Tahoma"/>
            <family val="2"/>
          </rPr>
          <t xml:space="preserve">
Dilution factor of the titrant when added to the sample (+water). For example, when the added titrant equals the volume of sample (+water), the factor is 0.5
</t>
        </r>
      </text>
    </comment>
    <comment ref="H39" authorId="1" shapeId="0" xr:uid="{00000000-0006-0000-0300-000040000000}">
      <text>
        <r>
          <rPr>
            <b/>
            <sz val="8"/>
            <color indexed="81"/>
            <rFont val="Tahoma"/>
            <family val="2"/>
          </rPr>
          <t>Gutz:</t>
        </r>
        <r>
          <rPr>
            <sz val="8"/>
            <color indexed="81"/>
            <rFont val="Tahoma"/>
            <family val="2"/>
          </rPr>
          <t xml:space="preserve">
</t>
        </r>
        <r>
          <rPr>
            <sz val="10"/>
            <color indexed="81"/>
            <rFont val="Tahoma"/>
            <family val="2"/>
          </rPr>
          <t>Dilution factor of the sample by optional addition of water (at the beginning) and addition of titrant during the experiment</t>
        </r>
      </text>
    </comment>
    <comment ref="I39" authorId="1" shapeId="0" xr:uid="{00000000-0006-0000-0300-000041000000}">
      <text>
        <r>
          <rPr>
            <b/>
            <sz val="8"/>
            <color indexed="81"/>
            <rFont val="Tahoma"/>
            <family val="2"/>
          </rPr>
          <t>Gutz:</t>
        </r>
        <r>
          <rPr>
            <sz val="8"/>
            <color indexed="81"/>
            <rFont val="Tahoma"/>
            <family val="2"/>
          </rPr>
          <t xml:space="preserve">
</t>
        </r>
        <r>
          <rPr>
            <sz val="10"/>
            <color indexed="81"/>
            <rFont val="Tahoma"/>
            <family val="2"/>
          </rPr>
          <t xml:space="preserve">Mean proton number, </t>
        </r>
        <r>
          <rPr>
            <strike/>
            <sz val="10"/>
            <color indexed="81"/>
            <rFont val="Tahoma"/>
            <family val="2"/>
          </rPr>
          <t>h</t>
        </r>
        <r>
          <rPr>
            <sz val="10"/>
            <color indexed="81"/>
            <rFont val="Tahoma"/>
            <family val="2"/>
          </rPr>
          <t xml:space="preserve">,  associated with a  base B at given pH. 
Consider HiB as partially dissociated at a given pH; </t>
        </r>
        <r>
          <rPr>
            <strike/>
            <sz val="10"/>
            <color indexed="81"/>
            <rFont val="Tahoma"/>
            <family val="2"/>
          </rPr>
          <t>h</t>
        </r>
        <r>
          <rPr>
            <sz val="10"/>
            <color indexed="81"/>
            <rFont val="Tahoma"/>
            <family val="2"/>
          </rPr>
          <t xml:space="preserve"> is the sum of the molar fraction times</t>
        </r>
        <r>
          <rPr>
            <b/>
            <sz val="10"/>
            <color indexed="81"/>
            <rFont val="Tahoma"/>
            <family val="2"/>
          </rPr>
          <t xml:space="preserve"> i</t>
        </r>
        <r>
          <rPr>
            <sz val="10"/>
            <color indexed="81"/>
            <rFont val="Tahoma"/>
            <family val="2"/>
          </rPr>
          <t xml:space="preserve"> of each species.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Gutz</author>
    <author>GPQAI-51</author>
    <author>Ivano Gebhardt Rolf Gutz</author>
    <author>gtz</author>
  </authors>
  <commentList>
    <comment ref="G1" authorId="0" shapeId="0" xr:uid="{00000000-0006-0000-0400-000001000000}">
      <text>
        <r>
          <rPr>
            <b/>
            <sz val="10"/>
            <color indexed="81"/>
            <rFont val="Tahoma"/>
            <family val="2"/>
          </rPr>
          <t xml:space="preserve"> "Hands on" the "Simulation of Titration Curves":</t>
        </r>
        <r>
          <rPr>
            <sz val="10"/>
            <color indexed="81"/>
            <rFont val="Tahoma"/>
            <family val="2"/>
          </rPr>
          <t xml:space="preserve">
Obs.: If you haven't learned how and for what acids and bases are titrated, perhaps you should have a look at the Wikipedia or go through a tutorial, e.g., http://www.chemguide.co.uk/physical/acidbaseeqia/phcurves.html and practice with the </t>
        </r>
        <r>
          <rPr>
            <b/>
            <sz val="10"/>
            <color indexed="81"/>
            <rFont val="Tahoma"/>
            <family val="2"/>
          </rPr>
          <t>Titration</t>
        </r>
        <r>
          <rPr>
            <sz val="10"/>
            <color indexed="81"/>
            <rFont val="Tahoma"/>
            <family val="2"/>
          </rPr>
          <t xml:space="preserve"> module first.
Always use the most recent version available at the author’s site http://www.iq.usp.br/gutz/Curtipot_.html, choosing between CurTiPot and CurTiPot option I – the same full program plus balloons with first steps for beginners.
-- Click on the button "Delete retained curves" (cell A34) - all but the last simulated curve will disappear;
- click on the button "Titrate with constant volume additions" (A30) -  the default titration of 20 mL of 0.07 mol/L H3PO4 with 0.1 mol/L NaOH will be generated  with 50 additions of 1 ml  of titrant;
- click on "Titrate with constant pH increments" (A27) -  notice the difference in data distribution;
- click on "Retain curve" (A33);
- alternate between "pH" and pH with buttons at cells A22 and A23 and observe the effect of considering/ignoring ionic interactions
- change the H3PO4 concentration in (C7), press Enter;
- titrate again and retain the curve;
- change pKa2 (cell M6) from 7.2 to 9.2 (Enter) and titrate;
- click on K2 or L2, select another acid; click on J2; 
...
- observe the effect of CO2 absorption by NaOH solution by writing 0.001 in D16;
- add other components to the mixture and titrate;
- add random experimental error to the curve filling values in cells J17 and J18 (e.g., 0.03 and 0.1);
- titrate a phosphate buffer of Na2HPO4 + NaH2PO4 with strong base, retain the curve and titrate it also with strong acid;
- if you have inserted real data in the Evaluation module, you can copy it (A37) and fit your simulated curves to it;
- use your imagination to continue...
</t>
        </r>
        <r>
          <rPr>
            <b/>
            <sz val="10"/>
            <color indexed="81"/>
            <rFont val="Tahoma"/>
            <family val="2"/>
          </rPr>
          <t>Remark</t>
        </r>
        <r>
          <rPr>
            <sz val="10"/>
            <color indexed="81"/>
            <rFont val="Tahoma"/>
            <family val="2"/>
          </rPr>
          <t>: This module of CurTiPot generates curves of "pH" vs. volume and pH vs. volume taking in account exclusively acid base equilibrium in aqueous solution; any other kind of chemical reaction is ignored. Read comments in cells B22, P15, O16 and O17 to distinguish "pH" from pH. 
The table starting at line 41 includes "pH" or pH (=-log activity of H</t>
        </r>
        <r>
          <rPr>
            <vertAlign val="superscript"/>
            <sz val="10"/>
            <color indexed="81"/>
            <rFont val="Tahoma"/>
            <family val="2"/>
          </rPr>
          <t>+</t>
        </r>
        <r>
          <rPr>
            <sz val="10"/>
            <color indexed="81"/>
            <rFont val="Tahoma"/>
            <family val="2"/>
          </rPr>
          <t>) in column B, as well as p[H] (=-log of the concentration of H</t>
        </r>
        <r>
          <rPr>
            <vertAlign val="superscript"/>
            <sz val="10"/>
            <color indexed="81"/>
            <rFont val="Tahoma"/>
            <family val="2"/>
          </rPr>
          <t>+</t>
        </r>
        <r>
          <rPr>
            <sz val="10"/>
            <color indexed="81"/>
            <rFont val="Tahoma"/>
            <family val="2"/>
          </rPr>
          <t xml:space="preserve">), in column V, besides the activity coefficient and the ionic strength.
Refer to the </t>
        </r>
        <r>
          <rPr>
            <b/>
            <sz val="10"/>
            <color indexed="81"/>
            <rFont val="Tahoma"/>
            <family val="2"/>
          </rPr>
          <t>pH_calc</t>
        </r>
        <r>
          <rPr>
            <sz val="10"/>
            <color indexed="81"/>
            <rFont val="Tahoma"/>
            <family val="2"/>
          </rPr>
          <t xml:space="preserve"> module for a more complete description of all equilibrium parameters at a given composition of a solution.
</t>
        </r>
        <r>
          <rPr>
            <b/>
            <sz val="10"/>
            <color indexed="81"/>
            <rFont val="Tahoma"/>
            <family val="2"/>
          </rPr>
          <t>Copyright</t>
        </r>
        <r>
          <rPr>
            <sz val="10"/>
            <color indexed="81"/>
            <rFont val="Tahoma"/>
            <family val="2"/>
          </rPr>
          <t>: This acid-base titration curve simulator is an expanded Excel version of the original Turbo Basic for DOS program CURTIPOT launched by the Author in 1992.
                 Prof. Dr.  Ivano G. R. Gutz
                  www2.iq.usp.br/docente/gutz</t>
        </r>
      </text>
    </comment>
    <comment ref="M1" authorId="0" shapeId="0" xr:uid="{00000000-0006-0000-0400-000002000000}">
      <text>
        <r>
          <rPr>
            <b/>
            <sz val="8"/>
            <color indexed="81"/>
            <rFont val="Tahoma"/>
            <family val="2"/>
          </rPr>
          <t>Gutz:</t>
        </r>
        <r>
          <rPr>
            <sz val="8"/>
            <color indexed="81"/>
            <rFont val="Tahoma"/>
            <family val="2"/>
          </rPr>
          <t xml:space="preserve">
</t>
        </r>
        <r>
          <rPr>
            <sz val="10"/>
            <color indexed="81"/>
            <rFont val="Tahoma"/>
            <family val="2"/>
          </rPr>
          <t xml:space="preserve">Selecting/editing names, charges and pKas. Options:
a) Write directly in the cells K3 to Q10 and R3 to T6; 
b) Click on names in line 2, slide along the list, click on another name; finally, click on J2 to load the constants from the </t>
        </r>
        <r>
          <rPr>
            <b/>
            <sz val="10"/>
            <color indexed="81"/>
            <rFont val="Tahoma"/>
            <family val="2"/>
          </rPr>
          <t>Database</t>
        </r>
        <r>
          <rPr>
            <sz val="10"/>
            <color indexed="81"/>
            <rFont val="Tahoma"/>
            <family val="2"/>
          </rPr>
          <t>.
Frequently used acids/bases missing in the Database can be added to it for further use.</t>
        </r>
      </text>
    </comment>
    <comment ref="S2" authorId="0" shapeId="0" xr:uid="{00000000-0006-0000-0400-000003000000}">
      <text>
        <r>
          <rPr>
            <b/>
            <sz val="8"/>
            <color indexed="81"/>
            <rFont val="Tahoma"/>
            <family val="2"/>
          </rPr>
          <t>Gutz:</t>
        </r>
        <r>
          <rPr>
            <sz val="8"/>
            <color indexed="81"/>
            <rFont val="Tahoma"/>
            <family val="2"/>
          </rPr>
          <t xml:space="preserve">
</t>
        </r>
        <r>
          <rPr>
            <sz val="10"/>
            <color indexed="81"/>
            <rFont val="Tahoma"/>
            <family val="2"/>
          </rPr>
          <t>The titrant may contain up to three diprotic reagents (other than the default ones).
Names and constants must be changed manually.</t>
        </r>
      </text>
    </comment>
    <comment ref="AF2" authorId="0" shapeId="0" xr:uid="{00000000-0006-0000-0400-000004000000}">
      <text>
        <r>
          <rPr>
            <b/>
            <sz val="8"/>
            <color indexed="81"/>
            <rFont val="Tahoma"/>
            <family val="2"/>
          </rPr>
          <t xml:space="preserve">Gutz: 
</t>
        </r>
        <r>
          <rPr>
            <sz val="10"/>
            <color indexed="81"/>
            <rFont val="Tahoma"/>
            <family val="2"/>
          </rPr>
          <t>The pKas shown here are copied automatically from the Database by changing K2 to Q2. 
See U5 to understand why 
pKa1 = -logKpn</t>
        </r>
      </text>
    </comment>
    <comment ref="A3" authorId="0" shapeId="0" xr:uid="{00000000-0006-0000-0400-000005000000}">
      <text>
        <r>
          <rPr>
            <b/>
            <sz val="8"/>
            <color indexed="81"/>
            <rFont val="Tahoma"/>
            <family val="2"/>
          </rPr>
          <t>Gutz:</t>
        </r>
        <r>
          <rPr>
            <sz val="8"/>
            <color indexed="81"/>
            <rFont val="Tahoma"/>
            <family val="2"/>
          </rPr>
          <t xml:space="preserve">
</t>
        </r>
        <r>
          <rPr>
            <sz val="10"/>
            <color indexed="81"/>
            <rFont val="Tahoma"/>
            <family val="2"/>
          </rPr>
          <t>The titrand is the sample to be evaluated by titration with a strong acid or strong base.
The concentrations entered in cells B4 to H10 refer to the sample before dilution with water, if cell G17&gt;0, but all calculated pHs and graphics take this dilution of the titrand in account. 
Typically, 5 to 25 mL of titrand (cell F17) are carefully measured and placed in a beaker, a combined glass electrode (connected to a pH meter) and a magnetic stirrer bar are introduced and water is added (cell G17) till the sensor and the reference electrode junction are immersed.
A titration is carried out by adding small aliquots of titrant (usually with a buret or motor driven syringe) and registering the pH after stabilization of the reading.</t>
        </r>
      </text>
    </comment>
    <comment ref="B3" authorId="0" shapeId="0" xr:uid="{00000000-0006-0000-0400-000006000000}">
      <text>
        <r>
          <rPr>
            <b/>
            <sz val="8"/>
            <color indexed="81"/>
            <rFont val="Tahoma"/>
            <family val="2"/>
          </rPr>
          <t>Gutz:</t>
        </r>
        <r>
          <rPr>
            <sz val="10"/>
            <color indexed="81"/>
            <rFont val="Tahoma"/>
            <family val="2"/>
          </rPr>
          <t xml:space="preserve">
See comment in cell M1 on how to change acids and bases.
Fill in (or leave blank) the concentrations in mol/L. The green underline identifies the cell of the base protonated to neutrality (e.g. H</t>
        </r>
        <r>
          <rPr>
            <vertAlign val="subscript"/>
            <sz val="12"/>
            <color indexed="81"/>
            <rFont val="Tahoma"/>
            <family val="2"/>
          </rPr>
          <t>3</t>
        </r>
        <r>
          <rPr>
            <sz val="10"/>
            <color indexed="81"/>
            <rFont val="Tahoma"/>
            <family val="2"/>
          </rPr>
          <t>PO</t>
        </r>
        <r>
          <rPr>
            <vertAlign val="subscript"/>
            <sz val="12"/>
            <color indexed="81"/>
            <rFont val="Tahoma"/>
            <family val="2"/>
          </rPr>
          <t>4</t>
        </r>
        <r>
          <rPr>
            <sz val="10"/>
            <color indexed="81"/>
            <rFont val="Tahoma"/>
            <family val="2"/>
          </rPr>
          <t xml:space="preserve"> for phosphate or H</t>
        </r>
        <r>
          <rPr>
            <vertAlign val="subscript"/>
            <sz val="12"/>
            <color indexed="81"/>
            <rFont val="Tahoma"/>
            <family val="2"/>
          </rPr>
          <t>4</t>
        </r>
        <r>
          <rPr>
            <sz val="10"/>
            <color indexed="81"/>
            <rFont val="Tahoma"/>
            <family val="2"/>
          </rPr>
          <t>EDTA for EDTA).</t>
        </r>
      </text>
    </comment>
    <comment ref="R3" authorId="0" shapeId="0" xr:uid="{00000000-0006-0000-0400-000007000000}">
      <text>
        <r>
          <rPr>
            <b/>
            <sz val="8"/>
            <color indexed="81"/>
            <rFont val="Tahoma"/>
            <family val="2"/>
          </rPr>
          <t>Gutz:</t>
        </r>
        <r>
          <rPr>
            <sz val="8"/>
            <color indexed="81"/>
            <rFont val="Tahoma"/>
            <family val="2"/>
          </rPr>
          <t xml:space="preserve">
</t>
        </r>
        <r>
          <rPr>
            <sz val="10"/>
            <color indexed="81"/>
            <rFont val="Tahoma"/>
            <family val="2"/>
          </rPr>
          <t>Strong acids like HCl or HClO</t>
        </r>
        <r>
          <rPr>
            <vertAlign val="subscript"/>
            <sz val="10"/>
            <color indexed="81"/>
            <rFont val="Tahoma"/>
            <family val="2"/>
          </rPr>
          <t>4</t>
        </r>
        <r>
          <rPr>
            <sz val="10"/>
            <color indexed="81"/>
            <rFont val="Tahoma"/>
            <family val="2"/>
          </rPr>
          <t xml:space="preserve"> have negative pKas, possibly -6 or lower.
For a diprotic titrant like H</t>
        </r>
        <r>
          <rPr>
            <vertAlign val="subscript"/>
            <sz val="12"/>
            <color indexed="81"/>
            <rFont val="Tahoma"/>
            <family val="2"/>
          </rPr>
          <t>2</t>
        </r>
        <r>
          <rPr>
            <sz val="10"/>
            <color indexed="81"/>
            <rFont val="Tahoma"/>
            <family val="2"/>
          </rPr>
          <t>SO</t>
        </r>
        <r>
          <rPr>
            <vertAlign val="subscript"/>
            <sz val="12"/>
            <color indexed="81"/>
            <rFont val="Tahoma"/>
            <family val="2"/>
          </rPr>
          <t>4</t>
        </r>
        <r>
          <rPr>
            <sz val="10"/>
            <color indexed="81"/>
            <rFont val="Tahoma"/>
            <family val="2"/>
          </rPr>
          <t>, use pKa1 = -6 and pKa2 = 1.8.
Any other mono- or biprotonable acid or base and its pKas can be written in this column.</t>
        </r>
      </text>
    </comment>
    <comment ref="S3" authorId="0" shapeId="0" xr:uid="{00000000-0006-0000-0400-000008000000}">
      <text>
        <r>
          <rPr>
            <b/>
            <sz val="8"/>
            <color indexed="81"/>
            <rFont val="Tahoma"/>
            <family val="2"/>
          </rPr>
          <t>Gutz:</t>
        </r>
        <r>
          <rPr>
            <sz val="8"/>
            <color indexed="81"/>
            <rFont val="Tahoma"/>
            <family val="2"/>
          </rPr>
          <t xml:space="preserve">
</t>
        </r>
        <r>
          <rPr>
            <sz val="10"/>
            <color indexed="81"/>
            <rFont val="Tahoma"/>
            <family val="2"/>
          </rPr>
          <t>The accepted value of the pKa (=log Kp) of the strong base  OH- is 15,745 at 25ºC and infinite dilution. As I increases, the activity coefficient of OH- decreases (as can be checked with module pH_calc), and more specific interaction can occur with cations, so that lower values are sometimes mentioned in the literature (see references in the Database for details).
Any other mono- or biprotonable acid or base and its pKas can be written in this column.</t>
        </r>
      </text>
    </comment>
    <comment ref="T3" authorId="0" shapeId="0" xr:uid="{00000000-0006-0000-0400-000009000000}">
      <text>
        <r>
          <rPr>
            <b/>
            <sz val="8"/>
            <color indexed="81"/>
            <rFont val="Tahoma"/>
            <family val="2"/>
          </rPr>
          <t>Gutz:</t>
        </r>
        <r>
          <rPr>
            <sz val="8"/>
            <color indexed="81"/>
            <rFont val="Tahoma"/>
            <family val="2"/>
          </rPr>
          <t xml:space="preserve">
</t>
        </r>
        <r>
          <rPr>
            <sz val="10"/>
            <color indexed="81"/>
            <rFont val="Tahoma"/>
            <family val="2"/>
          </rPr>
          <t>H</t>
        </r>
        <r>
          <rPr>
            <vertAlign val="subscript"/>
            <sz val="10"/>
            <color indexed="81"/>
            <rFont val="Tahoma"/>
            <family val="2"/>
          </rPr>
          <t>2</t>
        </r>
        <r>
          <rPr>
            <sz val="10"/>
            <color indexed="81"/>
            <rFont val="Tahoma"/>
            <family val="2"/>
          </rPr>
          <t>CO</t>
        </r>
        <r>
          <rPr>
            <vertAlign val="subscript"/>
            <sz val="10"/>
            <color indexed="81"/>
            <rFont val="Tahoma"/>
            <family val="2"/>
          </rPr>
          <t>3</t>
        </r>
        <r>
          <rPr>
            <sz val="10"/>
            <color indexed="81"/>
            <rFont val="Tahoma"/>
            <family val="2"/>
          </rPr>
          <t xml:space="preserve"> charge=-2; pKa1=6,352; pKa2=10,329</t>
        </r>
        <r>
          <rPr>
            <sz val="8"/>
            <color indexed="81"/>
            <rFont val="Tahoma"/>
            <family val="2"/>
          </rPr>
          <t xml:space="preserve">
</t>
        </r>
        <r>
          <rPr>
            <sz val="10"/>
            <color indexed="81"/>
            <rFont val="Tahoma"/>
            <family val="2"/>
          </rPr>
          <t>Aqueous solutions exposed to air or stored in plastic flasks (gas permeable) are always contaminated with CO</t>
        </r>
        <r>
          <rPr>
            <vertAlign val="subscript"/>
            <sz val="12"/>
            <color indexed="81"/>
            <rFont val="Tahoma"/>
            <family val="2"/>
          </rPr>
          <t>2</t>
        </r>
        <r>
          <rPr>
            <sz val="10"/>
            <color indexed="81"/>
            <rFont val="Tahoma"/>
            <family val="2"/>
          </rPr>
          <t>. Thus, it is advisable to include the carbonic acid system in simulations and regressions. But any other mono- or diprotic system can be specified here.
The pKa</t>
        </r>
        <r>
          <rPr>
            <vertAlign val="subscript"/>
            <sz val="12"/>
            <color indexed="81"/>
            <rFont val="Tahoma"/>
            <family val="2"/>
          </rPr>
          <t>1</t>
        </r>
        <r>
          <rPr>
            <sz val="10"/>
            <color indexed="81"/>
            <rFont val="Tahoma"/>
            <family val="2"/>
          </rPr>
          <t xml:space="preserve"> from the Database for H2CO3 is apparent. By considering the fraction of dissolved CO</t>
        </r>
        <r>
          <rPr>
            <vertAlign val="subscript"/>
            <sz val="12"/>
            <color indexed="81"/>
            <rFont val="Tahoma"/>
            <family val="2"/>
          </rPr>
          <t>2</t>
        </r>
        <r>
          <rPr>
            <sz val="10"/>
            <color indexed="81"/>
            <rFont val="Tahoma"/>
            <family val="2"/>
          </rPr>
          <t xml:space="preserve">  converted in H</t>
        </r>
        <r>
          <rPr>
            <vertAlign val="subscript"/>
            <sz val="12"/>
            <color indexed="81"/>
            <rFont val="Tahoma"/>
            <family val="2"/>
          </rPr>
          <t>2</t>
        </r>
        <r>
          <rPr>
            <sz val="10"/>
            <color indexed="81"/>
            <rFont val="Tahoma"/>
            <family val="2"/>
          </rPr>
          <t>CO</t>
        </r>
        <r>
          <rPr>
            <vertAlign val="subscript"/>
            <sz val="12"/>
            <color indexed="81"/>
            <rFont val="Tahoma"/>
            <family val="2"/>
          </rPr>
          <t>3</t>
        </r>
        <r>
          <rPr>
            <sz val="10"/>
            <color indexed="81"/>
            <rFont val="Tahoma"/>
            <family val="2"/>
          </rPr>
          <t xml:space="preserve"> (most of it remains as CO</t>
        </r>
        <r>
          <rPr>
            <vertAlign val="subscript"/>
            <sz val="12"/>
            <color indexed="81"/>
            <rFont val="Tahoma"/>
            <family val="2"/>
          </rPr>
          <t>2</t>
        </r>
        <r>
          <rPr>
            <sz val="10"/>
            <color indexed="81"/>
            <rFont val="Tahoma"/>
            <family val="2"/>
          </rPr>
          <t>(aq)) a "true" pKa1 of 3.58 is found.</t>
        </r>
      </text>
    </comment>
    <comment ref="A4" authorId="0" shapeId="0" xr:uid="{00000000-0006-0000-0400-00000A000000}">
      <text>
        <r>
          <rPr>
            <b/>
            <sz val="8"/>
            <color indexed="81"/>
            <rFont val="Tahoma"/>
            <family val="2"/>
          </rPr>
          <t xml:space="preserve">Gutz: 
</t>
        </r>
        <r>
          <rPr>
            <sz val="10"/>
            <color indexed="81"/>
            <rFont val="Tahoma"/>
            <family val="2"/>
          </rPr>
          <t>Leave blank/fill out with the concentration (mol/L) of fully deprotonated base (of a conjugated acid) added to the solution, e.g.: [Na</t>
        </r>
        <r>
          <rPr>
            <vertAlign val="subscript"/>
            <sz val="10"/>
            <color indexed="81"/>
            <rFont val="Tahoma"/>
            <family val="2"/>
          </rPr>
          <t>2</t>
        </r>
        <r>
          <rPr>
            <sz val="10"/>
            <color indexed="81"/>
            <rFont val="Tahoma"/>
            <family val="2"/>
          </rPr>
          <t>CO</t>
        </r>
        <r>
          <rPr>
            <vertAlign val="subscript"/>
            <sz val="10"/>
            <color indexed="81"/>
            <rFont val="Tahoma"/>
            <family val="2"/>
          </rPr>
          <t>3</t>
        </r>
        <r>
          <rPr>
            <sz val="10"/>
            <color indexed="81"/>
            <rFont val="Tahoma"/>
            <family val="2"/>
          </rPr>
          <t>], [Na</t>
        </r>
        <r>
          <rPr>
            <vertAlign val="subscript"/>
            <sz val="10"/>
            <color indexed="81"/>
            <rFont val="Tahoma"/>
            <family val="2"/>
          </rPr>
          <t>3</t>
        </r>
        <r>
          <rPr>
            <sz val="10"/>
            <color indexed="81"/>
            <rFont val="Tahoma"/>
            <family val="2"/>
          </rPr>
          <t>PO</t>
        </r>
        <r>
          <rPr>
            <vertAlign val="subscript"/>
            <sz val="10"/>
            <color indexed="81"/>
            <rFont val="Tahoma"/>
            <family val="2"/>
          </rPr>
          <t>4</t>
        </r>
        <r>
          <rPr>
            <sz val="10"/>
            <color indexed="81"/>
            <rFont val="Tahoma"/>
            <family val="2"/>
          </rPr>
          <t>], [NH</t>
        </r>
        <r>
          <rPr>
            <vertAlign val="subscript"/>
            <sz val="10"/>
            <color indexed="81"/>
            <rFont val="Tahoma"/>
            <family val="2"/>
          </rPr>
          <t>4</t>
        </r>
        <r>
          <rPr>
            <sz val="10"/>
            <color indexed="81"/>
            <rFont val="Tahoma"/>
            <family val="2"/>
          </rPr>
          <t>OH], [pyridine] or [Na</t>
        </r>
        <r>
          <rPr>
            <vertAlign val="subscript"/>
            <sz val="10"/>
            <color indexed="81"/>
            <rFont val="Tahoma"/>
            <family val="2"/>
          </rPr>
          <t>4</t>
        </r>
        <r>
          <rPr>
            <sz val="10"/>
            <color indexed="81"/>
            <rFont val="Tahoma"/>
            <family val="2"/>
          </rPr>
          <t>EDTA].
The green underline indicates the cell of the base protonated to neutrality.</t>
        </r>
      </text>
    </comment>
    <comment ref="J4" authorId="0" shapeId="0" xr:uid="{00000000-0006-0000-0400-00000B000000}">
      <text>
        <r>
          <rPr>
            <b/>
            <sz val="8"/>
            <color indexed="81"/>
            <rFont val="Tahoma"/>
            <family val="2"/>
          </rPr>
          <t xml:space="preserve">Gutz: 
</t>
        </r>
        <r>
          <rPr>
            <sz val="10"/>
            <color indexed="81"/>
            <rFont val="Tahoma"/>
            <family val="2"/>
          </rPr>
          <t>Charge of the most deprotonated species of an acid or base in accordance with the highest pKa for the system, e.g., 
 0 for NH3 or pyridine
-1 for acetate/acetic acid
-2 for carbonate//carbonic acid
-3 for phosphate///phosphoric acid 
-4 for EDTA</t>
        </r>
      </text>
    </comment>
    <comment ref="A5" authorId="0" shapeId="0" xr:uid="{00000000-0006-0000-0400-00000C000000}">
      <text>
        <r>
          <rPr>
            <b/>
            <sz val="8"/>
            <color indexed="81"/>
            <rFont val="Tahoma"/>
            <family val="2"/>
          </rPr>
          <t>Gutz:</t>
        </r>
        <r>
          <rPr>
            <sz val="8"/>
            <color indexed="81"/>
            <rFont val="Tahoma"/>
            <family val="2"/>
          </rPr>
          <t xml:space="preserve">
</t>
        </r>
        <r>
          <rPr>
            <sz val="10"/>
            <color indexed="81"/>
            <rFont val="Tahoma"/>
            <family val="2"/>
          </rPr>
          <t>Leave blank</t>
        </r>
        <r>
          <rPr>
            <b/>
            <sz val="10"/>
            <color indexed="81"/>
            <rFont val="Tahoma"/>
            <family val="2"/>
          </rPr>
          <t>/</t>
        </r>
        <r>
          <rPr>
            <sz val="10"/>
            <color indexed="81"/>
            <rFont val="Tahoma"/>
            <family val="2"/>
          </rPr>
          <t>fill out with the concentration (mol/L) of monoprotonated base (or acid, HB) to be considered in the simulation, e.g.: [Acetic acid], [NH</t>
        </r>
        <r>
          <rPr>
            <vertAlign val="subscript"/>
            <sz val="10"/>
            <color indexed="81"/>
            <rFont val="Tahoma"/>
            <family val="2"/>
          </rPr>
          <t>4</t>
        </r>
        <r>
          <rPr>
            <vertAlign val="superscript"/>
            <sz val="10"/>
            <color indexed="81"/>
            <rFont val="Tahoma"/>
            <family val="2"/>
          </rPr>
          <t>+</t>
        </r>
        <r>
          <rPr>
            <sz val="10"/>
            <color indexed="81"/>
            <rFont val="Tahoma"/>
            <family val="2"/>
          </rPr>
          <t>], [pyridonium], [NaHCO</t>
        </r>
        <r>
          <rPr>
            <vertAlign val="subscript"/>
            <sz val="10"/>
            <color indexed="81"/>
            <rFont val="Tahoma"/>
            <family val="2"/>
          </rPr>
          <t>3</t>
        </r>
        <r>
          <rPr>
            <sz val="10"/>
            <color indexed="81"/>
            <rFont val="Tahoma"/>
            <family val="2"/>
          </rPr>
          <t>] or [Na</t>
        </r>
        <r>
          <rPr>
            <vertAlign val="subscript"/>
            <sz val="10"/>
            <color indexed="81"/>
            <rFont val="Tahoma"/>
            <family val="2"/>
          </rPr>
          <t>2</t>
        </r>
        <r>
          <rPr>
            <sz val="10"/>
            <color indexed="81"/>
            <rFont val="Tahoma"/>
            <family val="2"/>
          </rPr>
          <t>HPO</t>
        </r>
        <r>
          <rPr>
            <vertAlign val="subscript"/>
            <sz val="10"/>
            <color indexed="81"/>
            <rFont val="Tahoma"/>
            <family val="2"/>
          </rPr>
          <t>4</t>
        </r>
        <r>
          <rPr>
            <sz val="10"/>
            <color indexed="81"/>
            <rFont val="Tahoma"/>
            <family val="2"/>
          </rPr>
          <t>]</t>
        </r>
      </text>
    </comment>
    <comment ref="J5" authorId="0" shapeId="0" xr:uid="{00000000-0006-0000-0400-00000D000000}">
      <text>
        <r>
          <rPr>
            <b/>
            <sz val="8"/>
            <color indexed="81"/>
            <rFont val="Tahoma"/>
            <family val="2"/>
          </rPr>
          <t xml:space="preserve">Gutz: 
</t>
        </r>
        <r>
          <rPr>
            <sz val="10"/>
            <color indexed="81"/>
            <rFont val="Tahoma"/>
            <family val="2"/>
          </rPr>
          <t>Options:
a) pKa</t>
        </r>
        <r>
          <rPr>
            <vertAlign val="subscript"/>
            <sz val="12"/>
            <color indexed="81"/>
            <rFont val="Tahoma"/>
            <family val="2"/>
          </rPr>
          <t>1</t>
        </r>
        <r>
          <rPr>
            <sz val="10"/>
            <color indexed="81"/>
            <rFont val="Tahoma"/>
            <family val="2"/>
          </rPr>
          <t xml:space="preserve"> , -logarithm of the dissociation constant of a monoprotic acid or first constant for a polyprotic system.
b) logKp</t>
        </r>
        <r>
          <rPr>
            <vertAlign val="subscript"/>
            <sz val="12"/>
            <color indexed="81"/>
            <rFont val="Tahoma"/>
            <family val="2"/>
          </rPr>
          <t>i,</t>
        </r>
        <r>
          <rPr>
            <sz val="10"/>
            <color indexed="81"/>
            <rFont val="Tahoma"/>
            <family val="2"/>
          </rPr>
          <t xml:space="preserve"> logarithm of the protonation constant of a (conjugated) base, with i=1 for a monoprotonable base and i= n (most deprotonated species) for polyprotic systems (more about at U5);
c) pK</t>
        </r>
        <r>
          <rPr>
            <vertAlign val="subscript"/>
            <sz val="12"/>
            <color indexed="81"/>
            <rFont val="Tahoma"/>
            <family val="2"/>
          </rPr>
          <t>w</t>
        </r>
        <r>
          <rPr>
            <sz val="10"/>
            <color indexed="81"/>
            <rFont val="Tahoma"/>
            <family val="2"/>
          </rPr>
          <t xml:space="preserve"> - pKb</t>
        </r>
        <r>
          <rPr>
            <vertAlign val="subscript"/>
            <sz val="12"/>
            <color indexed="81"/>
            <rFont val="Tahoma"/>
            <family val="2"/>
          </rPr>
          <t>i</t>
        </r>
        <r>
          <rPr>
            <sz val="10"/>
            <color indexed="81"/>
            <rFont val="Tahoma"/>
            <family val="2"/>
          </rPr>
          <t>, for -log of the dissociation constant  of a base, with i=1 for a monoprotonable base and i= n (most deprotonated species) for polyprotonable base.
Numerically, values of a, b e c are taken as similar.</t>
        </r>
      </text>
    </comment>
    <comment ref="U5" authorId="0" shapeId="0" xr:uid="{00000000-0006-0000-0400-00000E000000}">
      <text>
        <r>
          <rPr>
            <b/>
            <sz val="8"/>
            <color indexed="81"/>
            <rFont val="Tahoma"/>
            <family val="2"/>
          </rPr>
          <t>Gutz:</t>
        </r>
        <r>
          <rPr>
            <sz val="8"/>
            <color indexed="81"/>
            <rFont val="Tahoma"/>
            <family val="2"/>
          </rPr>
          <t xml:space="preserve">
</t>
        </r>
        <r>
          <rPr>
            <sz val="10"/>
            <color indexed="81"/>
            <rFont val="Tahoma"/>
            <family val="2"/>
          </rPr>
          <t>The betas are cumulative (or global) protonation constants, obtained by multiplying the protonation constants Kp from 1 to i, with i stepping up to n, the maximum number of protons accepted by a (conjugated) base (same as the maximum number of dissociable protons of an acid, but in reversed order).
Note that pKa = logKp for a monoprotic acid (because Kp = 1/Kd or pKd = 1/logKd ) and, for multiprotic systems, the first logKp is the last pKa.
Protonation constants, Kp, and betas are preferred here in agreement with the most extensive compilations of equilibrium constants, e.g., Critical Stability Constants, Vol. 1–4 (complete references in the Database), and because the equations become unified with those used for metal-ligand-proton equilibria, based on formation (instead of dissociation) constants.</t>
        </r>
      </text>
    </comment>
    <comment ref="AF5" authorId="0" shapeId="0" xr:uid="{00000000-0006-0000-0400-00000F000000}">
      <text>
        <r>
          <rPr>
            <b/>
            <sz val="8"/>
            <color indexed="81"/>
            <rFont val="Tahoma"/>
            <family val="2"/>
          </rPr>
          <t>Gutz:</t>
        </r>
        <r>
          <rPr>
            <sz val="8"/>
            <color indexed="81"/>
            <rFont val="Tahoma"/>
            <family val="2"/>
          </rPr>
          <t xml:space="preserve">
</t>
        </r>
        <r>
          <rPr>
            <sz val="10"/>
            <color indexed="81"/>
            <rFont val="Tahoma"/>
            <family val="2"/>
          </rPr>
          <t>See U5 to understand why pKa1 = logKpn</t>
        </r>
      </text>
    </comment>
    <comment ref="A6" authorId="0" shapeId="0" xr:uid="{00000000-0006-0000-0400-000010000000}">
      <text>
        <r>
          <rPr>
            <b/>
            <sz val="8"/>
            <color indexed="81"/>
            <rFont val="Tahoma"/>
            <family val="2"/>
          </rPr>
          <t xml:space="preserve">Gutz: 
</t>
        </r>
        <r>
          <rPr>
            <sz val="10"/>
            <color indexed="81"/>
            <rFont val="Tahoma"/>
            <family val="2"/>
          </rPr>
          <t>Leave blank</t>
        </r>
        <r>
          <rPr>
            <b/>
            <sz val="10"/>
            <color indexed="81"/>
            <rFont val="Tahoma"/>
            <family val="2"/>
          </rPr>
          <t>/</t>
        </r>
        <r>
          <rPr>
            <sz val="10"/>
            <color indexed="81"/>
            <rFont val="Tahoma"/>
            <family val="2"/>
          </rPr>
          <t>fill out with the concentration (mol/L) of biprotonated base (H</t>
        </r>
        <r>
          <rPr>
            <vertAlign val="subscript"/>
            <sz val="10"/>
            <color indexed="81"/>
            <rFont val="Tahoma"/>
            <family val="2"/>
          </rPr>
          <t>2</t>
        </r>
        <r>
          <rPr>
            <sz val="10"/>
            <color indexed="81"/>
            <rFont val="Tahoma"/>
            <family val="2"/>
          </rPr>
          <t>B) to be considered in the simulation, e.g.:  [H</t>
        </r>
        <r>
          <rPr>
            <vertAlign val="subscript"/>
            <sz val="10"/>
            <color indexed="81"/>
            <rFont val="Tahoma"/>
            <family val="2"/>
          </rPr>
          <t>2</t>
        </r>
        <r>
          <rPr>
            <sz val="10"/>
            <color indexed="81"/>
            <rFont val="Tahoma"/>
            <family val="2"/>
          </rPr>
          <t>CO</t>
        </r>
        <r>
          <rPr>
            <vertAlign val="subscript"/>
            <sz val="10"/>
            <color indexed="81"/>
            <rFont val="Tahoma"/>
            <family val="2"/>
          </rPr>
          <t>3</t>
        </r>
        <r>
          <rPr>
            <sz val="10"/>
            <color indexed="81"/>
            <rFont val="Tahoma"/>
            <family val="2"/>
          </rPr>
          <t>],  [H</t>
        </r>
        <r>
          <rPr>
            <vertAlign val="subscript"/>
            <sz val="10"/>
            <color indexed="81"/>
            <rFont val="Tahoma"/>
            <family val="2"/>
          </rPr>
          <t>2</t>
        </r>
        <r>
          <rPr>
            <sz val="10"/>
            <color indexed="81"/>
            <rFont val="Tahoma"/>
            <family val="2"/>
          </rPr>
          <t>Na</t>
        </r>
        <r>
          <rPr>
            <vertAlign val="subscript"/>
            <sz val="10"/>
            <color indexed="81"/>
            <rFont val="Tahoma"/>
            <family val="2"/>
          </rPr>
          <t>2</t>
        </r>
        <r>
          <rPr>
            <sz val="10"/>
            <color indexed="81"/>
            <rFont val="Tahoma"/>
            <family val="2"/>
          </rPr>
          <t>EDTA] or [NaH</t>
        </r>
        <r>
          <rPr>
            <vertAlign val="subscript"/>
            <sz val="10"/>
            <color indexed="81"/>
            <rFont val="Tahoma"/>
            <family val="2"/>
          </rPr>
          <t>2</t>
        </r>
        <r>
          <rPr>
            <sz val="10"/>
            <color indexed="81"/>
            <rFont val="Tahoma"/>
            <family val="2"/>
          </rPr>
          <t>PO</t>
        </r>
        <r>
          <rPr>
            <vertAlign val="subscript"/>
            <sz val="10"/>
            <color indexed="81"/>
            <rFont val="Tahoma"/>
            <family val="2"/>
          </rPr>
          <t>4</t>
        </r>
        <r>
          <rPr>
            <sz val="10"/>
            <color indexed="81"/>
            <rFont val="Tahoma"/>
            <family val="2"/>
          </rPr>
          <t>]</t>
        </r>
      </text>
    </comment>
    <comment ref="J6" authorId="0" shapeId="0" xr:uid="{00000000-0006-0000-0400-000011000000}">
      <text>
        <r>
          <rPr>
            <b/>
            <sz val="8"/>
            <color indexed="81"/>
            <rFont val="Tahoma"/>
            <family val="2"/>
          </rPr>
          <t xml:space="preserve">Gutz: 
</t>
        </r>
        <r>
          <rPr>
            <sz val="10"/>
            <color indexed="81"/>
            <rFont val="Tahoma"/>
            <family val="2"/>
          </rPr>
          <t>Options:
a) pKa</t>
        </r>
        <r>
          <rPr>
            <vertAlign val="subscript"/>
            <sz val="12"/>
            <color indexed="81"/>
            <rFont val="Tahoma"/>
            <family val="2"/>
          </rPr>
          <t>2</t>
        </r>
        <r>
          <rPr>
            <sz val="10"/>
            <color indexed="81"/>
            <rFont val="Tahoma"/>
            <family val="2"/>
          </rPr>
          <t xml:space="preserve"> , -log of the 2</t>
        </r>
        <r>
          <rPr>
            <vertAlign val="superscript"/>
            <sz val="12"/>
            <color indexed="81"/>
            <rFont val="Tahoma"/>
            <family val="2"/>
          </rPr>
          <t>nd</t>
        </r>
        <r>
          <rPr>
            <sz val="10"/>
            <color indexed="81"/>
            <rFont val="Tahoma"/>
            <family val="2"/>
          </rPr>
          <t xml:space="preserve"> dissociation constant of a diprotic or polyprotic acid; 
b) logKp</t>
        </r>
        <r>
          <rPr>
            <vertAlign val="subscript"/>
            <sz val="12"/>
            <color indexed="81"/>
            <rFont val="Tahoma"/>
            <family val="2"/>
          </rPr>
          <t>i,</t>
        </r>
        <r>
          <rPr>
            <sz val="10"/>
            <color indexed="81"/>
            <rFont val="Tahoma"/>
            <family val="2"/>
          </rPr>
          <t xml:space="preserve"> log of the first protonation constant of a diprotonable (conjugated) base or i=n-1 for a system with n protonations;
c) pK</t>
        </r>
        <r>
          <rPr>
            <vertAlign val="subscript"/>
            <sz val="12"/>
            <color indexed="81"/>
            <rFont val="Tahoma"/>
            <family val="2"/>
          </rPr>
          <t>w</t>
        </r>
        <r>
          <rPr>
            <sz val="10"/>
            <color indexed="81"/>
            <rFont val="Tahoma"/>
            <family val="2"/>
          </rPr>
          <t xml:space="preserve"> - pKb</t>
        </r>
        <r>
          <rPr>
            <vertAlign val="subscript"/>
            <sz val="12"/>
            <color indexed="81"/>
            <rFont val="Tahoma"/>
            <family val="2"/>
          </rPr>
          <t>i</t>
        </r>
        <r>
          <rPr>
            <sz val="10"/>
            <color indexed="81"/>
            <rFont val="Tahoma"/>
            <family val="2"/>
          </rPr>
          <t xml:space="preserve"> with i=1 for a diprotonable base or i=n-1 for a base with n protonations; for a monoprotonable base, leave blank.</t>
        </r>
      </text>
    </comment>
    <comment ref="A7" authorId="0" shapeId="0" xr:uid="{00000000-0006-0000-0400-000012000000}">
      <text>
        <r>
          <rPr>
            <b/>
            <sz val="8"/>
            <color indexed="81"/>
            <rFont val="Tahoma"/>
            <family val="2"/>
          </rPr>
          <t>Gutz:</t>
        </r>
        <r>
          <rPr>
            <sz val="8"/>
            <color indexed="81"/>
            <rFont val="Tahoma"/>
            <family val="2"/>
          </rPr>
          <t xml:space="preserve">
</t>
        </r>
        <r>
          <rPr>
            <sz val="10"/>
            <color indexed="81"/>
            <rFont val="Tahoma"/>
            <family val="2"/>
          </rPr>
          <t>Leave blank</t>
        </r>
        <r>
          <rPr>
            <b/>
            <sz val="10"/>
            <color indexed="81"/>
            <rFont val="Tahoma"/>
            <family val="2"/>
          </rPr>
          <t>/</t>
        </r>
        <r>
          <rPr>
            <sz val="10"/>
            <color indexed="81"/>
            <rFont val="Tahoma"/>
            <family val="2"/>
          </rPr>
          <t>fill out with the concentration (mol/L) of  triprotonated base (H</t>
        </r>
        <r>
          <rPr>
            <vertAlign val="subscript"/>
            <sz val="10"/>
            <color indexed="81"/>
            <rFont val="Tahoma"/>
            <family val="2"/>
          </rPr>
          <t>3</t>
        </r>
        <r>
          <rPr>
            <sz val="10"/>
            <color indexed="81"/>
            <rFont val="Tahoma"/>
            <family val="2"/>
          </rPr>
          <t>B) to be considered in the simulation, e.g.:  [H</t>
        </r>
        <r>
          <rPr>
            <vertAlign val="subscript"/>
            <sz val="10"/>
            <color indexed="81"/>
            <rFont val="Tahoma"/>
            <family val="2"/>
          </rPr>
          <t>3</t>
        </r>
        <r>
          <rPr>
            <sz val="10"/>
            <color indexed="81"/>
            <rFont val="Tahoma"/>
            <family val="2"/>
          </rPr>
          <t>PO4]</t>
        </r>
      </text>
    </comment>
    <comment ref="A8" authorId="1" shapeId="0" xr:uid="{00000000-0006-0000-0400-000013000000}">
      <text>
        <r>
          <rPr>
            <b/>
            <sz val="8"/>
            <color indexed="81"/>
            <rFont val="Tahoma"/>
            <family val="2"/>
          </rPr>
          <t>GPQAI-51:</t>
        </r>
        <r>
          <rPr>
            <sz val="8"/>
            <color indexed="81"/>
            <rFont val="Tahoma"/>
            <family val="2"/>
          </rPr>
          <t xml:space="preserve">
</t>
        </r>
        <r>
          <rPr>
            <sz val="10"/>
            <color indexed="81"/>
            <rFont val="Tahoma"/>
            <family val="2"/>
          </rPr>
          <t>[H</t>
        </r>
        <r>
          <rPr>
            <vertAlign val="subscript"/>
            <sz val="12"/>
            <color indexed="81"/>
            <rFont val="Tahoma"/>
            <family val="2"/>
          </rPr>
          <t>4</t>
        </r>
        <r>
          <rPr>
            <sz val="10"/>
            <color indexed="81"/>
            <rFont val="Tahoma"/>
            <family val="2"/>
          </rPr>
          <t>EDTA] is green undelined because tetraprotonated EDTA is neutral.</t>
        </r>
      </text>
    </comment>
    <comment ref="A11" authorId="0" shapeId="0" xr:uid="{00000000-0006-0000-0400-000014000000}">
      <text>
        <r>
          <rPr>
            <b/>
            <sz val="8"/>
            <color indexed="81"/>
            <rFont val="Tahoma"/>
            <family val="2"/>
          </rPr>
          <t>Gutz:</t>
        </r>
        <r>
          <rPr>
            <sz val="8"/>
            <color indexed="81"/>
            <rFont val="Tahoma"/>
            <family val="2"/>
          </rPr>
          <t xml:space="preserve">
</t>
        </r>
        <r>
          <rPr>
            <sz val="10"/>
            <color indexed="81"/>
            <rFont val="Tahoma"/>
            <family val="2"/>
          </rPr>
          <t>Sum of concentrations of all forms of base B introduced in the titrand (e.g., [HB] + [H</t>
        </r>
        <r>
          <rPr>
            <vertAlign val="subscript"/>
            <sz val="10"/>
            <color indexed="81"/>
            <rFont val="Tahoma"/>
            <family val="2"/>
          </rPr>
          <t>2</t>
        </r>
        <r>
          <rPr>
            <sz val="10"/>
            <color indexed="81"/>
            <rFont val="Tahoma"/>
            <family val="2"/>
          </rPr>
          <t>B] + [H</t>
        </r>
        <r>
          <rPr>
            <vertAlign val="subscript"/>
            <sz val="10"/>
            <color indexed="81"/>
            <rFont val="Tahoma"/>
            <family val="2"/>
          </rPr>
          <t>3</t>
        </r>
        <r>
          <rPr>
            <sz val="10"/>
            <color indexed="81"/>
            <rFont val="Tahoma"/>
            <family val="2"/>
          </rPr>
          <t xml:space="preserve">B]) </t>
        </r>
      </text>
    </comment>
    <comment ref="B11" authorId="2" shapeId="0" xr:uid="{00000000-0006-0000-0400-000015000000}">
      <text>
        <r>
          <rPr>
            <b/>
            <sz val="8"/>
            <color indexed="81"/>
            <rFont val="Tahoma"/>
            <family val="2"/>
          </rPr>
          <t>Gutz</t>
        </r>
        <r>
          <rPr>
            <b/>
            <sz val="8"/>
            <color indexed="81"/>
            <rFont val="Tahoma"/>
            <family val="2"/>
          </rPr>
          <t>:</t>
        </r>
        <r>
          <rPr>
            <sz val="8"/>
            <color indexed="81"/>
            <rFont val="Tahoma"/>
            <family val="2"/>
          </rPr>
          <t xml:space="preserve">
</t>
        </r>
        <r>
          <rPr>
            <sz val="10"/>
            <color indexed="81"/>
            <rFont val="Tahoma"/>
            <family val="2"/>
          </rPr>
          <t>Do NOT write in this cell or any other one of the same color, not to corrupt  the equations.</t>
        </r>
      </text>
    </comment>
    <comment ref="I11" authorId="0" shapeId="0" xr:uid="{00000000-0006-0000-0400-000016000000}">
      <text>
        <r>
          <rPr>
            <b/>
            <sz val="8"/>
            <color indexed="81"/>
            <rFont val="Tahoma"/>
            <family val="2"/>
          </rPr>
          <t>Gutz:</t>
        </r>
        <r>
          <rPr>
            <sz val="8"/>
            <color indexed="81"/>
            <rFont val="Tahoma"/>
            <family val="2"/>
          </rPr>
          <t xml:space="preserve">
</t>
        </r>
        <r>
          <rPr>
            <sz val="10"/>
            <color indexed="81"/>
            <rFont val="Tahoma"/>
            <family val="2"/>
          </rPr>
          <t>Total concentration of each base (regardless of the protonation level of the added component) in columns B to H; grand total in column I.</t>
        </r>
      </text>
    </comment>
    <comment ref="J11" authorId="0" shapeId="0" xr:uid="{00000000-0006-0000-0400-000017000000}">
      <text>
        <r>
          <rPr>
            <b/>
            <sz val="8"/>
            <color indexed="81"/>
            <rFont val="Tahoma"/>
            <family val="2"/>
          </rPr>
          <t>Gutz:</t>
        </r>
        <r>
          <rPr>
            <sz val="8"/>
            <color indexed="81"/>
            <rFont val="Tahoma"/>
            <family val="2"/>
          </rPr>
          <t xml:space="preserve">
</t>
        </r>
        <r>
          <rPr>
            <sz val="10"/>
            <color indexed="81"/>
            <rFont val="Tahoma"/>
            <family val="2"/>
          </rPr>
          <t>The ionic dissociation product of water changes with temperature and ionic strength, I. For pure water at 25ºC, the accepted value is 13.997 (or 14.00). 
Values corrected for I can be calculated with module pH_calc.</t>
        </r>
      </text>
    </comment>
    <comment ref="A12" authorId="0" shapeId="0" xr:uid="{00000000-0006-0000-0400-000018000000}">
      <text>
        <r>
          <rPr>
            <b/>
            <sz val="8"/>
            <color indexed="81"/>
            <rFont val="Tahoma"/>
            <family val="2"/>
          </rPr>
          <t>Gutz:</t>
        </r>
        <r>
          <rPr>
            <sz val="8"/>
            <color indexed="81"/>
            <rFont val="Tahoma"/>
            <family val="2"/>
          </rPr>
          <t xml:space="preserve">
</t>
        </r>
        <r>
          <rPr>
            <sz val="10"/>
            <color indexed="81"/>
            <rFont val="Tahoma"/>
            <family val="2"/>
          </rPr>
          <t>Maximum H</t>
        </r>
        <r>
          <rPr>
            <vertAlign val="superscript"/>
            <sz val="10"/>
            <color indexed="81"/>
            <rFont val="Tahoma"/>
            <family val="2"/>
          </rPr>
          <t>+</t>
        </r>
        <r>
          <rPr>
            <sz val="10"/>
            <color indexed="81"/>
            <rFont val="Tahoma"/>
            <family val="2"/>
          </rPr>
          <t xml:space="preserve"> concentration available from full deprotonation of all forms of H</t>
        </r>
        <r>
          <rPr>
            <vertAlign val="subscript"/>
            <sz val="10"/>
            <color indexed="81"/>
            <rFont val="Tahoma"/>
            <family val="2"/>
          </rPr>
          <t>i</t>
        </r>
        <r>
          <rPr>
            <sz val="10"/>
            <color indexed="81"/>
            <rFont val="Tahoma"/>
            <family val="2"/>
          </rPr>
          <t>B used in the formulation of the titrand (e.g., [HB] + 2[H</t>
        </r>
        <r>
          <rPr>
            <vertAlign val="subscript"/>
            <sz val="10"/>
            <color indexed="81"/>
            <rFont val="Tahoma"/>
            <family val="2"/>
          </rPr>
          <t>2</t>
        </r>
        <r>
          <rPr>
            <sz val="10"/>
            <color indexed="81"/>
            <rFont val="Tahoma"/>
            <family val="2"/>
          </rPr>
          <t>B] + 3[H</t>
        </r>
        <r>
          <rPr>
            <vertAlign val="subscript"/>
            <sz val="10"/>
            <color indexed="81"/>
            <rFont val="Tahoma"/>
            <family val="2"/>
          </rPr>
          <t>3</t>
        </r>
        <r>
          <rPr>
            <sz val="10"/>
            <color indexed="81"/>
            <rFont val="Tahoma"/>
            <family val="2"/>
          </rPr>
          <t>B])</t>
        </r>
      </text>
    </comment>
    <comment ref="I12" authorId="0" shapeId="0" xr:uid="{00000000-0006-0000-0400-000019000000}">
      <text>
        <r>
          <rPr>
            <b/>
            <sz val="8"/>
            <color indexed="81"/>
            <rFont val="Tahoma"/>
            <family val="2"/>
          </rPr>
          <t>Gutz:</t>
        </r>
        <r>
          <rPr>
            <sz val="8"/>
            <color indexed="81"/>
            <rFont val="Tahoma"/>
            <family val="2"/>
          </rPr>
          <t xml:space="preserve">
</t>
        </r>
        <r>
          <rPr>
            <sz val="10"/>
            <color indexed="81"/>
            <rFont val="Tahoma"/>
            <family val="2"/>
          </rPr>
          <t>Maximum concentration of  H</t>
        </r>
        <r>
          <rPr>
            <vertAlign val="superscript"/>
            <sz val="10"/>
            <color indexed="81"/>
            <rFont val="Tahoma"/>
            <family val="2"/>
          </rPr>
          <t>+</t>
        </r>
        <r>
          <rPr>
            <sz val="10"/>
            <color indexed="81"/>
            <rFont val="Tahoma"/>
            <family val="2"/>
          </rPr>
          <t xml:space="preserve"> that could possibly be dissociated from all the components added to the solution.</t>
        </r>
      </text>
    </comment>
    <comment ref="A13" authorId="0" shapeId="0" xr:uid="{00000000-0006-0000-0400-00001A000000}">
      <text>
        <r>
          <rPr>
            <b/>
            <sz val="8"/>
            <color indexed="81"/>
            <rFont val="Tahoma"/>
            <family val="2"/>
          </rPr>
          <t>Gutz:</t>
        </r>
        <r>
          <rPr>
            <sz val="8"/>
            <color indexed="81"/>
            <rFont val="Tahoma"/>
            <family val="2"/>
          </rPr>
          <t xml:space="preserve">
</t>
        </r>
        <r>
          <rPr>
            <sz val="10"/>
            <color indexed="81"/>
            <rFont val="Tahoma"/>
            <family val="2"/>
          </rPr>
          <t>Summation of the concentration times charge of the ions, z</t>
        </r>
        <r>
          <rPr>
            <vertAlign val="subscript"/>
            <sz val="10"/>
            <color indexed="81"/>
            <rFont val="Tahoma"/>
            <family val="2"/>
          </rPr>
          <t>i</t>
        </r>
        <r>
          <rPr>
            <sz val="10"/>
            <color indexed="81"/>
            <rFont val="Tahoma"/>
            <family val="2"/>
          </rPr>
          <t>C</t>
        </r>
        <r>
          <rPr>
            <vertAlign val="subscript"/>
            <sz val="10"/>
            <color indexed="81"/>
            <rFont val="Tahoma"/>
            <family val="2"/>
          </rPr>
          <t>i</t>
        </r>
        <r>
          <rPr>
            <sz val="10"/>
            <color indexed="81"/>
            <rFont val="Tahoma"/>
            <family val="2"/>
          </rPr>
          <t>, of all protonable forms of each base B used in the formulation of the titrand (sample): e.g.
-3[B</t>
        </r>
        <r>
          <rPr>
            <vertAlign val="superscript"/>
            <sz val="10"/>
            <color indexed="81"/>
            <rFont val="Tahoma"/>
            <family val="2"/>
          </rPr>
          <t>3-</t>
        </r>
        <r>
          <rPr>
            <sz val="10"/>
            <color indexed="81"/>
            <rFont val="Tahoma"/>
            <family val="2"/>
          </rPr>
          <t>] + -2[HB</t>
        </r>
        <r>
          <rPr>
            <vertAlign val="superscript"/>
            <sz val="10"/>
            <color indexed="81"/>
            <rFont val="Tahoma"/>
            <family val="2"/>
          </rPr>
          <t>2-</t>
        </r>
        <r>
          <rPr>
            <sz val="10"/>
            <color indexed="81"/>
            <rFont val="Tahoma"/>
            <family val="2"/>
          </rPr>
          <t>] + -1[H</t>
        </r>
        <r>
          <rPr>
            <vertAlign val="subscript"/>
            <sz val="10"/>
            <color indexed="81"/>
            <rFont val="Tahoma"/>
            <family val="2"/>
          </rPr>
          <t>2</t>
        </r>
        <r>
          <rPr>
            <sz val="10"/>
            <color indexed="81"/>
            <rFont val="Tahoma"/>
            <family val="2"/>
          </rPr>
          <t>B</t>
        </r>
        <r>
          <rPr>
            <vertAlign val="superscript"/>
            <sz val="10"/>
            <color indexed="81"/>
            <rFont val="Tahoma"/>
            <family val="2"/>
          </rPr>
          <t>-</t>
        </r>
        <r>
          <rPr>
            <sz val="10"/>
            <color indexed="81"/>
            <rFont val="Tahoma"/>
            <family val="2"/>
          </rPr>
          <t xml:space="preserve">] + ... </t>
        </r>
      </text>
    </comment>
    <comment ref="D14" authorId="0" shapeId="0" xr:uid="{00000000-0006-0000-0400-00001B000000}">
      <text>
        <r>
          <rPr>
            <b/>
            <sz val="8"/>
            <color indexed="81"/>
            <rFont val="Tahoma"/>
            <family val="2"/>
          </rPr>
          <t>Gutz:</t>
        </r>
        <r>
          <rPr>
            <sz val="8"/>
            <color indexed="81"/>
            <rFont val="Tahoma"/>
            <family val="2"/>
          </rPr>
          <t xml:space="preserve">
</t>
        </r>
        <r>
          <rPr>
            <sz val="10"/>
            <color indexed="81"/>
            <rFont val="Tahoma"/>
            <family val="2"/>
          </rPr>
          <t>Aqueous solutions exposed to air or stored in (gas permeable) plastic flasks are always contaminated with CO</t>
        </r>
        <r>
          <rPr>
            <vertAlign val="subscript"/>
            <sz val="12"/>
            <color indexed="81"/>
            <rFont val="Tahoma"/>
            <family val="2"/>
          </rPr>
          <t>2</t>
        </r>
        <r>
          <rPr>
            <sz val="10"/>
            <color indexed="81"/>
            <rFont val="Tahoma"/>
            <family val="2"/>
          </rPr>
          <t xml:space="preserve">. Thus, it is advisable to include the carbonic acid system in simulations and regressions. 
However, any other mono- or diprotic acid/base system can be used instead in simulations. Its name and pKas should be filled out in column T.
</t>
        </r>
      </text>
    </comment>
    <comment ref="J14" authorId="3" shapeId="0" xr:uid="{00000000-0006-0000-0400-00001C000000}">
      <text>
        <r>
          <rPr>
            <b/>
            <sz val="9"/>
            <color indexed="81"/>
            <rFont val="Tahoma"/>
            <family val="2"/>
          </rPr>
          <t>Gutz:</t>
        </r>
        <r>
          <rPr>
            <sz val="9"/>
            <color indexed="81"/>
            <rFont val="Tahoma"/>
            <family val="2"/>
          </rPr>
          <t xml:space="preserve">
</t>
        </r>
        <r>
          <rPr>
            <sz val="10"/>
            <color indexed="81"/>
            <rFont val="Tahoma"/>
            <family val="2"/>
          </rPr>
          <t xml:space="preserve">Data needed for the calculation of the ionic strength, I, estimation of activity coefficients by the Davies equation (see comment in cell P15) and calculation of pH values (instead of "pH"). This data is not required for the simulation of  "pH" vs. volume curves.
Concentrations refer to the </t>
        </r>
        <r>
          <rPr>
            <b/>
            <sz val="10"/>
            <color indexed="81"/>
            <rFont val="Tahoma"/>
            <family val="2"/>
          </rPr>
          <t>sample</t>
        </r>
        <r>
          <rPr>
            <sz val="10"/>
            <color indexed="81"/>
            <rFont val="Tahoma"/>
            <family val="2"/>
          </rPr>
          <t xml:space="preserve"> (before eventual dilution with water)</t>
        </r>
      </text>
    </comment>
    <comment ref="B15" authorId="0" shapeId="0" xr:uid="{00000000-0006-0000-0400-00001D000000}">
      <text>
        <r>
          <rPr>
            <b/>
            <sz val="10"/>
            <color indexed="81"/>
            <rFont val="Tahoma"/>
            <family val="2"/>
          </rPr>
          <t>Gutz:</t>
        </r>
        <r>
          <rPr>
            <sz val="10"/>
            <color indexed="81"/>
            <rFont val="Tahoma"/>
            <family val="2"/>
          </rPr>
          <t xml:space="preserve">
Leave blank - this cell corresponds to the conjugated base of the acid, e.g., Cl- or NO</t>
        </r>
        <r>
          <rPr>
            <vertAlign val="subscript"/>
            <sz val="12"/>
            <color indexed="81"/>
            <rFont val="Tahoma"/>
            <family val="2"/>
          </rPr>
          <t>3</t>
        </r>
        <r>
          <rPr>
            <vertAlign val="superscript"/>
            <sz val="12"/>
            <color indexed="81"/>
            <rFont val="Tahoma"/>
            <family val="2"/>
          </rPr>
          <t>-</t>
        </r>
        <r>
          <rPr>
            <sz val="10"/>
            <color indexed="81"/>
            <rFont val="Tahoma"/>
            <family val="2"/>
          </rPr>
          <t>.</t>
        </r>
      </text>
    </comment>
    <comment ref="C15" authorId="0" shapeId="0" xr:uid="{00000000-0006-0000-0400-00001E000000}">
      <text>
        <r>
          <rPr>
            <b/>
            <sz val="10"/>
            <color indexed="81"/>
            <rFont val="Tahoma"/>
            <family val="2"/>
          </rPr>
          <t>Gutz:</t>
        </r>
        <r>
          <rPr>
            <sz val="10"/>
            <color indexed="81"/>
            <rFont val="Tahoma"/>
            <family val="2"/>
          </rPr>
          <t xml:space="preserve">
Leave blank/fill with de concentration of strong monoprotonable base used as titrant for acidic samples e.g., NaOH, KOH (or twice the mol/L concentration of Ca(OH)</t>
        </r>
        <r>
          <rPr>
            <vertAlign val="subscript"/>
            <sz val="10"/>
            <color indexed="81"/>
            <rFont val="Tahoma"/>
            <family val="2"/>
          </rPr>
          <t>2</t>
        </r>
        <r>
          <rPr>
            <sz val="10"/>
            <color indexed="81"/>
            <rFont val="Tahoma"/>
            <family val="2"/>
          </rPr>
          <t>)</t>
        </r>
      </text>
    </comment>
    <comment ref="D15" authorId="0" shapeId="0" xr:uid="{00000000-0006-0000-0400-00001F000000}">
      <text>
        <r>
          <rPr>
            <b/>
            <sz val="8"/>
            <color indexed="81"/>
            <rFont val="Tahoma"/>
            <family val="2"/>
          </rPr>
          <t>Gutz:</t>
        </r>
        <r>
          <rPr>
            <sz val="8"/>
            <color indexed="81"/>
            <rFont val="Tahoma"/>
            <family val="2"/>
          </rPr>
          <t xml:space="preserve">
</t>
        </r>
        <r>
          <rPr>
            <sz val="10"/>
            <color indexed="81"/>
            <rFont val="Tahoma"/>
            <family val="2"/>
          </rPr>
          <t>Leave blank/fill out with the concentration of carbonate, if used as titrant. 
To simulate the absorption of CO</t>
        </r>
        <r>
          <rPr>
            <vertAlign val="subscript"/>
            <sz val="10"/>
            <color indexed="81"/>
            <rFont val="Tahoma"/>
            <family val="2"/>
          </rPr>
          <t xml:space="preserve">2 </t>
        </r>
        <r>
          <rPr>
            <sz val="10"/>
            <color indexed="81"/>
            <rFont val="Tahoma"/>
            <family val="2"/>
          </rPr>
          <t>from the air by an alkaline titrant, leave blank and fill cell D16.</t>
        </r>
      </text>
    </comment>
    <comment ref="J15" authorId="3" shapeId="0" xr:uid="{00000000-0006-0000-0400-000020000000}">
      <text>
        <r>
          <rPr>
            <b/>
            <sz val="9"/>
            <color indexed="81"/>
            <rFont val="Tahoma"/>
            <family val="2"/>
          </rPr>
          <t>Gutz:</t>
        </r>
        <r>
          <rPr>
            <sz val="9"/>
            <color indexed="81"/>
            <rFont val="Tahoma"/>
            <family val="2"/>
          </rPr>
          <t xml:space="preserve">
</t>
        </r>
        <r>
          <rPr>
            <sz val="10"/>
            <color indexed="81"/>
            <rFont val="Tahoma"/>
            <family val="2"/>
          </rPr>
          <t xml:space="preserve">Minimum counterion concentration in the </t>
        </r>
        <r>
          <rPr>
            <b/>
            <sz val="10"/>
            <color indexed="81"/>
            <rFont val="Tahoma"/>
            <family val="2"/>
          </rPr>
          <t>sample</t>
        </r>
        <r>
          <rPr>
            <sz val="10"/>
            <color indexed="81"/>
            <rFont val="Tahoma"/>
            <family val="2"/>
          </rPr>
          <t xml:space="preserve"> calculated automatically to attain charge balance with the ingredients of the sample to be titrated, specified in cells B4 to H10. 
If water is added (cell G17&gt;0), concentrations appearing here for the </t>
        </r>
        <r>
          <rPr>
            <b/>
            <sz val="10"/>
            <color indexed="81"/>
            <rFont val="Tahoma"/>
            <family val="2"/>
          </rPr>
          <t>sample</t>
        </r>
        <r>
          <rPr>
            <sz val="10"/>
            <color indexed="81"/>
            <rFont val="Tahoma"/>
            <family val="2"/>
          </rPr>
          <t xml:space="preserve"> will be H17/F17 times lower in the </t>
        </r>
        <r>
          <rPr>
            <b/>
            <sz val="10"/>
            <color indexed="81"/>
            <rFont val="Tahoma"/>
            <family val="2"/>
          </rPr>
          <t>titrand</t>
        </r>
        <r>
          <rPr>
            <sz val="10"/>
            <color indexed="81"/>
            <rFont val="Tahoma"/>
            <family val="2"/>
          </rPr>
          <t>.
For example: simulation of the titration of a sample with 0.1 mol/L of acetate ions (one column, from B to H) and 0.1 mol/L NH</t>
        </r>
        <r>
          <rPr>
            <vertAlign val="subscript"/>
            <sz val="10"/>
            <color indexed="81"/>
            <rFont val="Tahoma"/>
            <family val="2"/>
          </rPr>
          <t>4</t>
        </r>
        <r>
          <rPr>
            <vertAlign val="superscript"/>
            <sz val="10"/>
            <color indexed="81"/>
            <rFont val="Tahoma"/>
            <family val="2"/>
          </rPr>
          <t>+</t>
        </r>
        <r>
          <rPr>
            <sz val="10"/>
            <color indexed="81"/>
            <rFont val="Tahoma"/>
            <family val="2"/>
          </rPr>
          <t xml:space="preserve"> (another, from B to H) will be taken as charge balanced (as if it were a solution of 0.1 mol/L ammonium acetate). 
If the simulation of the titration of a sample composed of sodium acetate and ammonium chloride is intended, the concentrations of 0.1 mol/L sodium and 0.1 mol/L chloride ions must be entered in cells K16 and  K17 respectively.</t>
        </r>
      </text>
    </comment>
    <comment ref="K15" authorId="3" shapeId="0" xr:uid="{00000000-0006-0000-0400-000021000000}">
      <text>
        <r>
          <rPr>
            <b/>
            <sz val="9"/>
            <color indexed="81"/>
            <rFont val="Tahoma"/>
            <family val="2"/>
          </rPr>
          <t>Gutz:</t>
        </r>
        <r>
          <rPr>
            <sz val="9"/>
            <color indexed="81"/>
            <rFont val="Tahoma"/>
            <family val="2"/>
          </rPr>
          <t xml:space="preserve">
</t>
        </r>
        <r>
          <rPr>
            <sz val="10"/>
            <color indexed="81"/>
            <rFont val="Tahoma"/>
            <family val="2"/>
          </rPr>
          <t xml:space="preserve">The presence of strong electrolytes (besides the minimum of counterions calculated in cells J15 and J16) can be specified in column K.
CurTiPot assumes that values entered in K16 and K17 (as well as in B4 to H10) for the </t>
        </r>
        <r>
          <rPr>
            <b/>
            <sz val="10"/>
            <color indexed="81"/>
            <rFont val="Tahoma"/>
            <family val="2"/>
          </rPr>
          <t>titrand</t>
        </r>
        <r>
          <rPr>
            <sz val="10"/>
            <color indexed="81"/>
            <rFont val="Tahoma"/>
            <family val="2"/>
          </rPr>
          <t xml:space="preserve"> refer to the </t>
        </r>
        <r>
          <rPr>
            <b/>
            <sz val="10"/>
            <color indexed="81"/>
            <rFont val="Tahoma"/>
            <family val="2"/>
          </rPr>
          <t>sample</t>
        </r>
        <r>
          <rPr>
            <sz val="10"/>
            <color indexed="81"/>
            <rFont val="Tahoma"/>
            <family val="2"/>
          </rPr>
          <t xml:space="preserve"> </t>
        </r>
        <r>
          <rPr>
            <u/>
            <sz val="10"/>
            <color indexed="81"/>
            <rFont val="Tahoma"/>
            <family val="2"/>
          </rPr>
          <t>before</t>
        </r>
        <r>
          <rPr>
            <sz val="10"/>
            <color indexed="81"/>
            <rFont val="Tahoma"/>
            <family val="2"/>
          </rPr>
          <t xml:space="preserve"> dilution with water, if any (G17&gt;0). In practice, electrolytes are sometimes dissolved in the dilution water, e.g., during pKa determinations, to keep the ionic strength high and reasonably constant, thus reducing the variability of the activity coefficients during the titration.
This situation is handled here by multiplying the wanted extra electrolyte concentration in the diluted </t>
        </r>
        <r>
          <rPr>
            <b/>
            <sz val="10"/>
            <color indexed="81"/>
            <rFont val="Tahoma"/>
            <family val="2"/>
          </rPr>
          <t>titrand</t>
        </r>
        <r>
          <rPr>
            <sz val="10"/>
            <color indexed="81"/>
            <rFont val="Tahoma"/>
            <family val="2"/>
          </rPr>
          <t xml:space="preserve"> by H17/F17. 
Example: to simulate the effect of the presence of 0.2 mol/L KNO</t>
        </r>
        <r>
          <rPr>
            <vertAlign val="subscript"/>
            <sz val="10"/>
            <color indexed="81"/>
            <rFont val="Tahoma"/>
            <family val="2"/>
          </rPr>
          <t>3</t>
        </r>
        <r>
          <rPr>
            <sz val="10"/>
            <color indexed="81"/>
            <rFont val="Tahoma"/>
            <family val="2"/>
          </rPr>
          <t xml:space="preserve"> by adding 10 mL of 0.6 mol/L KNO</t>
        </r>
        <r>
          <rPr>
            <vertAlign val="subscript"/>
            <sz val="10"/>
            <color indexed="81"/>
            <rFont val="Tahoma"/>
            <family val="2"/>
          </rPr>
          <t>3</t>
        </r>
        <r>
          <rPr>
            <sz val="10"/>
            <color indexed="81"/>
            <rFont val="Tahoma"/>
            <family val="2"/>
          </rPr>
          <t xml:space="preserve"> to 20 mL of </t>
        </r>
        <r>
          <rPr>
            <b/>
            <sz val="10"/>
            <color indexed="81"/>
            <rFont val="Tahoma"/>
            <family val="2"/>
          </rPr>
          <t>sample</t>
        </r>
        <r>
          <rPr>
            <sz val="10"/>
            <color indexed="81"/>
            <rFont val="Tahoma"/>
            <family val="2"/>
          </rPr>
          <t xml:space="preserve">, write 0.3 (or 0.2*30/20) in K16 and K17.  
Only anions and cations with one charge are considered here; for simulations with multivalent electrolytes, use the </t>
        </r>
        <r>
          <rPr>
            <b/>
            <sz val="10"/>
            <color indexed="81"/>
            <rFont val="Tahoma"/>
            <family val="2"/>
          </rPr>
          <t>pH_calc</t>
        </r>
        <r>
          <rPr>
            <sz val="10"/>
            <color indexed="81"/>
            <rFont val="Tahoma"/>
            <family val="2"/>
          </rPr>
          <t xml:space="preserve"> module.</t>
        </r>
      </text>
    </comment>
    <comment ref="L15" authorId="3" shapeId="0" xr:uid="{00000000-0006-0000-0400-000022000000}">
      <text>
        <r>
          <rPr>
            <b/>
            <sz val="9"/>
            <color indexed="81"/>
            <rFont val="Tahoma"/>
            <family val="2"/>
          </rPr>
          <t>Gutz:</t>
        </r>
        <r>
          <rPr>
            <sz val="9"/>
            <color indexed="81"/>
            <rFont val="Tahoma"/>
            <family val="2"/>
          </rPr>
          <t xml:space="preserve">
</t>
        </r>
        <r>
          <rPr>
            <sz val="10"/>
            <color indexed="81"/>
            <rFont val="Tahoma"/>
            <family val="2"/>
          </rPr>
          <t xml:space="preserve">This is just de sum of the minimum counterion concentration and other extra electrolytes in the </t>
        </r>
        <r>
          <rPr>
            <b/>
            <sz val="10"/>
            <color indexed="81"/>
            <rFont val="Tahoma"/>
            <family val="2"/>
          </rPr>
          <t>sample</t>
        </r>
        <r>
          <rPr>
            <sz val="10"/>
            <color indexed="81"/>
            <rFont val="Tahoma"/>
            <family val="2"/>
          </rPr>
          <t xml:space="preserve">. If water is added (cell G17&gt;0) the concentrations will be H17/F17 times lower in the </t>
        </r>
        <r>
          <rPr>
            <b/>
            <sz val="10"/>
            <color indexed="81"/>
            <rFont val="Tahoma"/>
            <family val="2"/>
          </rPr>
          <t>titrand</t>
        </r>
        <r>
          <rPr>
            <sz val="10"/>
            <color indexed="81"/>
            <rFont val="Tahoma"/>
            <family val="2"/>
          </rPr>
          <t>. 
The actual ionic strength, I, of the titrand will be displayed at cell S41 after clicking on buttons A25 or A28.</t>
        </r>
      </text>
    </comment>
    <comment ref="P15" authorId="2" shapeId="0" xr:uid="{00000000-0006-0000-0400-000023000000}">
      <text>
        <r>
          <rPr>
            <b/>
            <sz val="8"/>
            <color indexed="81"/>
            <rFont val="Tahoma"/>
            <family val="2"/>
          </rPr>
          <t>Gutz:</t>
        </r>
        <r>
          <rPr>
            <sz val="8"/>
            <color indexed="81"/>
            <rFont val="Tahoma"/>
            <family val="2"/>
          </rPr>
          <t xml:space="preserve">
</t>
        </r>
        <r>
          <rPr>
            <sz val="10"/>
            <color indexed="81"/>
            <rFont val="Tahoma"/>
            <family val="2"/>
          </rPr>
          <t xml:space="preserve">CurTiPot recalculates apparent equilibrium constants at the ionic strength, I, of the solution  from thermodynamic constants (I=0) by estimating activity coefficients  with help of the Davies equation. The accuracy is good for I&lt;0.05, acceptable for I&lt;0.2 and poor for higher values of I.
There is no rigorous mean to calculate activity coefficients of individual ions, although there are many equations pursuing the reduction of the uncertainty of the estimates by taking in account individual effective ion size parameters and specific ion-ion interactions and/or introducing empirical coefficients fitted to real data. Such parameters are readily available only for the most common inorganic and organic ions, limiting their application range in comparison with the simple, general and unspecific Davies equation, that renders the same minimum in activity  around ±0.5 mol/L for any ion.
A compilation of over twenty equations with references to original work is available in the file Ionic St_effects.pdf contained in the package Ionic St_effects.pdf contido no pacote 
 https://iupac.org/wp-content/uploads/2019/04/Aq_solutions_Nov2008.zip
and http://www.acadsoft.co.uk/download/Aq_solutions.zip
</t>
        </r>
      </text>
    </comment>
    <comment ref="B16" authorId="0" shapeId="0" xr:uid="{00000000-0006-0000-0400-000024000000}">
      <text>
        <r>
          <rPr>
            <b/>
            <sz val="10"/>
            <color indexed="81"/>
            <rFont val="Tahoma"/>
            <family val="2"/>
          </rPr>
          <t>Gutz:</t>
        </r>
        <r>
          <rPr>
            <sz val="10"/>
            <color indexed="81"/>
            <rFont val="Tahoma"/>
            <family val="2"/>
          </rPr>
          <t xml:space="preserve">
Leave blank/fill with de concentration of strong monoprotic acid used as titrant of alkaline samples e.g., HCl. For weak or diprotic acids like H</t>
        </r>
        <r>
          <rPr>
            <vertAlign val="subscript"/>
            <sz val="10"/>
            <color indexed="81"/>
            <rFont val="Tahoma"/>
            <family val="2"/>
          </rPr>
          <t>2</t>
        </r>
        <r>
          <rPr>
            <sz val="10"/>
            <color indexed="81"/>
            <rFont val="Tahoma"/>
            <family val="2"/>
          </rPr>
          <t>SO</t>
        </r>
        <r>
          <rPr>
            <vertAlign val="subscript"/>
            <sz val="10"/>
            <color indexed="81"/>
            <rFont val="Tahoma"/>
            <family val="2"/>
          </rPr>
          <t>4</t>
        </r>
        <r>
          <rPr>
            <sz val="10"/>
            <color indexed="81"/>
            <rFont val="Tahoma"/>
            <family val="2"/>
          </rPr>
          <t xml:space="preserve">  change charge and pKas first, at cells R4 to R6.</t>
        </r>
      </text>
    </comment>
    <comment ref="C16" authorId="0" shapeId="0" xr:uid="{00000000-0006-0000-0400-000025000000}">
      <text>
        <r>
          <rPr>
            <b/>
            <sz val="8"/>
            <color indexed="81"/>
            <rFont val="Tahoma"/>
            <family val="2"/>
          </rPr>
          <t>Gutz:</t>
        </r>
        <r>
          <rPr>
            <sz val="8"/>
            <color indexed="81"/>
            <rFont val="Tahoma"/>
            <family val="2"/>
          </rPr>
          <t xml:space="preserve">
</t>
        </r>
        <r>
          <rPr>
            <sz val="10"/>
            <color indexed="81"/>
            <rFont val="Tahoma"/>
            <family val="2"/>
          </rPr>
          <t>Leave blank - as a rule, this cell corresponds to the protonated form of OH-, H</t>
        </r>
        <r>
          <rPr>
            <vertAlign val="subscript"/>
            <sz val="10"/>
            <color indexed="81"/>
            <rFont val="Tahoma"/>
            <family val="2"/>
          </rPr>
          <t>2</t>
        </r>
        <r>
          <rPr>
            <sz val="10"/>
            <color indexed="81"/>
            <rFont val="Tahoma"/>
            <family val="2"/>
          </rPr>
          <t>O, indistinguishable from the solvent. However, if a different acid/base is system is specified in column S, [HB] may be filled out as needed.</t>
        </r>
      </text>
    </comment>
    <comment ref="D16" authorId="0" shapeId="0" xr:uid="{00000000-0006-0000-0400-000026000000}">
      <text>
        <r>
          <rPr>
            <b/>
            <sz val="8"/>
            <color indexed="81"/>
            <rFont val="Tahoma"/>
            <family val="2"/>
          </rPr>
          <t>Gutz:</t>
        </r>
        <r>
          <rPr>
            <sz val="8"/>
            <color indexed="81"/>
            <rFont val="Tahoma"/>
            <family val="2"/>
          </rPr>
          <t xml:space="preserve">
</t>
        </r>
        <r>
          <rPr>
            <sz val="10"/>
            <color indexed="81"/>
            <rFont val="Tahoma"/>
            <family val="2"/>
          </rPr>
          <t>Leave blank</t>
        </r>
        <r>
          <rPr>
            <b/>
            <sz val="10"/>
            <color indexed="81"/>
            <rFont val="Tahoma"/>
            <family val="2"/>
          </rPr>
          <t>/</t>
        </r>
        <r>
          <rPr>
            <sz val="10"/>
            <color indexed="81"/>
            <rFont val="Tahoma"/>
            <family val="2"/>
          </rPr>
          <t>fill out with de concentration of bicarbonate, if used as titrant.
To simulate the absorption of CO</t>
        </r>
        <r>
          <rPr>
            <vertAlign val="subscript"/>
            <sz val="10"/>
            <color indexed="81"/>
            <rFont val="Tahoma"/>
            <family val="2"/>
          </rPr>
          <t>2</t>
        </r>
        <r>
          <rPr>
            <sz val="10"/>
            <color indexed="81"/>
            <rFont val="Tahoma"/>
            <family val="2"/>
          </rPr>
          <t xml:space="preserve"> from the air by an alkaline titrant, leave blank and fill H</t>
        </r>
        <r>
          <rPr>
            <vertAlign val="subscript"/>
            <sz val="10"/>
            <color indexed="81"/>
            <rFont val="Tahoma"/>
            <family val="2"/>
          </rPr>
          <t>2</t>
        </r>
        <r>
          <rPr>
            <sz val="10"/>
            <color indexed="81"/>
            <rFont val="Tahoma"/>
            <family val="2"/>
          </rPr>
          <t>CO</t>
        </r>
        <r>
          <rPr>
            <vertAlign val="subscript"/>
            <sz val="10"/>
            <color indexed="81"/>
            <rFont val="Tahoma"/>
            <family val="2"/>
          </rPr>
          <t>3</t>
        </r>
        <r>
          <rPr>
            <sz val="10"/>
            <color indexed="81"/>
            <rFont val="Tahoma"/>
            <family val="2"/>
          </rPr>
          <t xml:space="preserve"> (cell D16)</t>
        </r>
      </text>
    </comment>
    <comment ref="N16" authorId="0" shapeId="0" xr:uid="{00000000-0006-0000-0400-000027000000}">
      <text>
        <r>
          <rPr>
            <b/>
            <sz val="10"/>
            <color indexed="81"/>
            <rFont val="Tahoma"/>
            <family val="2"/>
          </rPr>
          <t>Gutz:</t>
        </r>
        <r>
          <rPr>
            <sz val="10"/>
            <color indexed="81"/>
            <rFont val="Tahoma"/>
            <family val="2"/>
          </rPr>
          <t xml:space="preserve">
Optional simulation of random errors in pH measurements, specified as standard deviation of the residues along the complete curve, e.g., 0.03</t>
        </r>
      </text>
    </comment>
    <comment ref="O16" authorId="0" shapeId="0" xr:uid="{00000000-0006-0000-0400-000028000000}">
      <text>
        <r>
          <rPr>
            <b/>
            <sz val="8"/>
            <color indexed="81"/>
            <rFont val="Tahoma"/>
            <family val="2"/>
          </rPr>
          <t>Gutz:</t>
        </r>
        <r>
          <rPr>
            <sz val="8"/>
            <color indexed="81"/>
            <rFont val="Tahoma"/>
            <family val="2"/>
          </rPr>
          <t xml:space="preserve">
</t>
        </r>
        <r>
          <rPr>
            <sz val="10"/>
            <color indexed="81"/>
            <rFont val="Tahoma"/>
            <family val="2"/>
          </rPr>
          <t xml:space="preserve">A and b are parameters of the Davies equation, used for activity coefficient estimation. They depend on temperature, dielectric constant, electrolyte, etc. 
The recommended values for water at 25ºC are: A=0.509; b=0.300.
The Davies eq. does not require the size of different hydrated ions but, to some degree, the A and b parameters may be empirically adjusted to more closely describe a given electrolyte.
For example: For NaCl + HCl solutions, A=0.43 and b=0.49 conducts to </t>
        </r>
        <r>
          <rPr>
            <sz val="14"/>
            <color indexed="81"/>
            <rFont val="Symbol"/>
            <family val="1"/>
            <charset val="2"/>
          </rPr>
          <t>g</t>
        </r>
        <r>
          <rPr>
            <sz val="10"/>
            <color indexed="81"/>
            <rFont val="Tahoma"/>
            <family val="2"/>
          </rPr>
          <t>H</t>
        </r>
        <r>
          <rPr>
            <vertAlign val="superscript"/>
            <sz val="12"/>
            <color indexed="81"/>
            <rFont val="Tahoma"/>
            <family val="2"/>
          </rPr>
          <t>+</t>
        </r>
        <r>
          <rPr>
            <sz val="10"/>
            <color indexed="81"/>
            <rFont val="Tahoma"/>
            <family val="2"/>
          </rPr>
          <t xml:space="preserve"> values in excellent agreement with those provided (up to 0.5 mol/kg) in http://www.iupac.org/projects/2000/Aq_Solutions.zip
on base of more complete equations fitted to experimental data. 
For phosphate solutions, A=0.51 and b=0.20 seems appropriate at pHs above neutrality.
</t>
        </r>
      </text>
    </comment>
    <comment ref="B17" authorId="0" shapeId="0" xr:uid="{00000000-0006-0000-0400-000029000000}">
      <text>
        <r>
          <rPr>
            <b/>
            <sz val="8"/>
            <color indexed="81"/>
            <rFont val="Tahoma"/>
            <family val="2"/>
          </rPr>
          <t>Gutz:</t>
        </r>
        <r>
          <rPr>
            <sz val="8"/>
            <color indexed="81"/>
            <rFont val="Tahoma"/>
            <family val="2"/>
          </rPr>
          <t xml:space="preserve">
</t>
        </r>
        <r>
          <rPr>
            <sz val="10"/>
            <color indexed="81"/>
            <rFont val="Tahoma"/>
            <family val="2"/>
          </rPr>
          <t>Leave blank unless you have replaced the base, its charge and pKas in cells S4 to S6 and H</t>
        </r>
        <r>
          <rPr>
            <vertAlign val="subscript"/>
            <sz val="10"/>
            <color indexed="81"/>
            <rFont val="Tahoma"/>
            <family val="2"/>
          </rPr>
          <t>2</t>
        </r>
        <r>
          <rPr>
            <sz val="10"/>
            <color indexed="81"/>
            <rFont val="Tahoma"/>
            <family val="2"/>
          </rPr>
          <t>B is and ingredient of the titrant.</t>
        </r>
      </text>
    </comment>
    <comment ref="C17" authorId="0" shapeId="0" xr:uid="{00000000-0006-0000-0400-00002A000000}">
      <text>
        <r>
          <rPr>
            <b/>
            <sz val="8"/>
            <color indexed="81"/>
            <rFont val="Tahoma"/>
            <family val="2"/>
          </rPr>
          <t>Gutz:</t>
        </r>
        <r>
          <rPr>
            <sz val="8"/>
            <color indexed="81"/>
            <rFont val="Tahoma"/>
            <family val="2"/>
          </rPr>
          <t xml:space="preserve">
</t>
        </r>
        <r>
          <rPr>
            <sz val="10"/>
            <color indexed="81"/>
            <rFont val="Tahoma"/>
            <family val="2"/>
          </rPr>
          <t>Leave blank unless you have replaced the base, its charge and pKas in cells S4 to S6 and H</t>
        </r>
        <r>
          <rPr>
            <vertAlign val="subscript"/>
            <sz val="10"/>
            <color indexed="81"/>
            <rFont val="Tahoma"/>
            <family val="2"/>
          </rPr>
          <t>2</t>
        </r>
        <r>
          <rPr>
            <sz val="10"/>
            <color indexed="81"/>
            <rFont val="Tahoma"/>
            <family val="2"/>
          </rPr>
          <t>B is and ingredient of the titrant.</t>
        </r>
      </text>
    </comment>
    <comment ref="D17" authorId="0" shapeId="0" xr:uid="{00000000-0006-0000-0400-00002B000000}">
      <text>
        <r>
          <rPr>
            <b/>
            <sz val="10"/>
            <color indexed="81"/>
            <rFont val="Tahoma"/>
            <family val="2"/>
          </rPr>
          <t>Gutz:</t>
        </r>
        <r>
          <rPr>
            <sz val="10"/>
            <color indexed="81"/>
            <rFont val="Tahoma"/>
            <family val="2"/>
          </rPr>
          <t xml:space="preserve">
Leave blank</t>
        </r>
        <r>
          <rPr>
            <b/>
            <sz val="10"/>
            <color indexed="81"/>
            <rFont val="Tahoma"/>
            <family val="2"/>
          </rPr>
          <t>/</t>
        </r>
        <r>
          <rPr>
            <sz val="10"/>
            <color indexed="81"/>
            <rFont val="Tahoma"/>
            <family val="2"/>
          </rPr>
          <t>fill out to simulate the absorption of CO</t>
        </r>
        <r>
          <rPr>
            <vertAlign val="subscript"/>
            <sz val="10"/>
            <color indexed="81"/>
            <rFont val="Tahoma"/>
            <family val="2"/>
          </rPr>
          <t>2</t>
        </r>
        <r>
          <rPr>
            <sz val="10"/>
            <color indexed="81"/>
            <rFont val="Tahoma"/>
            <family val="2"/>
          </rPr>
          <t xml:space="preserve"> by an alkaline titrant (effect visible on the curve for 1% or more of [H</t>
        </r>
        <r>
          <rPr>
            <vertAlign val="subscript"/>
            <sz val="10"/>
            <color indexed="81"/>
            <rFont val="Tahoma"/>
            <family val="2"/>
          </rPr>
          <t>2</t>
        </r>
        <r>
          <rPr>
            <sz val="10"/>
            <color indexed="81"/>
            <rFont val="Tahoma"/>
            <family val="2"/>
          </rPr>
          <t>CO</t>
        </r>
        <r>
          <rPr>
            <vertAlign val="subscript"/>
            <sz val="10"/>
            <color indexed="81"/>
            <rFont val="Tahoma"/>
            <family val="2"/>
          </rPr>
          <t>3</t>
        </r>
        <r>
          <rPr>
            <sz val="10"/>
            <color indexed="81"/>
            <rFont val="Tahoma"/>
            <family val="2"/>
          </rPr>
          <t xml:space="preserve">] relative to the titrant concentration)  
</t>
        </r>
      </text>
    </comment>
    <comment ref="F17" authorId="0" shapeId="0" xr:uid="{00000000-0006-0000-0400-00002C000000}">
      <text>
        <r>
          <rPr>
            <b/>
            <sz val="10"/>
            <color indexed="81"/>
            <rFont val="Tahoma"/>
            <family val="2"/>
          </rPr>
          <t>Gutz:</t>
        </r>
        <r>
          <rPr>
            <sz val="10"/>
            <color indexed="81"/>
            <rFont val="Tahoma"/>
            <family val="2"/>
          </rPr>
          <t xml:space="preserve">
Volume of the aliquot of sample (with the composition given above) to be titrated</t>
        </r>
      </text>
    </comment>
    <comment ref="G17" authorId="0" shapeId="0" xr:uid="{00000000-0006-0000-0400-00002D000000}">
      <text>
        <r>
          <rPr>
            <b/>
            <sz val="10"/>
            <color indexed="81"/>
            <rFont val="Tahoma"/>
            <family val="2"/>
          </rPr>
          <t>Gutz:</t>
        </r>
        <r>
          <rPr>
            <sz val="10"/>
            <color indexed="81"/>
            <rFont val="Tahoma"/>
            <family val="2"/>
          </rPr>
          <t xml:space="preserve">
Water is frequently added to the sample in potentiometric titrations until the glass electrode bulb and reference electrode junction are covered by the solution.
In rigorous titrations aiming the determination of pKas, instead of water, an electrolyte solution may be preferred to keep a nearly constant ionic strength I. 
The (undesirable) flattening effect of sample dilution on the titration curve can be observed by exaggerating this volume in a simulation, retaining the curve and repeating the titration without added water.</t>
        </r>
      </text>
    </comment>
    <comment ref="H17" authorId="0" shapeId="0" xr:uid="{00000000-0006-0000-0400-00002E000000}">
      <text>
        <r>
          <rPr>
            <b/>
            <sz val="8"/>
            <color indexed="81"/>
            <rFont val="Tahoma"/>
            <family val="2"/>
          </rPr>
          <t>Gutz:</t>
        </r>
        <r>
          <rPr>
            <sz val="10"/>
            <color indexed="81"/>
            <rFont val="Tahoma"/>
            <family val="2"/>
          </rPr>
          <t xml:space="preserve">
Total  volume before titration (F16+G16)</t>
        </r>
      </text>
    </comment>
    <comment ref="N17" authorId="0" shapeId="0" xr:uid="{00000000-0006-0000-0400-00002F000000}">
      <text>
        <r>
          <rPr>
            <b/>
            <sz val="10"/>
            <color indexed="81"/>
            <rFont val="Tahoma"/>
            <family val="2"/>
          </rPr>
          <t>Gutz:</t>
        </r>
        <r>
          <rPr>
            <sz val="10"/>
            <color indexed="81"/>
            <rFont val="Tahoma"/>
            <family val="2"/>
          </rPr>
          <t xml:space="preserve">
Optional simulation of random errors in volume measurements (buret meniscus reading), specified as standard deviation of the residues along the complete curve, e.g., 0.05 </t>
        </r>
      </text>
    </comment>
    <comment ref="O17" authorId="0" shapeId="0" xr:uid="{00000000-0006-0000-0400-000030000000}">
      <text>
        <r>
          <rPr>
            <b/>
            <sz val="8"/>
            <color indexed="81"/>
            <rFont val="Tahoma"/>
            <family val="2"/>
          </rPr>
          <t>Gutz:</t>
        </r>
        <r>
          <rPr>
            <sz val="8"/>
            <color indexed="81"/>
            <rFont val="Tahoma"/>
            <family val="2"/>
          </rPr>
          <t xml:space="preserve">
</t>
        </r>
        <r>
          <rPr>
            <sz val="10"/>
            <color indexed="81"/>
            <rFont val="Tahoma"/>
            <family val="2"/>
          </rPr>
          <t>Read comment  in cells O16 and P15.</t>
        </r>
      </text>
    </comment>
    <comment ref="A18" authorId="0" shapeId="0" xr:uid="{00000000-0006-0000-0400-000031000000}">
      <text>
        <r>
          <rPr>
            <b/>
            <sz val="8"/>
            <color indexed="81"/>
            <rFont val="Tahoma"/>
            <family val="2"/>
          </rPr>
          <t>Gutz:</t>
        </r>
        <r>
          <rPr>
            <sz val="8"/>
            <color indexed="81"/>
            <rFont val="Tahoma"/>
            <family val="2"/>
          </rPr>
          <t xml:space="preserve">
</t>
        </r>
        <r>
          <rPr>
            <sz val="10"/>
            <color indexed="81"/>
            <rFont val="Tahoma"/>
            <family val="2"/>
          </rPr>
          <t>Sum of concentrations of all forms of base B introduced in the titrant (e.g., [HB] + [H</t>
        </r>
        <r>
          <rPr>
            <vertAlign val="subscript"/>
            <sz val="10"/>
            <color indexed="81"/>
            <rFont val="Tahoma"/>
            <family val="2"/>
          </rPr>
          <t>2</t>
        </r>
        <r>
          <rPr>
            <sz val="10"/>
            <color indexed="81"/>
            <rFont val="Tahoma"/>
            <family val="2"/>
          </rPr>
          <t>B] + [H</t>
        </r>
        <r>
          <rPr>
            <vertAlign val="subscript"/>
            <sz val="10"/>
            <color indexed="81"/>
            <rFont val="Tahoma"/>
            <family val="2"/>
          </rPr>
          <t>3</t>
        </r>
        <r>
          <rPr>
            <sz val="10"/>
            <color indexed="81"/>
            <rFont val="Tahoma"/>
            <family val="2"/>
          </rPr>
          <t xml:space="preserve">B]) </t>
        </r>
      </text>
    </comment>
    <comment ref="J18" authorId="3" shapeId="0" xr:uid="{00000000-0006-0000-0400-000032000000}">
      <text>
        <r>
          <rPr>
            <b/>
            <sz val="9"/>
            <color indexed="81"/>
            <rFont val="Tahoma"/>
            <family val="2"/>
          </rPr>
          <t>Gutz:</t>
        </r>
        <r>
          <rPr>
            <sz val="9"/>
            <color indexed="81"/>
            <rFont val="Tahoma"/>
            <family val="2"/>
          </rPr>
          <t xml:space="preserve">
</t>
        </r>
        <r>
          <rPr>
            <sz val="10"/>
            <color indexed="81"/>
            <rFont val="Tahoma"/>
            <family val="2"/>
          </rPr>
          <t>Minimum counterion concentration calculated automatically to attain charge balance of the ingredients of the titrant specified in cells B15 to D17.
E.g., for a 0.1 mol/L NaOH solution indicated in C15, a 0.1 mol/L concentration (of monovalent cation like Na</t>
        </r>
        <r>
          <rPr>
            <vertAlign val="superscript"/>
            <sz val="10"/>
            <color indexed="81"/>
            <rFont val="Tahoma"/>
            <family val="2"/>
          </rPr>
          <t>+</t>
        </r>
        <r>
          <rPr>
            <sz val="10"/>
            <color indexed="81"/>
            <rFont val="Tahoma"/>
            <family val="2"/>
          </rPr>
          <t xml:space="preserve">) will appear in J19; cells K19 and K20 can remain zeroed or changed at will. </t>
        </r>
      </text>
    </comment>
    <comment ref="A19" authorId="0" shapeId="0" xr:uid="{00000000-0006-0000-0400-000033000000}">
      <text>
        <r>
          <rPr>
            <b/>
            <sz val="8"/>
            <color indexed="81"/>
            <rFont val="Tahoma"/>
            <family val="2"/>
          </rPr>
          <t>Gutz:</t>
        </r>
        <r>
          <rPr>
            <sz val="8"/>
            <color indexed="81"/>
            <rFont val="Tahoma"/>
            <family val="2"/>
          </rPr>
          <t xml:space="preserve">
</t>
        </r>
        <r>
          <rPr>
            <sz val="10"/>
            <color indexed="81"/>
            <rFont val="Tahoma"/>
            <family val="2"/>
          </rPr>
          <t>Maximum H</t>
        </r>
        <r>
          <rPr>
            <vertAlign val="superscript"/>
            <sz val="10"/>
            <color indexed="81"/>
            <rFont val="Tahoma"/>
            <family val="2"/>
          </rPr>
          <t>+</t>
        </r>
        <r>
          <rPr>
            <sz val="10"/>
            <color indexed="81"/>
            <rFont val="Tahoma"/>
            <family val="2"/>
          </rPr>
          <t xml:space="preserve"> concentration available from full deprotonation of all forms of H</t>
        </r>
        <r>
          <rPr>
            <vertAlign val="subscript"/>
            <sz val="10"/>
            <color indexed="81"/>
            <rFont val="Tahoma"/>
            <family val="2"/>
          </rPr>
          <t>i</t>
        </r>
        <r>
          <rPr>
            <sz val="10"/>
            <color indexed="81"/>
            <rFont val="Tahoma"/>
            <family val="2"/>
          </rPr>
          <t>B used in the formulation of the titrant (e.g., [HB] + 2[H</t>
        </r>
        <r>
          <rPr>
            <vertAlign val="subscript"/>
            <sz val="10"/>
            <color indexed="81"/>
            <rFont val="Tahoma"/>
            <family val="2"/>
          </rPr>
          <t>2</t>
        </r>
        <r>
          <rPr>
            <sz val="10"/>
            <color indexed="81"/>
            <rFont val="Tahoma"/>
            <family val="2"/>
          </rPr>
          <t>B] + 3[H</t>
        </r>
        <r>
          <rPr>
            <vertAlign val="subscript"/>
            <sz val="10"/>
            <color indexed="81"/>
            <rFont val="Tahoma"/>
            <family val="2"/>
          </rPr>
          <t>3</t>
        </r>
        <r>
          <rPr>
            <sz val="10"/>
            <color indexed="81"/>
            <rFont val="Tahoma"/>
            <family val="2"/>
          </rPr>
          <t>B])</t>
        </r>
      </text>
    </comment>
    <comment ref="A20" authorId="0" shapeId="0" xr:uid="{00000000-0006-0000-0400-000034000000}">
      <text>
        <r>
          <rPr>
            <b/>
            <sz val="8"/>
            <color indexed="81"/>
            <rFont val="Tahoma"/>
            <family val="2"/>
          </rPr>
          <t>Gutz:</t>
        </r>
        <r>
          <rPr>
            <sz val="8"/>
            <color indexed="81"/>
            <rFont val="Tahoma"/>
            <family val="2"/>
          </rPr>
          <t xml:space="preserve">
</t>
        </r>
        <r>
          <rPr>
            <sz val="10"/>
            <color indexed="81"/>
            <rFont val="Tahoma"/>
            <family val="2"/>
          </rPr>
          <t>Summation of the concentration times charge of the ion, z</t>
        </r>
        <r>
          <rPr>
            <vertAlign val="subscript"/>
            <sz val="10"/>
            <color indexed="81"/>
            <rFont val="Tahoma"/>
            <family val="2"/>
          </rPr>
          <t>i</t>
        </r>
        <r>
          <rPr>
            <sz val="10"/>
            <color indexed="81"/>
            <rFont val="Tahoma"/>
            <family val="2"/>
          </rPr>
          <t>C</t>
        </r>
        <r>
          <rPr>
            <vertAlign val="subscript"/>
            <sz val="10"/>
            <color indexed="81"/>
            <rFont val="Tahoma"/>
            <family val="2"/>
          </rPr>
          <t>i</t>
        </r>
        <r>
          <rPr>
            <sz val="10"/>
            <color indexed="81"/>
            <rFont val="Tahoma"/>
            <family val="2"/>
          </rPr>
          <t>, of all protonable forms of the base B used in the formulation of the titrant: e.g., -2[B</t>
        </r>
        <r>
          <rPr>
            <vertAlign val="superscript"/>
            <sz val="10"/>
            <color indexed="81"/>
            <rFont val="Tahoma"/>
            <family val="2"/>
          </rPr>
          <t>2-</t>
        </r>
        <r>
          <rPr>
            <sz val="10"/>
            <color indexed="81"/>
            <rFont val="Tahoma"/>
            <family val="2"/>
          </rPr>
          <t>] + -1[HB</t>
        </r>
        <r>
          <rPr>
            <vertAlign val="superscript"/>
            <sz val="10"/>
            <color indexed="81"/>
            <rFont val="Tahoma"/>
            <family val="2"/>
          </rPr>
          <t>-</t>
        </r>
        <r>
          <rPr>
            <sz val="10"/>
            <color indexed="81"/>
            <rFont val="Tahoma"/>
            <family val="2"/>
          </rPr>
          <t>]</t>
        </r>
      </text>
    </comment>
    <comment ref="F20" authorId="0" shapeId="0" xr:uid="{00000000-0006-0000-0400-000035000000}">
      <text>
        <r>
          <rPr>
            <b/>
            <sz val="8"/>
            <color indexed="81"/>
            <rFont val="Tahoma"/>
            <family val="2"/>
          </rPr>
          <t>Gutz:</t>
        </r>
        <r>
          <rPr>
            <sz val="8"/>
            <color indexed="81"/>
            <rFont val="Tahoma"/>
            <family val="2"/>
          </rPr>
          <t xml:space="preserve">
</t>
        </r>
        <r>
          <rPr>
            <sz val="10"/>
            <color indexed="81"/>
            <rFont val="Tahoma"/>
            <family val="2"/>
          </rPr>
          <t>Maximum volume (in mL) of titrant to be added up to the end of the titration (may be less or equal to the capacity of the buret ).</t>
        </r>
      </text>
    </comment>
    <comment ref="G20" authorId="0" shapeId="0" xr:uid="{00000000-0006-0000-0400-000036000000}">
      <text>
        <r>
          <rPr>
            <b/>
            <sz val="8"/>
            <color indexed="81"/>
            <rFont val="Tahoma"/>
            <family val="2"/>
          </rPr>
          <t xml:space="preserve">Gutz: 
</t>
        </r>
        <r>
          <rPr>
            <sz val="10"/>
            <color indexed="81"/>
            <rFont val="Tahoma"/>
            <family val="2"/>
          </rPr>
          <t xml:space="preserve">Total number of additions of the titrant from the buret (max.: 120; typical: 30 or 50).
You can choose constant volume additions (A24) or constant pH increment (A27). 
</t>
        </r>
      </text>
    </comment>
    <comment ref="B22" authorId="2" shapeId="0" xr:uid="{00000000-0006-0000-0400-000037000000}">
      <text>
        <r>
          <rPr>
            <b/>
            <sz val="8"/>
            <color indexed="81"/>
            <rFont val="Tahoma"/>
            <family val="2"/>
          </rPr>
          <t>Gutz:</t>
        </r>
        <r>
          <rPr>
            <sz val="8"/>
            <color indexed="81"/>
            <rFont val="Tahoma"/>
            <family val="2"/>
          </rPr>
          <t xml:space="preserve">
</t>
        </r>
        <r>
          <rPr>
            <b/>
            <sz val="10"/>
            <color indexed="81"/>
            <rFont val="Tahoma"/>
            <family val="2"/>
          </rPr>
          <t>"pH"</t>
        </r>
        <r>
          <rPr>
            <sz val="10"/>
            <color indexed="81"/>
            <rFont val="Tahoma"/>
            <family val="2"/>
          </rPr>
          <t xml:space="preserve"> values are calculated by using concentrations in the law of mass action expressions supplied with thermodynamic equilibrium constants. Such constants (like most of those in the Database) are obtained by extrapolation to infinite dilution and, therefore, appropriate only for very diluted solutions. In the </t>
        </r>
        <r>
          <rPr>
            <b/>
            <sz val="10"/>
            <color indexed="81"/>
            <rFont val="Tahoma"/>
            <family val="2"/>
          </rPr>
          <t xml:space="preserve">pH </t>
        </r>
        <r>
          <rPr>
            <sz val="10"/>
            <color indexed="81"/>
            <rFont val="Tahoma"/>
            <family val="2"/>
          </rPr>
          <t>and</t>
        </r>
        <r>
          <rPr>
            <b/>
            <sz val="10"/>
            <color indexed="81"/>
            <rFont val="Tahoma"/>
            <family val="2"/>
          </rPr>
          <t xml:space="preserve"> p[H]</t>
        </r>
        <r>
          <rPr>
            <sz val="10"/>
            <color indexed="81"/>
            <rFont val="Tahoma"/>
            <family val="2"/>
          </rPr>
          <t xml:space="preserve"> calculations, the constants are corrected for the estimated effect of ion-ion interactions at the ionic strength, I, of the solution. 
Furthermore the </t>
        </r>
        <r>
          <rPr>
            <b/>
            <sz val="10"/>
            <color indexed="81"/>
            <rFont val="Tahoma"/>
            <family val="2"/>
          </rPr>
          <t>pH</t>
        </r>
        <r>
          <rPr>
            <sz val="10"/>
            <color indexed="81"/>
            <rFont val="Tahoma"/>
            <family val="2"/>
          </rPr>
          <t xml:space="preserve"> calculation takes in account that the ddp of the usual pH sensor, a combined glass electrode, is directly proportional to -log a</t>
        </r>
        <r>
          <rPr>
            <vertAlign val="subscript"/>
            <sz val="12"/>
            <color indexed="81"/>
            <rFont val="Tahoma"/>
            <family val="2"/>
          </rPr>
          <t xml:space="preserve">H+ </t>
        </r>
        <r>
          <rPr>
            <sz val="10"/>
            <color indexed="81"/>
            <rFont val="Tahoma"/>
            <family val="2"/>
          </rPr>
          <t xml:space="preserve">(while </t>
        </r>
        <r>
          <rPr>
            <b/>
            <sz val="10"/>
            <color indexed="81"/>
            <rFont val="Tahoma"/>
            <family val="2"/>
          </rPr>
          <t xml:space="preserve">p[H] </t>
        </r>
        <r>
          <rPr>
            <sz val="10"/>
            <color indexed="81"/>
            <rFont val="Tahoma"/>
            <family val="2"/>
          </rPr>
          <t>= -log [H</t>
        </r>
        <r>
          <rPr>
            <vertAlign val="superscript"/>
            <sz val="10"/>
            <color indexed="81"/>
            <rFont val="Tahoma"/>
            <family val="2"/>
          </rPr>
          <t>+</t>
        </r>
        <r>
          <rPr>
            <sz val="10"/>
            <color indexed="81"/>
            <rFont val="Tahoma"/>
            <family val="2"/>
          </rPr>
          <t>], see more information in the pH_calc module). 
The activity of hydrated protons or hydronium ions is given by a</t>
        </r>
        <r>
          <rPr>
            <vertAlign val="subscript"/>
            <sz val="12"/>
            <color indexed="81"/>
            <rFont val="Tahoma"/>
            <family val="2"/>
          </rPr>
          <t>H+</t>
        </r>
        <r>
          <rPr>
            <sz val="10"/>
            <color indexed="81"/>
            <rFont val="Tahoma"/>
            <family val="2"/>
          </rPr>
          <t xml:space="preserve"> = [H</t>
        </r>
        <r>
          <rPr>
            <vertAlign val="superscript"/>
            <sz val="12"/>
            <color indexed="81"/>
            <rFont val="Tahoma"/>
            <family val="2"/>
          </rPr>
          <t>+</t>
        </r>
        <r>
          <rPr>
            <sz val="10"/>
            <color indexed="81"/>
            <rFont val="Tahoma"/>
            <family val="2"/>
          </rPr>
          <t xml:space="preserve">] </t>
        </r>
        <r>
          <rPr>
            <sz val="10"/>
            <color indexed="81"/>
            <rFont val="Symbol"/>
            <family val="1"/>
            <charset val="2"/>
          </rPr>
          <t>g</t>
        </r>
        <r>
          <rPr>
            <vertAlign val="subscript"/>
            <sz val="12"/>
            <color indexed="81"/>
            <rFont val="Tahoma"/>
            <family val="2"/>
          </rPr>
          <t>H+</t>
        </r>
        <r>
          <rPr>
            <sz val="10"/>
            <color indexed="81"/>
            <rFont val="Tahoma"/>
            <family val="2"/>
          </rPr>
          <t xml:space="preserve"> and the activity coefficient </t>
        </r>
        <r>
          <rPr>
            <sz val="10"/>
            <color indexed="81"/>
            <rFont val="Symbol"/>
            <family val="1"/>
            <charset val="2"/>
          </rPr>
          <t>g</t>
        </r>
        <r>
          <rPr>
            <sz val="10"/>
            <color indexed="81"/>
            <rFont val="Tahoma"/>
            <family val="2"/>
          </rPr>
          <t xml:space="preserve"> is estimated in CurTiPot by using the Davies equation and shown in column T, starting at line 41. See related comments in cells P15, O16 and O17.</t>
        </r>
      </text>
    </comment>
    <comment ref="B23" authorId="3" shapeId="0" xr:uid="{00000000-0006-0000-0400-000038000000}">
      <text>
        <r>
          <rPr>
            <b/>
            <sz val="9"/>
            <color indexed="81"/>
            <rFont val="Tahoma"/>
            <family val="2"/>
          </rPr>
          <t>Gutz:</t>
        </r>
        <r>
          <rPr>
            <sz val="9"/>
            <color indexed="81"/>
            <rFont val="Tahoma"/>
            <family val="2"/>
          </rPr>
          <t xml:space="preserve">
</t>
        </r>
        <r>
          <rPr>
            <sz val="10"/>
            <color indexed="81"/>
            <rFont val="Tahoma"/>
            <family val="2"/>
          </rPr>
          <t>Read comment in cell B22 and P15, and check cells K16, 17, 19 e 20 for correct calculation of I, required for estimation of activities and pH.</t>
        </r>
      </text>
    </comment>
    <comment ref="O26" authorId="2" shapeId="0" xr:uid="{00000000-0006-0000-0400-000039000000}">
      <text>
        <r>
          <rPr>
            <b/>
            <sz val="8"/>
            <color indexed="81"/>
            <rFont val="Tahoma"/>
            <family val="2"/>
          </rPr>
          <t>Gutz:</t>
        </r>
        <r>
          <rPr>
            <sz val="8"/>
            <color indexed="81"/>
            <rFont val="Tahoma"/>
            <family val="2"/>
          </rPr>
          <t xml:space="preserve">
</t>
        </r>
        <r>
          <rPr>
            <sz val="10"/>
            <color indexed="81"/>
            <rFont val="Tahoma"/>
            <family val="2"/>
          </rPr>
          <t>Hover the mouse on a curve and point any data point to readout its ID and coordinates.
To add labels to your graphics, activate the drawing tools of Excel and insert text boxes.</t>
        </r>
      </text>
    </comment>
    <comment ref="O27" authorId="2" shapeId="0" xr:uid="{00000000-0006-0000-0400-00003A000000}">
      <text>
        <r>
          <rPr>
            <b/>
            <sz val="8"/>
            <color indexed="81"/>
            <rFont val="Tahoma"/>
            <family val="2"/>
          </rPr>
          <t>Gutz:</t>
        </r>
        <r>
          <rPr>
            <sz val="8"/>
            <color indexed="81"/>
            <rFont val="Tahoma"/>
            <family val="2"/>
          </rPr>
          <t xml:space="preserve">
</t>
        </r>
        <r>
          <rPr>
            <sz val="10"/>
            <color indexed="81"/>
            <rFont val="Tahoma"/>
            <family val="2"/>
          </rPr>
          <t xml:space="preserve">To copy graphics with simulated curves and paste them into other documents (e.g.: Word or Excel without links to the original:
- Fill out the header of the figure (optional)
- Click in the box of the figure near the margins, to select it
  (of Excel older than 12 from 2007 - Repeat the last simulation of a curve) </t>
        </r>
        <r>
          <rPr>
            <b/>
            <sz val="10"/>
            <color indexed="81"/>
            <rFont val="Tahoma"/>
            <family val="2"/>
          </rPr>
          <t xml:space="preserve">
</t>
        </r>
        <r>
          <rPr>
            <sz val="10"/>
            <color indexed="81"/>
            <rFont val="Tahoma"/>
            <family val="2"/>
          </rPr>
          <t xml:space="preserve">- Press Ctrl+C (and wait for processing)
- Switch to the Word document or another Excel spreadsheet 
- Select Insert/Paste Special/Picture (enhanced metafile)
Obs.: do NOT use Ctrl+C and Ctrl+V, because the figure may become coupled with CurTiPot and respond to changes
</t>
        </r>
      </text>
    </comment>
    <comment ref="O28" authorId="2" shapeId="0" xr:uid="{00000000-0006-0000-0400-00003B000000}">
      <text>
        <r>
          <rPr>
            <b/>
            <sz val="10"/>
            <color indexed="81"/>
            <rFont val="Tahoma"/>
            <family val="2"/>
          </rPr>
          <t>Gutz:</t>
        </r>
        <r>
          <rPr>
            <sz val="10"/>
            <color indexed="81"/>
            <rFont val="Tahoma"/>
            <family val="2"/>
          </rPr>
          <t xml:space="preserve">
Click twice on the volume or pH scale to redefine it.
Use Ctrl+Z (as many times as needed) to undo scale expansion.</t>
        </r>
      </text>
    </comment>
    <comment ref="O29" authorId="2" shapeId="0" xr:uid="{00000000-0006-0000-0400-00003C000000}">
      <text>
        <r>
          <rPr>
            <b/>
            <sz val="10"/>
            <color indexed="81"/>
            <rFont val="Tahoma"/>
            <family val="2"/>
          </rPr>
          <t>Gutz:</t>
        </r>
        <r>
          <rPr>
            <sz val="10"/>
            <color indexed="81"/>
            <rFont val="Tahoma"/>
            <family val="2"/>
          </rPr>
          <t xml:space="preserve">
- Use the </t>
        </r>
        <r>
          <rPr>
            <b/>
            <sz val="10"/>
            <color indexed="81"/>
            <rFont val="Tahoma"/>
            <family val="2"/>
          </rPr>
          <t>Graphics</t>
        </r>
        <r>
          <rPr>
            <sz val="10"/>
            <color indexed="81"/>
            <rFont val="Tahoma"/>
            <family val="2"/>
          </rPr>
          <t xml:space="preserve"> spreadsheet to plot derivatives by the </t>
        </r>
        <r>
          <rPr>
            <sz val="10"/>
            <color indexed="81"/>
            <rFont val="Symbol"/>
            <family val="1"/>
            <charset val="2"/>
          </rPr>
          <t>D</t>
        </r>
        <r>
          <rPr>
            <sz val="10"/>
            <color indexed="81"/>
            <rFont val="Tahoma"/>
            <family val="2"/>
          </rPr>
          <t>pH/</t>
        </r>
        <r>
          <rPr>
            <sz val="10"/>
            <color indexed="81"/>
            <rFont val="Symbol"/>
            <family val="1"/>
            <charset val="2"/>
          </rPr>
          <t>D</t>
        </r>
        <r>
          <rPr>
            <sz val="10"/>
            <color indexed="81"/>
            <rFont val="Tahoma"/>
            <family val="2"/>
          </rPr>
          <t>V</t>
        </r>
        <r>
          <rPr>
            <sz val="10"/>
            <color indexed="81"/>
            <rFont val="Tahoma"/>
            <family val="2"/>
          </rPr>
          <t xml:space="preserve"> approximation and to overlay curves.
- Use </t>
        </r>
        <r>
          <rPr>
            <b/>
            <sz val="10"/>
            <color indexed="81"/>
            <rFont val="Tahoma"/>
            <family val="2"/>
          </rPr>
          <t>Evaluation</t>
        </r>
        <r>
          <rPr>
            <sz val="10"/>
            <color indexed="81"/>
            <rFont val="Tahoma"/>
            <family val="2"/>
          </rPr>
          <t xml:space="preserve"> to generate first and second derivative curves with interpolation and smoothing and to accurately locate inflection points of real and simulated titration curves.
- Use </t>
        </r>
        <r>
          <rPr>
            <b/>
            <sz val="10"/>
            <color indexed="81"/>
            <rFont val="Tahoma"/>
            <family val="2"/>
          </rPr>
          <t>Distribution</t>
        </r>
        <r>
          <rPr>
            <sz val="10"/>
            <color indexed="81"/>
            <rFont val="Tahoma"/>
            <family val="2"/>
          </rPr>
          <t xml:space="preserve"> to obtain de fractional composition and the mean protonation level of the bases during the titration as well as in function of pH.</t>
        </r>
      </text>
    </comment>
    <comment ref="O30" authorId="2" shapeId="0" xr:uid="{00000000-0006-0000-0400-00003D000000}">
      <text>
        <r>
          <rPr>
            <b/>
            <sz val="8"/>
            <color indexed="81"/>
            <rFont val="Tahoma"/>
            <family val="2"/>
          </rPr>
          <t>Gutz:</t>
        </r>
        <r>
          <rPr>
            <sz val="8"/>
            <color indexed="81"/>
            <rFont val="Tahoma"/>
            <family val="2"/>
          </rPr>
          <t xml:space="preserve">
</t>
        </r>
        <r>
          <rPr>
            <sz val="10"/>
            <color indexed="81"/>
            <rFont val="Tahoma"/>
            <family val="2"/>
          </rPr>
          <t xml:space="preserve">- Use </t>
        </r>
        <r>
          <rPr>
            <b/>
            <sz val="10"/>
            <color indexed="81"/>
            <rFont val="Tahoma"/>
            <family val="2"/>
          </rPr>
          <t>Evaluation</t>
        </r>
        <r>
          <rPr>
            <sz val="10"/>
            <color indexed="81"/>
            <rFont val="Tahoma"/>
            <family val="2"/>
          </rPr>
          <t xml:space="preserve"> to accurately evaluate well defined inflection points on real and simulated titration curves, assisted by cubic splines smoothing and interpolation
- Use </t>
        </r>
        <r>
          <rPr>
            <b/>
            <sz val="10"/>
            <color indexed="81"/>
            <rFont val="Tahoma"/>
            <family val="2"/>
          </rPr>
          <t>Regression</t>
        </r>
        <r>
          <rPr>
            <sz val="10"/>
            <color indexed="81"/>
            <rFont val="Tahoma"/>
            <family val="2"/>
          </rPr>
          <t xml:space="preserve"> to refine the concentrations of analytes and/or pK values of real or simulated titration curves by nonlinear multiparametric regression and to analyze complex curves, with hidden inflections (some learning required)
Data transfer from </t>
        </r>
        <r>
          <rPr>
            <b/>
            <sz val="10"/>
            <color indexed="81"/>
            <rFont val="Tahoma"/>
            <family val="2"/>
          </rPr>
          <t>Simulation</t>
        </r>
        <r>
          <rPr>
            <sz val="10"/>
            <color indexed="81"/>
            <rFont val="Tahoma"/>
            <family val="2"/>
          </rPr>
          <t xml:space="preserve"> to </t>
        </r>
        <r>
          <rPr>
            <b/>
            <sz val="10"/>
            <color indexed="81"/>
            <rFont val="Tahoma"/>
            <family val="2"/>
          </rPr>
          <t xml:space="preserve">Evaluation </t>
        </r>
        <r>
          <rPr>
            <sz val="10"/>
            <color indexed="81"/>
            <rFont val="Tahoma"/>
            <family val="2"/>
          </rPr>
          <t xml:space="preserve">or </t>
        </r>
        <r>
          <rPr>
            <b/>
            <sz val="10"/>
            <color indexed="81"/>
            <rFont val="Tahoma"/>
            <family val="2"/>
          </rPr>
          <t>Regression</t>
        </r>
        <r>
          <rPr>
            <sz val="10"/>
            <color indexed="81"/>
            <rFont val="Tahoma"/>
            <family val="2"/>
          </rPr>
          <t>:
- Copy data of columns A and B from line 41 on
- When evaluating the effect of dispersion (simulation of experimental errors), copy columns A and D instead (select column A, press Ctrl and select column D)</t>
        </r>
      </text>
    </comment>
    <comment ref="A39" authorId="2" shapeId="0" xr:uid="{00000000-0006-0000-0400-00003E000000}">
      <text>
        <r>
          <rPr>
            <b/>
            <sz val="8"/>
            <color indexed="81"/>
            <rFont val="Tahoma"/>
            <family val="2"/>
          </rPr>
          <t>Gutz:</t>
        </r>
        <r>
          <rPr>
            <sz val="8"/>
            <color indexed="81"/>
            <rFont val="Tahoma"/>
            <family val="2"/>
          </rPr>
          <t xml:space="preserve">
</t>
        </r>
        <r>
          <rPr>
            <sz val="10"/>
            <color indexed="81"/>
            <rFont val="Tahoma"/>
            <family val="2"/>
          </rPr>
          <t xml:space="preserve">Data can be transferred from </t>
        </r>
        <r>
          <rPr>
            <b/>
            <sz val="10"/>
            <color indexed="81"/>
            <rFont val="Tahoma"/>
            <family val="2"/>
          </rPr>
          <t>Simulation</t>
        </r>
        <r>
          <rPr>
            <sz val="10"/>
            <color indexed="81"/>
            <rFont val="Tahoma"/>
            <family val="2"/>
          </rPr>
          <t xml:space="preserve"> to </t>
        </r>
        <r>
          <rPr>
            <b/>
            <sz val="10"/>
            <color indexed="81"/>
            <rFont val="Tahoma"/>
            <family val="2"/>
          </rPr>
          <t>Evaluation</t>
        </r>
        <r>
          <rPr>
            <sz val="10"/>
            <color indexed="81"/>
            <rFont val="Tahoma"/>
            <family val="2"/>
          </rPr>
          <t xml:space="preserve"> or </t>
        </r>
        <r>
          <rPr>
            <b/>
            <sz val="10"/>
            <color indexed="81"/>
            <rFont val="Tahoma"/>
            <family val="2"/>
          </rPr>
          <t xml:space="preserve">Regression </t>
        </r>
        <r>
          <rPr>
            <sz val="10"/>
            <color indexed="81"/>
            <rFont val="Tahoma"/>
            <family val="2"/>
          </rPr>
          <t>automatically by clicking on specific buttons available in these modules, or manually, as follows:
- Copy data of columns A and B starting at line 41
- When evaluating the effect of dispersion (simulation of experimental errors), copy columns A and D instead (select column A, press Ctrl and select column D)
- Paste data in columns A and B of the destination spreadsheet</t>
        </r>
      </text>
    </comment>
    <comment ref="B39" authorId="0" shapeId="0" xr:uid="{00000000-0006-0000-0400-00003F000000}">
      <text>
        <r>
          <rPr>
            <b/>
            <sz val="8"/>
            <color indexed="81"/>
            <rFont val="Tahoma"/>
            <family val="2"/>
          </rPr>
          <t>Gutz:</t>
        </r>
        <r>
          <rPr>
            <sz val="8"/>
            <color indexed="81"/>
            <rFont val="Tahoma"/>
            <family val="2"/>
          </rPr>
          <t xml:space="preserve">
</t>
        </r>
        <r>
          <rPr>
            <sz val="10"/>
            <color indexed="81"/>
            <rFont val="Tahoma"/>
            <family val="2"/>
          </rPr>
          <t>CurTiPot's Virtual Titrator does not (yet) correct for the effect of ionic strength, I, on activity coefficients, taken as unity. Therefore, the "pH" is closer to =-log of the concentration of H</t>
        </r>
        <r>
          <rPr>
            <vertAlign val="superscript"/>
            <sz val="10"/>
            <color indexed="81"/>
            <rFont val="Tahoma"/>
            <family val="2"/>
          </rPr>
          <t>+</t>
        </r>
        <r>
          <rPr>
            <sz val="10"/>
            <color indexed="81"/>
            <rFont val="Tahoma"/>
            <family val="2"/>
          </rPr>
          <t xml:space="preserve"> than to=-log activity of H</t>
        </r>
        <r>
          <rPr>
            <vertAlign val="superscript"/>
            <sz val="10"/>
            <color indexed="81"/>
            <rFont val="Tahoma"/>
            <family val="2"/>
          </rPr>
          <t>+</t>
        </r>
        <r>
          <rPr>
            <sz val="10"/>
            <color indexed="81"/>
            <rFont val="Tahoma"/>
            <family val="2"/>
          </rPr>
          <t>. This does not change the volume of the inflections, nor the general shape of the curves although a slight vertical shift of some regions of the curve is expected. 
The apparent pKas and pKw for a given I can be computed in pH_Calc and pasted  here in cells K3 to Q10 of this spreadsheet to correct this limitation and obtain  p[H].
Refer to the</t>
        </r>
        <r>
          <rPr>
            <b/>
            <sz val="10"/>
            <color indexed="81"/>
            <rFont val="Tahoma"/>
            <family val="2"/>
          </rPr>
          <t xml:space="preserve"> pH_Calc </t>
        </r>
        <r>
          <rPr>
            <sz val="10"/>
            <color indexed="81"/>
            <rFont val="Tahoma"/>
            <family val="2"/>
          </rPr>
          <t xml:space="preserve">module to calculate the pH and activity coefficients of any aqueous solution and to </t>
        </r>
        <r>
          <rPr>
            <b/>
            <sz val="10"/>
            <color indexed="81"/>
            <rFont val="Tahoma"/>
            <family val="2"/>
          </rPr>
          <t>Regression</t>
        </r>
        <r>
          <rPr>
            <sz val="10"/>
            <color indexed="81"/>
            <rFont val="Tahoma"/>
            <family val="2"/>
          </rPr>
          <t xml:space="preserve"> to analyze data taking activity coefficients in account.
</t>
        </r>
      </text>
    </comment>
    <comment ref="C39" authorId="2" shapeId="0" xr:uid="{00000000-0006-0000-0400-000040000000}">
      <text>
        <r>
          <rPr>
            <b/>
            <sz val="8"/>
            <color indexed="81"/>
            <rFont val="Tahoma"/>
            <family val="2"/>
          </rPr>
          <t>Gutz:</t>
        </r>
        <r>
          <rPr>
            <sz val="8"/>
            <color indexed="81"/>
            <rFont val="Tahoma"/>
            <family val="2"/>
          </rPr>
          <t xml:space="preserve">
</t>
        </r>
        <r>
          <rPr>
            <sz val="10"/>
            <color indexed="81"/>
            <rFont val="Tahoma"/>
            <family val="2"/>
          </rPr>
          <t xml:space="preserve">Do </t>
        </r>
        <r>
          <rPr>
            <b/>
            <sz val="10"/>
            <color indexed="81"/>
            <rFont val="Tahoma"/>
            <family val="2"/>
          </rPr>
          <t>NOT</t>
        </r>
        <r>
          <rPr>
            <sz val="10"/>
            <color indexed="81"/>
            <rFont val="Tahoma"/>
            <family val="2"/>
          </rPr>
          <t xml:space="preserve"> use this column for Evaluation or Regression. 
Values displayed  to illustrate the simulated dispersion in the volume dispensing by the "buret".
This column will remain blank when null dispersion is chosen in J17 and J18.</t>
        </r>
      </text>
    </comment>
    <comment ref="D39" authorId="2" shapeId="0" xr:uid="{00000000-0006-0000-0400-000041000000}">
      <text>
        <r>
          <rPr>
            <b/>
            <sz val="8"/>
            <color indexed="81"/>
            <rFont val="Tahoma"/>
            <family val="2"/>
          </rPr>
          <t>Gutz:</t>
        </r>
        <r>
          <rPr>
            <sz val="8"/>
            <color indexed="81"/>
            <rFont val="Tahoma"/>
            <family val="2"/>
          </rPr>
          <t xml:space="preserve">
</t>
        </r>
        <r>
          <rPr>
            <sz val="10"/>
            <color indexed="81"/>
            <rFont val="Tahoma"/>
            <family val="2"/>
          </rPr>
          <t>These pH values with dispersion will be overlaid in the graphic
This column will remain blank when null dispersion is chosen in J17 and J18</t>
        </r>
      </text>
    </comment>
    <comment ref="E39" authorId="2" shapeId="0" xr:uid="{00000000-0006-0000-0400-000042000000}">
      <text>
        <r>
          <rPr>
            <b/>
            <sz val="8"/>
            <color indexed="81"/>
            <rFont val="Tahoma"/>
            <family val="2"/>
          </rPr>
          <t>Gutz:</t>
        </r>
        <r>
          <rPr>
            <sz val="8"/>
            <color indexed="81"/>
            <rFont val="Tahoma"/>
            <family val="2"/>
          </rPr>
          <t xml:space="preserve">
</t>
        </r>
        <r>
          <rPr>
            <sz val="10"/>
            <color indexed="81"/>
            <rFont val="Tahoma"/>
            <family val="2"/>
          </rPr>
          <t>Free hydrated proton concentration (or activity)</t>
        </r>
      </text>
    </comment>
    <comment ref="F39" authorId="2" shapeId="0" xr:uid="{00000000-0006-0000-0400-000043000000}">
      <text>
        <r>
          <rPr>
            <b/>
            <sz val="8"/>
            <color indexed="81"/>
            <rFont val="Tahoma"/>
            <family val="2"/>
          </rPr>
          <t>Gutz:</t>
        </r>
        <r>
          <rPr>
            <sz val="8"/>
            <color indexed="81"/>
            <rFont val="Tahoma"/>
            <family val="2"/>
          </rPr>
          <t xml:space="preserve">
</t>
        </r>
        <r>
          <rPr>
            <sz val="10"/>
            <color indexed="81"/>
            <rFont val="Tahoma"/>
            <family val="2"/>
          </rPr>
          <t>Total concentration of H+ required to satisfy all protonation equilibria, using the general equation, the concentration s of line 11 and the pKas given or under refinement.</t>
        </r>
      </text>
    </comment>
    <comment ref="G39" authorId="2" shapeId="0" xr:uid="{00000000-0006-0000-0400-000044000000}">
      <text>
        <r>
          <rPr>
            <b/>
            <sz val="10"/>
            <color indexed="81"/>
            <rFont val="Tahoma"/>
            <family val="2"/>
          </rPr>
          <t>Gutz:</t>
        </r>
        <r>
          <rPr>
            <sz val="10"/>
            <color indexed="81"/>
            <rFont val="Tahoma"/>
            <family val="2"/>
          </rPr>
          <t xml:space="preserve">
Dilution factor of the titrant when added to the sample (+water). For example, when the added titrant equals the volume of sample (+water), the factor is 0.5
</t>
        </r>
      </text>
    </comment>
    <comment ref="H39" authorId="2" shapeId="0" xr:uid="{00000000-0006-0000-0400-000045000000}">
      <text>
        <r>
          <rPr>
            <b/>
            <sz val="8"/>
            <color indexed="81"/>
            <rFont val="Tahoma"/>
            <family val="2"/>
          </rPr>
          <t>Gutz:</t>
        </r>
        <r>
          <rPr>
            <sz val="8"/>
            <color indexed="81"/>
            <rFont val="Tahoma"/>
            <family val="2"/>
          </rPr>
          <t xml:space="preserve">
</t>
        </r>
        <r>
          <rPr>
            <sz val="10"/>
            <color indexed="81"/>
            <rFont val="Tahoma"/>
            <family val="2"/>
          </rPr>
          <t>Dilution factor of the sample by optional addition of water (at the beginning) and addition of titrant during the experiment</t>
        </r>
      </text>
    </comment>
    <comment ref="I39" authorId="2" shapeId="0" xr:uid="{00000000-0006-0000-0400-000046000000}">
      <text>
        <r>
          <rPr>
            <b/>
            <sz val="8"/>
            <color indexed="81"/>
            <rFont val="Tahoma"/>
            <family val="2"/>
          </rPr>
          <t>Gutz:</t>
        </r>
        <r>
          <rPr>
            <sz val="8"/>
            <color indexed="81"/>
            <rFont val="Tahoma"/>
            <family val="2"/>
          </rPr>
          <t xml:space="preserve">
</t>
        </r>
        <r>
          <rPr>
            <sz val="10"/>
            <color indexed="81"/>
            <rFont val="Tahoma"/>
            <family val="2"/>
          </rPr>
          <t xml:space="preserve">Mean proton number, </t>
        </r>
        <r>
          <rPr>
            <strike/>
            <sz val="10"/>
            <color indexed="81"/>
            <rFont val="Tahoma"/>
            <family val="2"/>
          </rPr>
          <t>h</t>
        </r>
        <r>
          <rPr>
            <sz val="10"/>
            <color indexed="81"/>
            <rFont val="Tahoma"/>
            <family val="2"/>
          </rPr>
          <t xml:space="preserve">,  associated with a  base B at given pH. 
Consider HiB as partially dissociated at a given pH; </t>
        </r>
        <r>
          <rPr>
            <strike/>
            <sz val="10"/>
            <color indexed="81"/>
            <rFont val="Tahoma"/>
            <family val="2"/>
          </rPr>
          <t>h</t>
        </r>
        <r>
          <rPr>
            <sz val="10"/>
            <color indexed="81"/>
            <rFont val="Tahoma"/>
            <family val="2"/>
          </rPr>
          <t xml:space="preserve"> is the sum of the molar fraction times</t>
        </r>
        <r>
          <rPr>
            <b/>
            <sz val="10"/>
            <color indexed="81"/>
            <rFont val="Tahoma"/>
            <family val="2"/>
          </rPr>
          <t xml:space="preserve"> i</t>
        </r>
        <r>
          <rPr>
            <sz val="10"/>
            <color indexed="81"/>
            <rFont val="Tahoma"/>
            <family val="2"/>
          </rPr>
          <t xml:space="preserve"> of each species.</t>
        </r>
      </text>
    </comment>
    <comment ref="T40" authorId="1" shapeId="0" xr:uid="{00000000-0006-0000-0400-000047000000}">
      <text>
        <r>
          <rPr>
            <b/>
            <sz val="8"/>
            <color indexed="81"/>
            <rFont val="Tahoma"/>
            <family val="2"/>
          </rPr>
          <t>Gutz:</t>
        </r>
        <r>
          <rPr>
            <b/>
            <sz val="10"/>
            <color indexed="81"/>
            <rFont val="Tahoma"/>
            <family val="2"/>
          </rPr>
          <t xml:space="preserve">
</t>
        </r>
        <r>
          <rPr>
            <sz val="10"/>
            <color indexed="81"/>
            <rFont val="Tahoma"/>
            <family val="2"/>
          </rPr>
          <t>Summation of counterions and extra ions already taken in account in I (column S). See J14 for more information.</t>
        </r>
        <r>
          <rPr>
            <sz val="8"/>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Gutz</author>
    <author>Ivano Gebhardt Rolf Gutz</author>
    <author>GPQAI-51</author>
    <author>Ivano G. R. Gutz</author>
  </authors>
  <commentList>
    <comment ref="G1" authorId="0" shapeId="0" xr:uid="{00000000-0006-0000-0500-000001000000}">
      <text>
        <r>
          <rPr>
            <b/>
            <sz val="8"/>
            <color indexed="81"/>
            <rFont val="Tahoma"/>
            <family val="2"/>
          </rPr>
          <t>Gutz:</t>
        </r>
        <r>
          <rPr>
            <sz val="8"/>
            <color indexed="81"/>
            <rFont val="Tahoma"/>
            <family val="2"/>
          </rPr>
          <t xml:space="preserve">
</t>
        </r>
        <r>
          <rPr>
            <sz val="10"/>
            <color indexed="81"/>
            <rFont val="Tahoma"/>
            <family val="2"/>
          </rPr>
          <t xml:space="preserve">This module generates Distribution Diagrams, Buffer Capacity Curves and Protonation Curves as a function of pH for any acid-base system and also presents the same curves as a function of added titrant volume during a titration (real or virtual). To unravel the species equilibria along a titration curve with more than one weak acid or base in the sample, the systems can be plotted one at a time. The color transition of visual indicators can be also be inferred, helping to chose the right one for a given stoichiometric point.
Like most modules of CurTiPot </t>
        </r>
        <r>
          <rPr>
            <b/>
            <sz val="10"/>
            <color indexed="81"/>
            <rFont val="Tahoma"/>
            <family val="2"/>
          </rPr>
          <t>Distribution</t>
        </r>
        <r>
          <rPr>
            <sz val="10"/>
            <color indexed="81"/>
            <rFont val="Tahoma"/>
            <family val="2"/>
          </rPr>
          <t xml:space="preserve"> will not run properly until  macros are enabled following instructions at cell A22 of module pH_calc.
Remark: all curves are computed at a fixed ionic strength chosen in C7 (more information in cell B7).</t>
        </r>
        <r>
          <rPr>
            <sz val="8"/>
            <color indexed="81"/>
            <rFont val="Tahoma"/>
            <family val="2"/>
          </rPr>
          <t xml:space="preserve">
</t>
        </r>
        <r>
          <rPr>
            <sz val="10"/>
            <color indexed="81"/>
            <rFont val="Tahoma"/>
            <family val="2"/>
          </rPr>
          <t xml:space="preserve">The distribution diagrams (or alpha plots) of acids and bases reveal the molar fraction of each species in equilibrium at any pH of the solution. For example, a phosphoric acid / phosphate system at pH 7.0 (considering I=0 for a very dilutes solution):
</t>
        </r>
        <r>
          <rPr>
            <sz val="10"/>
            <color indexed="81"/>
            <rFont val="Symbol"/>
            <family val="1"/>
            <charset val="2"/>
          </rPr>
          <t>a</t>
        </r>
        <r>
          <rPr>
            <vertAlign val="subscript"/>
            <sz val="12"/>
            <color indexed="81"/>
            <rFont val="Symbol"/>
            <family val="1"/>
            <charset val="2"/>
          </rPr>
          <t>0</t>
        </r>
        <r>
          <rPr>
            <sz val="10"/>
            <color indexed="81"/>
            <rFont val="Symbol"/>
            <family val="1"/>
            <charset val="2"/>
          </rPr>
          <t xml:space="preserve"> </t>
        </r>
        <r>
          <rPr>
            <sz val="10"/>
            <color indexed="81"/>
            <rFont val="Tahoma"/>
            <family val="2"/>
          </rPr>
          <t>= 0.00  or 0% of phosphate; log</t>
        </r>
        <r>
          <rPr>
            <sz val="10"/>
            <color indexed="81"/>
            <rFont val="Symbol"/>
            <family val="1"/>
            <charset val="2"/>
          </rPr>
          <t xml:space="preserve"> a</t>
        </r>
        <r>
          <rPr>
            <vertAlign val="subscript"/>
            <sz val="12"/>
            <color indexed="81"/>
            <rFont val="Symbol"/>
            <family val="1"/>
            <charset val="2"/>
          </rPr>
          <t>0</t>
        </r>
        <r>
          <rPr>
            <sz val="10"/>
            <color indexed="81"/>
            <rFont val="Symbol"/>
            <family val="1"/>
            <charset val="2"/>
          </rPr>
          <t xml:space="preserve"> = -5.76 
a</t>
        </r>
        <r>
          <rPr>
            <vertAlign val="subscript"/>
            <sz val="12"/>
            <color indexed="81"/>
            <rFont val="Symbol"/>
            <family val="1"/>
            <charset val="2"/>
          </rPr>
          <t>1</t>
        </r>
        <r>
          <rPr>
            <sz val="10"/>
            <color indexed="81"/>
            <rFont val="Tahoma"/>
            <family val="2"/>
          </rPr>
          <t xml:space="preserve"> = 0.387  or 38.7% of hydrogen phosphate; log</t>
        </r>
        <r>
          <rPr>
            <sz val="10"/>
            <color indexed="81"/>
            <rFont val="Symbol"/>
            <family val="1"/>
            <charset val="2"/>
          </rPr>
          <t xml:space="preserve"> a</t>
        </r>
        <r>
          <rPr>
            <vertAlign val="subscript"/>
            <sz val="12"/>
            <color indexed="81"/>
            <rFont val="Symbol"/>
            <family val="1"/>
            <charset val="2"/>
          </rPr>
          <t>1</t>
        </r>
        <r>
          <rPr>
            <sz val="10"/>
            <color indexed="81"/>
            <rFont val="Tahoma"/>
            <family val="2"/>
          </rPr>
          <t xml:space="preserve"> = -0,412 </t>
        </r>
        <r>
          <rPr>
            <sz val="10"/>
            <color indexed="81"/>
            <rFont val="Symbol"/>
            <family val="1"/>
            <charset val="2"/>
          </rPr>
          <t xml:space="preserve">
a</t>
        </r>
        <r>
          <rPr>
            <vertAlign val="subscript"/>
            <sz val="12"/>
            <color indexed="81"/>
            <rFont val="Symbol"/>
            <family val="1"/>
            <charset val="2"/>
          </rPr>
          <t>2</t>
        </r>
        <r>
          <rPr>
            <sz val="10"/>
            <color indexed="81"/>
            <rFont val="Symbol"/>
            <family val="1"/>
            <charset val="2"/>
          </rPr>
          <t xml:space="preserve"> </t>
        </r>
        <r>
          <rPr>
            <sz val="10"/>
            <color indexed="81"/>
            <rFont val="Tahoma"/>
            <family val="2"/>
          </rPr>
          <t xml:space="preserve">= 0.613 or 61.3% of dihydrogen phosphate; log </t>
        </r>
        <r>
          <rPr>
            <sz val="10"/>
            <color indexed="81"/>
            <rFont val="Symbol"/>
            <family val="1"/>
            <charset val="2"/>
          </rPr>
          <t>a</t>
        </r>
        <r>
          <rPr>
            <vertAlign val="subscript"/>
            <sz val="12"/>
            <color indexed="81"/>
            <rFont val="Symbol"/>
            <family val="1"/>
            <charset val="2"/>
          </rPr>
          <t>2</t>
        </r>
        <r>
          <rPr>
            <sz val="10"/>
            <color indexed="81"/>
            <rFont val="Tahoma"/>
            <family val="2"/>
          </rPr>
          <t xml:space="preserve"> = -0,213</t>
        </r>
        <r>
          <rPr>
            <sz val="10"/>
            <color indexed="81"/>
            <rFont val="Symbol"/>
            <family val="1"/>
            <charset val="2"/>
          </rPr>
          <t xml:space="preserve">
a</t>
        </r>
        <r>
          <rPr>
            <vertAlign val="subscript"/>
            <sz val="12"/>
            <color indexed="81"/>
            <rFont val="Symbol"/>
            <family val="1"/>
            <charset val="2"/>
          </rPr>
          <t>3</t>
        </r>
        <r>
          <rPr>
            <sz val="10"/>
            <color indexed="81"/>
            <rFont val="Symbol"/>
            <family val="1"/>
            <charset val="2"/>
          </rPr>
          <t xml:space="preserve"> </t>
        </r>
        <r>
          <rPr>
            <sz val="10"/>
            <color indexed="81"/>
            <rFont val="Tahoma"/>
            <family val="2"/>
          </rPr>
          <t xml:space="preserve">= 0.00   or 0% of phosphoric acid; log </t>
        </r>
        <r>
          <rPr>
            <sz val="10"/>
            <color indexed="81"/>
            <rFont val="Symbol"/>
            <family val="1"/>
            <charset val="2"/>
          </rPr>
          <t>a</t>
        </r>
        <r>
          <rPr>
            <vertAlign val="subscript"/>
            <sz val="12"/>
            <color indexed="81"/>
            <rFont val="Symbol"/>
            <family val="1"/>
            <charset val="2"/>
          </rPr>
          <t>3</t>
        </r>
        <r>
          <rPr>
            <sz val="10"/>
            <color indexed="81"/>
            <rFont val="Tahoma"/>
            <family val="2"/>
          </rPr>
          <t xml:space="preserve"> = -5.07</t>
        </r>
        <r>
          <rPr>
            <sz val="10"/>
            <color indexed="81"/>
            <rFont val="Symbol"/>
            <family val="1"/>
            <charset val="2"/>
          </rPr>
          <t xml:space="preserve">
</t>
        </r>
        <r>
          <rPr>
            <sz val="10"/>
            <color indexed="81"/>
            <rFont val="Tahoma"/>
            <family val="2"/>
          </rPr>
          <t xml:space="preserve">Since the index i of </t>
        </r>
        <r>
          <rPr>
            <sz val="12"/>
            <color indexed="81"/>
            <rFont val="Symbol"/>
            <family val="1"/>
            <charset val="2"/>
          </rPr>
          <t>a</t>
        </r>
        <r>
          <rPr>
            <vertAlign val="subscript"/>
            <sz val="12"/>
            <color indexed="81"/>
            <rFont val="Tahoma"/>
            <family val="2"/>
          </rPr>
          <t>i</t>
        </r>
        <r>
          <rPr>
            <sz val="10"/>
            <color indexed="81"/>
            <rFont val="Tahoma"/>
            <family val="2"/>
          </rPr>
          <t xml:space="preserve"> is the number or protons bound to the base, the dominant species is H</t>
        </r>
        <r>
          <rPr>
            <vertAlign val="subscript"/>
            <sz val="12"/>
            <color indexed="81"/>
            <rFont val="Tahoma"/>
            <family val="2"/>
          </rPr>
          <t>2</t>
        </r>
        <r>
          <rPr>
            <sz val="10"/>
            <color indexed="81"/>
            <rFont val="Tahoma"/>
            <family val="2"/>
          </rPr>
          <t>PO</t>
        </r>
        <r>
          <rPr>
            <vertAlign val="subscript"/>
            <sz val="12"/>
            <color indexed="81"/>
            <rFont val="Tahoma"/>
            <family val="2"/>
          </rPr>
          <t>4</t>
        </r>
        <r>
          <rPr>
            <vertAlign val="superscript"/>
            <sz val="12"/>
            <color indexed="81"/>
            <rFont val="Tahoma"/>
            <family val="2"/>
          </rPr>
          <t>–</t>
        </r>
        <r>
          <rPr>
            <sz val="10"/>
            <color indexed="81"/>
            <rFont val="Tahoma"/>
            <family val="2"/>
          </rPr>
          <t>, with 61.3%, followed by HPO</t>
        </r>
        <r>
          <rPr>
            <vertAlign val="subscript"/>
            <sz val="12"/>
            <color indexed="81"/>
            <rFont val="Tahoma"/>
            <family val="2"/>
          </rPr>
          <t>4</t>
        </r>
        <r>
          <rPr>
            <vertAlign val="superscript"/>
            <sz val="12"/>
            <color indexed="81"/>
            <rFont val="Tahoma"/>
            <family val="2"/>
          </rPr>
          <t>=</t>
        </r>
        <r>
          <rPr>
            <sz val="10"/>
            <color indexed="81"/>
            <rFont val="Tahoma"/>
            <family val="2"/>
          </rPr>
          <t xml:space="preserve"> with 38.7%, while only 0.0002%  of phosphate and 0.0009% of H</t>
        </r>
        <r>
          <rPr>
            <vertAlign val="subscript"/>
            <sz val="12"/>
            <color indexed="81"/>
            <rFont val="Tahoma"/>
            <family val="2"/>
          </rPr>
          <t>3</t>
        </r>
        <r>
          <rPr>
            <sz val="10"/>
            <color indexed="81"/>
            <rFont val="Tahoma"/>
            <family val="2"/>
          </rPr>
          <t>PO</t>
        </r>
        <r>
          <rPr>
            <vertAlign val="subscript"/>
            <sz val="12"/>
            <color indexed="81"/>
            <rFont val="Tahoma"/>
            <family val="2"/>
          </rPr>
          <t>4</t>
        </r>
        <r>
          <rPr>
            <sz val="10"/>
            <color indexed="81"/>
            <rFont val="Tahoma"/>
            <family val="2"/>
          </rPr>
          <t xml:space="preserve"> coexist at this pH; the average number of protons bound to each phosphate at this pH is 1.61, as shown in column P.
All numerical values of the graphs are available in columns O to BL.
</t>
        </r>
      </text>
    </comment>
    <comment ref="E2" authorId="0" shapeId="0" xr:uid="{00000000-0006-0000-0500-000002000000}">
      <text>
        <r>
          <rPr>
            <b/>
            <sz val="8"/>
            <color indexed="81"/>
            <rFont val="Tahoma"/>
            <family val="2"/>
          </rPr>
          <t>Gutz:</t>
        </r>
        <r>
          <rPr>
            <sz val="8"/>
            <color indexed="81"/>
            <rFont val="Tahoma"/>
            <family val="2"/>
          </rPr>
          <t xml:space="preserve">
</t>
        </r>
        <r>
          <rPr>
            <sz val="10"/>
            <color indexed="81"/>
            <rFont val="Tahoma"/>
            <family val="2"/>
          </rPr>
          <t>How to load pKas:
a) Click on control E3, slide along the list, click on a name; the  pKas will be loaded from the Database; finally, click on B3 to plot the curves;
b) Systems unavailable in the Database (real or hypothetical) should be added first to the Database; write the name and pKas in line 10 of the Database (or at the end of the list); return to Distribution and proceed as in a).
To add frequently used systems permanently to the Database, simply save the updated curtipot_.xlsm file.</t>
        </r>
      </text>
    </comment>
    <comment ref="G2" authorId="0" shapeId="0" xr:uid="{00000000-0006-0000-0500-000003000000}">
      <text>
        <r>
          <rPr>
            <b/>
            <sz val="8"/>
            <color indexed="81"/>
            <rFont val="Tahoma"/>
            <family val="2"/>
          </rPr>
          <t>Gutz:</t>
        </r>
        <r>
          <rPr>
            <sz val="8"/>
            <color indexed="81"/>
            <rFont val="Tahoma"/>
            <family val="2"/>
          </rPr>
          <t xml:space="preserve">
</t>
        </r>
        <r>
          <rPr>
            <sz val="10"/>
            <color indexed="81"/>
            <rFont val="Tahoma"/>
            <family val="2"/>
          </rPr>
          <t xml:space="preserve">The betas are cumulative (or global) protonation constants, obtained by multiplying the protonation constants Kp from 1 to i, with i stepping up from 1 to n (the maximum number of protons accepted by a (conjugated) base, same as the maximum number of dissociable protons of an acid, but in reversed order). 
Note that pKa = logKp for a monoprotic acid (because Kp = 1/Kd or pKd = 1/logKd ) and, for multiprotic systems, the first logKp is the last pKa.
</t>
        </r>
      </text>
    </comment>
    <comment ref="E4" authorId="0" shapeId="0" xr:uid="{00000000-0006-0000-0500-000004000000}">
      <text>
        <r>
          <rPr>
            <b/>
            <sz val="8"/>
            <color indexed="81"/>
            <rFont val="Tahoma"/>
            <family val="2"/>
          </rPr>
          <t>Gutz:</t>
        </r>
        <r>
          <rPr>
            <sz val="8"/>
            <color indexed="81"/>
            <rFont val="Tahoma"/>
            <family val="2"/>
          </rPr>
          <t xml:space="preserve">
</t>
        </r>
        <r>
          <rPr>
            <sz val="10"/>
            <color indexed="81"/>
            <rFont val="Tahoma"/>
            <family val="2"/>
          </rPr>
          <t xml:space="preserve">Do </t>
        </r>
        <r>
          <rPr>
            <b/>
            <sz val="10"/>
            <color indexed="81"/>
            <rFont val="Tahoma"/>
            <family val="2"/>
          </rPr>
          <t>not</t>
        </r>
        <r>
          <rPr>
            <sz val="10"/>
            <color indexed="81"/>
            <rFont val="Tahoma"/>
            <family val="2"/>
          </rPr>
          <t xml:space="preserve"> write here! 
Click on </t>
        </r>
        <r>
          <rPr>
            <b/>
            <sz val="10"/>
            <color indexed="81"/>
            <rFont val="Tahoma"/>
            <family val="2"/>
          </rPr>
          <t>D3</t>
        </r>
        <r>
          <rPr>
            <sz val="10"/>
            <color indexed="81"/>
            <rFont val="Tahoma"/>
            <family val="2"/>
          </rPr>
          <t xml:space="preserve"> to select an acid or base.
To try other real or hypothetical systems,  write their pKas in line 10 of the </t>
        </r>
        <r>
          <rPr>
            <b/>
            <sz val="10"/>
            <color indexed="81"/>
            <rFont val="Tahoma"/>
            <family val="2"/>
          </rPr>
          <t>Database</t>
        </r>
        <r>
          <rPr>
            <sz val="10"/>
            <color indexed="81"/>
            <rFont val="Tahoma"/>
            <family val="2"/>
          </rPr>
          <t xml:space="preserve"> (or at the end of the list); return to </t>
        </r>
        <r>
          <rPr>
            <b/>
            <sz val="10"/>
            <color indexed="81"/>
            <rFont val="Tahoma"/>
            <family val="2"/>
          </rPr>
          <t>Distribution</t>
        </r>
        <r>
          <rPr>
            <sz val="10"/>
            <color indexed="81"/>
            <rFont val="Tahoma"/>
            <family val="2"/>
          </rPr>
          <t xml:space="preserve"> and proceed as before. 
</t>
        </r>
      </text>
    </comment>
    <comment ref="F4" authorId="0" shapeId="0" xr:uid="{00000000-0006-0000-0500-000005000000}">
      <text>
        <r>
          <rPr>
            <b/>
            <sz val="8"/>
            <color indexed="81"/>
            <rFont val="Tahoma"/>
            <family val="2"/>
          </rPr>
          <t>Gutz:</t>
        </r>
        <r>
          <rPr>
            <sz val="8"/>
            <color indexed="81"/>
            <rFont val="Tahoma"/>
            <family val="2"/>
          </rPr>
          <t xml:space="preserve">
</t>
        </r>
        <r>
          <rPr>
            <sz val="10"/>
            <color indexed="81"/>
            <rFont val="Tahoma"/>
            <family val="2"/>
          </rPr>
          <t>Blank cells were filled with a neglectable constant ,10</t>
        </r>
        <r>
          <rPr>
            <vertAlign val="superscript"/>
            <sz val="12"/>
            <color indexed="81"/>
            <rFont val="Tahoma"/>
            <family val="2"/>
          </rPr>
          <t>-10</t>
        </r>
        <r>
          <rPr>
            <sz val="10"/>
            <color indexed="81"/>
            <rFont val="Tahoma"/>
            <family val="2"/>
          </rPr>
          <t>,  for calculation convenience.
The betas are cumulative (or global) protonation constants, obtained by the product of the protonation constants Kp from 1 to i, with i stepping up to n (the maximum number of protons accepted by a base, same as the maximum number of dissociable protons of an acid, but in reversed order).
Note that pKa = logKp for a monoprotic acid (because Kp = 1/Kd or pKd = 1/logKd ) and, for multiprotic systems, the first logKp is the last pKa.
Protonation constants, Kp, and betas are preferred here in agreement with the most extensive compilations of equilibrium constants, e.g., Critical Stability Constants, Vol. 1–4 (complete reference in the Database), and because the equations become unified with those used for metal-ligand-proton equilibria, based on formation (instead of dissociation) constants.</t>
        </r>
      </text>
    </comment>
    <comment ref="G4" authorId="1" shapeId="0" xr:uid="{00000000-0006-0000-0500-000006000000}">
      <text>
        <r>
          <rPr>
            <b/>
            <sz val="8"/>
            <color indexed="81"/>
            <rFont val="Tahoma"/>
            <family val="2"/>
          </rPr>
          <t>Gutz</t>
        </r>
        <r>
          <rPr>
            <b/>
            <sz val="8"/>
            <color indexed="81"/>
            <rFont val="Tahoma"/>
            <family val="2"/>
          </rPr>
          <t>:</t>
        </r>
        <r>
          <rPr>
            <sz val="8"/>
            <color indexed="81"/>
            <rFont val="Tahoma"/>
            <family val="2"/>
          </rPr>
          <t xml:space="preserve">
</t>
        </r>
        <r>
          <rPr>
            <sz val="10"/>
            <color indexed="81"/>
            <rFont val="Tahoma"/>
            <family val="2"/>
          </rPr>
          <t>Do NOT write in this cell or any other one of the same color, not to corrupt  the equations.</t>
        </r>
      </text>
    </comment>
    <comment ref="H4" authorId="1" shapeId="0" xr:uid="{00000000-0006-0000-0500-000007000000}">
      <text>
        <r>
          <rPr>
            <b/>
            <sz val="8"/>
            <color indexed="81"/>
            <rFont val="Tahoma"/>
            <family val="2"/>
          </rPr>
          <t>Gutz</t>
        </r>
        <r>
          <rPr>
            <b/>
            <sz val="8"/>
            <color indexed="81"/>
            <rFont val="Tahoma"/>
            <family val="2"/>
          </rPr>
          <t>:</t>
        </r>
        <r>
          <rPr>
            <sz val="8"/>
            <color indexed="81"/>
            <rFont val="Tahoma"/>
            <family val="2"/>
          </rPr>
          <t xml:space="preserve">
</t>
        </r>
        <r>
          <rPr>
            <sz val="10"/>
            <color indexed="81"/>
            <rFont val="Tahoma"/>
            <family val="2"/>
          </rPr>
          <t>Do NOT write in this cell or any other one of the same color, not to corrupt  the equations.</t>
        </r>
      </text>
    </comment>
    <comment ref="B7" authorId="2" shapeId="0" xr:uid="{00000000-0006-0000-0500-000008000000}">
      <text>
        <r>
          <rPr>
            <b/>
            <sz val="8"/>
            <color indexed="81"/>
            <rFont val="Tahoma"/>
            <family val="2"/>
          </rPr>
          <t>Gutz:</t>
        </r>
        <r>
          <rPr>
            <sz val="10"/>
            <color indexed="81"/>
            <rFont val="Tahoma"/>
            <family val="2"/>
          </rPr>
          <t xml:space="preserve">
The ionic strength, I, is a determining parameter in the equations used for the estimation of the ions activity coefficients (</t>
        </r>
        <r>
          <rPr>
            <sz val="11"/>
            <color indexed="81"/>
            <rFont val="Symbol"/>
            <family val="1"/>
            <charset val="2"/>
          </rPr>
          <t>g</t>
        </r>
        <r>
          <rPr>
            <vertAlign val="subscript"/>
            <sz val="11"/>
            <color indexed="81"/>
            <rFont val="Tahoma"/>
            <family val="2"/>
          </rPr>
          <t>i</t>
        </r>
        <r>
          <rPr>
            <sz val="10"/>
            <color indexed="81"/>
            <rFont val="Tahoma"/>
            <family val="2"/>
          </rPr>
          <t>) that affect the pKas and thus the cistribution curves. It consists of half of the summation of the concentration of each ion times the square of its charge: 
I = 0.5</t>
        </r>
        <r>
          <rPr>
            <sz val="12"/>
            <color indexed="81"/>
            <rFont val="Symbol"/>
            <family val="1"/>
            <charset val="2"/>
          </rPr>
          <t>S</t>
        </r>
        <r>
          <rPr>
            <sz val="10"/>
            <color indexed="81"/>
            <rFont val="Tahoma"/>
            <family val="2"/>
          </rPr>
          <t>c</t>
        </r>
        <r>
          <rPr>
            <vertAlign val="subscript"/>
            <sz val="10"/>
            <color indexed="81"/>
            <rFont val="Tahoma"/>
            <family val="2"/>
          </rPr>
          <t>i</t>
        </r>
        <r>
          <rPr>
            <sz val="10"/>
            <color indexed="81"/>
            <rFont val="Tahoma"/>
            <family val="2"/>
          </rPr>
          <t>z</t>
        </r>
        <r>
          <rPr>
            <vertAlign val="subscript"/>
            <sz val="10"/>
            <color indexed="81"/>
            <rFont val="Tahoma"/>
            <family val="2"/>
          </rPr>
          <t>i</t>
        </r>
        <r>
          <rPr>
            <vertAlign val="superscript"/>
            <sz val="10"/>
            <color indexed="81"/>
            <rFont val="Tahoma"/>
            <family val="2"/>
          </rPr>
          <t>2</t>
        </r>
        <r>
          <rPr>
            <sz val="10"/>
            <color indexed="81"/>
            <rFont val="Tahoma"/>
            <family val="2"/>
          </rPr>
          <t xml:space="preserve">
All curves and the isoelectric point calculated using the Davies equation for the estimation of the activity coefficient at this fixed ionic strength, I, chosen in C7 (limitations of the Davies equation at I&gt;0,1 mol/L are commented in the pH_calc module, cells D26, A23 e K15).
Along a titration, while the pH is changing, uncharged species can be replaced by charged ones and vice versa, causing some variation of the ionic strength (not taken in account here, where I is assumed to be constant, but computed in the pH_calc, Simulation and Regression modules). 
However, when the aim of a titration is to determine equilibrium constants like pKas (instead of concentrations in a sample), an effort is usually made to keep I as constant as possible by addition of inert electrolyte (like KNO</t>
        </r>
        <r>
          <rPr>
            <vertAlign val="subscript"/>
            <sz val="12"/>
            <color indexed="81"/>
            <rFont val="Tahoma"/>
            <family val="2"/>
          </rPr>
          <t>3</t>
        </r>
        <r>
          <rPr>
            <sz val="10"/>
            <color indexed="81"/>
            <rFont val="Tahoma"/>
            <family val="2"/>
          </rPr>
          <t xml:space="preserve"> or NaClO</t>
        </r>
        <r>
          <rPr>
            <vertAlign val="subscript"/>
            <sz val="12"/>
            <color indexed="81"/>
            <rFont val="Tahoma"/>
            <family val="2"/>
          </rPr>
          <t>4</t>
        </r>
        <r>
          <rPr>
            <sz val="10"/>
            <color indexed="81"/>
            <rFont val="Tahoma"/>
            <family val="2"/>
          </rPr>
          <t xml:space="preserve">) to the titrant and titrand solutions. Eventually, determination of pKas by many titrations made at decreasing I allows the  extrapolation to I=0, rendering thermodynamic pKas, like most of those in the Database of CurTiPot.
</t>
        </r>
      </text>
    </comment>
    <comment ref="M7" authorId="1" shapeId="0" xr:uid="{00000000-0006-0000-0500-000009000000}">
      <text>
        <r>
          <rPr>
            <b/>
            <sz val="8"/>
            <color indexed="81"/>
            <rFont val="Tahoma"/>
            <family val="2"/>
          </rPr>
          <t>Gutz:</t>
        </r>
        <r>
          <rPr>
            <sz val="8"/>
            <color indexed="81"/>
            <rFont val="Tahoma"/>
            <family val="2"/>
          </rPr>
          <t xml:space="preserve">
</t>
        </r>
        <r>
          <rPr>
            <sz val="10"/>
            <color indexed="81"/>
            <rFont val="Tahoma"/>
            <family val="2"/>
          </rPr>
          <t>Hover the mouse on a curve and point any data point to readout its ID and coordinates.
To add labels to your graphics, activate the drawing tools of Excel and insert text boxes.</t>
        </r>
      </text>
    </comment>
    <comment ref="B8" authorId="3" shapeId="0" xr:uid="{00000000-0006-0000-0500-00000A000000}">
      <text>
        <r>
          <rPr>
            <b/>
            <sz val="8"/>
            <color indexed="81"/>
            <rFont val="Tahoma"/>
            <family val="2"/>
          </rPr>
          <t xml:space="preserve">Gutz:
</t>
        </r>
        <r>
          <rPr>
            <sz val="10"/>
            <color indexed="81"/>
            <rFont val="Tahoma"/>
            <family val="2"/>
          </rPr>
          <t>Buffer Capacity=Buffer Strength x ln(10)</t>
        </r>
        <r>
          <rPr>
            <b/>
            <sz val="8"/>
            <color indexed="81"/>
            <rFont val="Tahoma"/>
            <family val="2"/>
          </rPr>
          <t xml:space="preserve">
</t>
        </r>
        <r>
          <rPr>
            <sz val="10"/>
            <color indexed="81"/>
            <rFont val="Tahoma"/>
            <family val="2"/>
          </rPr>
          <t xml:space="preserve">The Buffer Capacity, BC, (or Buffer Index) can be understood as the concentration of strong acid or base that, when added to the solution under consideration, would shift the pH by one unit, in a hypothetical pH region of constant BC. Since the BC changes (sometimes, rapidly) with pH (as shown in Figures 2a, 2b, 4a and 4b), estimates of the resistance against acid or base addition are reasonably accurate only for a </t>
        </r>
        <r>
          <rPr>
            <sz val="10"/>
            <color indexed="81"/>
            <rFont val="Symbol"/>
            <family val="1"/>
            <charset val="2"/>
          </rPr>
          <t>D</t>
        </r>
        <r>
          <rPr>
            <sz val="10"/>
            <color indexed="81"/>
            <rFont val="Tahoma"/>
            <family val="2"/>
          </rPr>
          <t>pH of 0.1 or less. 
See an example of BC in comment of cell N37.
Use the pH_calc module to work out more examples (read also cell E27).
Detailed explanation and references, see, e.g., the open access article: Understanding, Deriving, and Computing Buffer Capacity, by Edward T. Urbansky and Michael R. Schock, Journal of Chemical Education, 2000, Vol. 77, 1640-44, http://pubs.acs.org/doi/pdf/10.1021/ed077p1640.</t>
        </r>
      </text>
    </comment>
    <comment ref="M8" authorId="1" shapeId="0" xr:uid="{00000000-0006-0000-0500-00000B000000}">
      <text>
        <r>
          <rPr>
            <b/>
            <sz val="8"/>
            <color indexed="81"/>
            <rFont val="Tahoma"/>
            <family val="2"/>
          </rPr>
          <t>Gutz:</t>
        </r>
        <r>
          <rPr>
            <sz val="8"/>
            <color indexed="81"/>
            <rFont val="Tahoma"/>
            <family val="2"/>
          </rPr>
          <t xml:space="preserve">
</t>
        </r>
        <r>
          <rPr>
            <sz val="10"/>
            <color indexed="81"/>
            <rFont val="Tahoma"/>
            <family val="2"/>
          </rPr>
          <t xml:space="preserve">To copy graphics with simulated curves and paste them into other documents (e.g.: Word or Excel without links to the original:
- Fill out the header of the figure (optional)
- Click in the box of the figure near the margins, to select it
  (for Excel versions older than 12 (2007) - Uncheck/check F25 to replot the curve) </t>
        </r>
        <r>
          <rPr>
            <b/>
            <sz val="10"/>
            <color indexed="81"/>
            <rFont val="Tahoma"/>
            <family val="2"/>
          </rPr>
          <t xml:space="preserve">
</t>
        </r>
        <r>
          <rPr>
            <sz val="10"/>
            <color indexed="81"/>
            <rFont val="Tahoma"/>
            <family val="2"/>
          </rPr>
          <t>- Press Ctrl+C (and wait for processing)
- Switch to the Word document or another Excel spreadsheet 
- Select Insert/Paste Special/Picture (enhanced metafile)
Obs.: do NOT use Ctrl+C and Ctrl+V, because the figure may become coupled with CurTiPot and respond to changes.</t>
        </r>
      </text>
    </comment>
    <comment ref="M9" authorId="1" shapeId="0" xr:uid="{00000000-0006-0000-0500-00000C000000}">
      <text>
        <r>
          <rPr>
            <b/>
            <sz val="10"/>
            <color indexed="81"/>
            <rFont val="Tahoma"/>
            <family val="2"/>
          </rPr>
          <t>Gutz:</t>
        </r>
        <r>
          <rPr>
            <sz val="10"/>
            <color indexed="81"/>
            <rFont val="Tahoma"/>
            <family val="2"/>
          </rPr>
          <t xml:space="preserve">
Click twice on the volume or pH scale to redefine it.
Use Ctrl+Z (as many times as needed) to undo scale expansion</t>
        </r>
      </text>
    </comment>
    <comment ref="D10" authorId="0" shapeId="0" xr:uid="{00000000-0006-0000-0500-00000D000000}">
      <text>
        <r>
          <rPr>
            <b/>
            <sz val="8"/>
            <color indexed="81"/>
            <rFont val="Tahoma"/>
            <family val="2"/>
          </rPr>
          <t xml:space="preserve">Gutz: 
</t>
        </r>
        <r>
          <rPr>
            <sz val="10"/>
            <color indexed="81"/>
            <rFont val="Tahoma"/>
            <family val="2"/>
          </rPr>
          <t>Charge of the most deprotonated species of an acid or base in accordance with the highest pKa for the system, e.g., 
 0 for NH3 or pyridine
-1 for acetate/acetic acid
-2 for carbonate//carbonic acid
-3 for phosphate///phosphoric acid 
-4 for EDTA</t>
        </r>
      </text>
    </comment>
    <comment ref="X10" authorId="3" shapeId="0" xr:uid="{00000000-0006-0000-0500-00000E000000}">
      <text>
        <r>
          <rPr>
            <b/>
            <sz val="8"/>
            <color indexed="81"/>
            <rFont val="Tahoma"/>
            <family val="2"/>
          </rPr>
          <t xml:space="preserve">Gutz:
</t>
        </r>
        <r>
          <rPr>
            <sz val="10"/>
            <color indexed="81"/>
            <rFont val="Tahoma"/>
            <family val="2"/>
          </rPr>
          <t xml:space="preserve">The Buffer Capacity, BC, (or Buffer Index, BI) can be understood as the concentration of (strong) acid or sodium hydroxide that, when added to the solution under consideration, would shift the pH by one unit, in a hypothetical pH region of constant BC. Since BC can change  rapidly with pH (as shown in Figures 3 and 7 in "Distribution"), estimates of the resistance against acid or base addition are reasonably accurate only for 0.1 </t>
        </r>
        <r>
          <rPr>
            <sz val="10"/>
            <color indexed="81"/>
            <rFont val="Symbol"/>
            <family val="1"/>
            <charset val="2"/>
          </rPr>
          <t>D</t>
        </r>
        <r>
          <rPr>
            <sz val="10"/>
            <color indexed="81"/>
            <rFont val="Tahoma"/>
            <family val="2"/>
          </rPr>
          <t>pH or less.
For example, a buffer solution of pH 7.001 prepared with 0.0200 mol/L NaH</t>
        </r>
        <r>
          <rPr>
            <vertAlign val="subscript"/>
            <sz val="12"/>
            <color indexed="81"/>
            <rFont val="Tahoma"/>
            <family val="2"/>
          </rPr>
          <t>2</t>
        </r>
        <r>
          <rPr>
            <sz val="10"/>
            <color indexed="81"/>
            <rFont val="Tahoma"/>
            <family val="2"/>
          </rPr>
          <t>PO</t>
        </r>
        <r>
          <rPr>
            <vertAlign val="subscript"/>
            <sz val="12"/>
            <color indexed="81"/>
            <rFont val="Tahoma"/>
            <family val="2"/>
          </rPr>
          <t>4</t>
        </r>
        <r>
          <rPr>
            <sz val="10"/>
            <color indexed="81"/>
            <rFont val="Tahoma"/>
            <family val="2"/>
          </rPr>
          <t xml:space="preserve">  and 0.0265 mol/L Na</t>
        </r>
        <r>
          <rPr>
            <vertAlign val="subscript"/>
            <sz val="12"/>
            <color indexed="81"/>
            <rFont val="Tahoma"/>
            <family val="2"/>
          </rPr>
          <t>2</t>
        </r>
        <r>
          <rPr>
            <sz val="10"/>
            <color indexed="81"/>
            <rFont val="Tahoma"/>
            <family val="2"/>
          </rPr>
          <t>HPO</t>
        </r>
        <r>
          <rPr>
            <vertAlign val="subscript"/>
            <sz val="12"/>
            <color indexed="81"/>
            <rFont val="Tahoma"/>
            <family val="2"/>
          </rPr>
          <t>4</t>
        </r>
        <r>
          <rPr>
            <sz val="10"/>
            <color indexed="81"/>
            <rFont val="Tahoma"/>
            <family val="2"/>
          </rPr>
          <t xml:space="preserve"> presents a BC= 0.02625. 
i) The addition of acid or base in a BC/10 concentration, aiming a </t>
        </r>
        <r>
          <rPr>
            <sz val="10"/>
            <color indexed="81"/>
            <rFont val="Symbol"/>
            <family val="1"/>
            <charset val="2"/>
          </rPr>
          <t>D</t>
        </r>
        <r>
          <rPr>
            <sz val="10"/>
            <color indexed="81"/>
            <rFont val="Tahoma"/>
            <family val="2"/>
          </rPr>
          <t xml:space="preserve">pH of 0.1, renders an accurate result. Calculation of the pH of the described buffer plus 0.002625 mol/L HCl shows a pH to  6.904, close to the expected 6.901; a similar concentration of NaOH increases the pH to 7.098, practically 7.101.
ii) The addition of a concentration equal to BC of strong acid or base produces a </t>
        </r>
        <r>
          <rPr>
            <sz val="10"/>
            <color indexed="81"/>
            <rFont val="Symbol"/>
            <family val="1"/>
            <charset val="2"/>
          </rPr>
          <t>D</t>
        </r>
        <r>
          <rPr>
            <sz val="10"/>
            <color indexed="81"/>
            <rFont val="Tahoma"/>
            <family val="2"/>
          </rPr>
          <t>pH larger than the aimed one unit, because, for the example under consideration, BC presents a maximum at pH 6.87 (see Distribution). Addition of [HCl]=0.02625 mol/L renders a pH of 4.79 instead of 6.00 while addition of [NaOH]=0.02625 mol/L raises the pH to 10.86 (an overshot of 2.9 units, worse than in the acidic side because there is more HPO</t>
        </r>
        <r>
          <rPr>
            <vertAlign val="subscript"/>
            <sz val="12"/>
            <color indexed="81"/>
            <rFont val="Tahoma"/>
            <family val="2"/>
          </rPr>
          <t>4</t>
        </r>
        <r>
          <rPr>
            <vertAlign val="superscript"/>
            <sz val="12"/>
            <color indexed="81"/>
            <rFont val="Tahoma"/>
            <family val="2"/>
          </rPr>
          <t>2-</t>
        </r>
        <r>
          <rPr>
            <sz val="10"/>
            <color indexed="81"/>
            <rFont val="Tahoma"/>
            <family val="2"/>
          </rPr>
          <t xml:space="preserve"> than H</t>
        </r>
        <r>
          <rPr>
            <vertAlign val="subscript"/>
            <sz val="12"/>
            <color indexed="81"/>
            <rFont val="Tahoma"/>
            <family val="2"/>
          </rPr>
          <t>2</t>
        </r>
        <r>
          <rPr>
            <sz val="10"/>
            <color indexed="81"/>
            <rFont val="Tahoma"/>
            <family val="2"/>
          </rPr>
          <t>PO</t>
        </r>
        <r>
          <rPr>
            <vertAlign val="subscript"/>
            <sz val="12"/>
            <color indexed="81"/>
            <rFont val="Tahoma"/>
            <family val="2"/>
          </rPr>
          <t>4</t>
        </r>
        <r>
          <rPr>
            <vertAlign val="superscript"/>
            <sz val="12"/>
            <color indexed="81"/>
            <rFont val="Tahoma"/>
            <family val="2"/>
          </rPr>
          <t>-</t>
        </r>
        <r>
          <rPr>
            <sz val="10"/>
            <color indexed="81"/>
            <rFont val="Tahoma"/>
            <family val="2"/>
          </rPr>
          <t xml:space="preserve"> in the buffer). 
More about, e.g.: Understanding, Deriving, and Computing Buffer Capacity, by Edward T. Urbansky and Michael R. Schock, Journal of Chemical Education,  2000, Vol. 77, 1640-44 and references cited therein.</t>
        </r>
      </text>
    </comment>
    <comment ref="BI11" authorId="2" shapeId="0" xr:uid="{00000000-0006-0000-0500-00000F000000}">
      <text>
        <r>
          <rPr>
            <b/>
            <sz val="8"/>
            <color indexed="81"/>
            <rFont val="Tahoma"/>
            <family val="2"/>
          </rPr>
          <t>Gutz:</t>
        </r>
        <r>
          <rPr>
            <sz val="8"/>
            <color indexed="81"/>
            <rFont val="Tahoma"/>
            <family val="2"/>
          </rPr>
          <t xml:space="preserve">
</t>
        </r>
        <r>
          <rPr>
            <sz val="10"/>
            <color indexed="81"/>
            <rFont val="Tahoma"/>
            <family val="2"/>
          </rPr>
          <t>Mean charge of species HiB at each pH.</t>
        </r>
      </text>
    </comment>
    <comment ref="BK11" authorId="2" shapeId="0" xr:uid="{00000000-0006-0000-0500-000010000000}">
      <text>
        <r>
          <rPr>
            <b/>
            <sz val="8"/>
            <color indexed="81"/>
            <rFont val="Tahoma"/>
            <family val="2"/>
          </rPr>
          <t>Gutz:</t>
        </r>
        <r>
          <rPr>
            <sz val="8"/>
            <color indexed="81"/>
            <rFont val="Tahoma"/>
            <family val="2"/>
          </rPr>
          <t xml:space="preserve">
</t>
        </r>
        <r>
          <rPr>
            <sz val="10"/>
            <color indexed="81"/>
            <rFont val="Tahoma"/>
            <family val="2"/>
          </rPr>
          <t>Mean charge of species HiB at each volume.</t>
        </r>
      </text>
    </comment>
    <comment ref="C12" authorId="1" shapeId="0" xr:uid="{00000000-0006-0000-0500-000011000000}">
      <text>
        <r>
          <rPr>
            <b/>
            <sz val="8"/>
            <color indexed="81"/>
            <rFont val="Tahoma"/>
            <family val="2"/>
          </rPr>
          <t>Gutz:</t>
        </r>
        <r>
          <rPr>
            <sz val="8"/>
            <color indexed="81"/>
            <rFont val="Tahoma"/>
            <family val="2"/>
          </rPr>
          <t xml:space="preserve">
</t>
        </r>
        <r>
          <rPr>
            <sz val="10"/>
            <color indexed="81"/>
            <rFont val="Tahoma"/>
            <family val="2"/>
          </rPr>
          <t xml:space="preserve">The </t>
        </r>
        <r>
          <rPr>
            <b/>
            <sz val="10"/>
            <color indexed="81"/>
            <rFont val="Tahoma"/>
            <family val="2"/>
          </rPr>
          <t xml:space="preserve">isoelectric point </t>
        </r>
        <r>
          <rPr>
            <sz val="10"/>
            <color indexed="81"/>
            <rFont val="Tahoma"/>
            <family val="2"/>
          </rPr>
          <t>(pI) corresponds to the pH value where polyfunctional species  (zwitterions) like amino acids, in average, present no unbalance of positive and negative charges in the molecules, so that the mean charge, z</t>
        </r>
        <r>
          <rPr>
            <vertAlign val="subscript"/>
            <sz val="12"/>
            <color indexed="81"/>
            <rFont val="Tahoma"/>
            <family val="2"/>
          </rPr>
          <t>m</t>
        </r>
        <r>
          <rPr>
            <sz val="10"/>
            <color indexed="81"/>
            <rFont val="Tahoma"/>
            <family val="2"/>
          </rPr>
          <t xml:space="preserve"> = 0.
Complete curves of mean charge versus pH or titrant volume are generated at the end of this page using the equation z</t>
        </r>
        <r>
          <rPr>
            <vertAlign val="subscript"/>
            <sz val="12"/>
            <color indexed="81"/>
            <rFont val="Tahoma"/>
            <family val="2"/>
          </rPr>
          <t>m</t>
        </r>
        <r>
          <rPr>
            <sz val="10"/>
            <color indexed="81"/>
            <rFont val="Tahoma"/>
            <family val="2"/>
          </rPr>
          <t xml:space="preserve"> = z +  h</t>
        </r>
        <r>
          <rPr>
            <vertAlign val="subscript"/>
            <sz val="12"/>
            <color indexed="81"/>
            <rFont val="Tahoma"/>
            <family val="2"/>
          </rPr>
          <t>m</t>
        </r>
        <r>
          <rPr>
            <sz val="10"/>
            <color indexed="81"/>
            <rFont val="Tahoma"/>
            <family val="2"/>
          </rPr>
          <t xml:space="preserve"> where  z is the charge of the base B (cell E10) and h</t>
        </r>
        <r>
          <rPr>
            <vertAlign val="subscript"/>
            <sz val="12"/>
            <color indexed="81"/>
            <rFont val="Tahoma"/>
            <family val="2"/>
          </rPr>
          <t>m</t>
        </r>
        <r>
          <rPr>
            <sz val="10"/>
            <color indexed="81"/>
            <rFont val="Tahoma"/>
            <family val="2"/>
          </rPr>
          <t xml:space="preserve"> is the mean number of protons bound to the base, as shown in figures 9 and 10.
For non-zwitterionic species, the program indicates the pH range where  99,9% or more of a acid / base  are in a neutral form, e.g., [OH-] at pH less than 11.6, where H</t>
        </r>
        <r>
          <rPr>
            <vertAlign val="subscript"/>
            <sz val="12"/>
            <color indexed="81"/>
            <rFont val="Tahoma"/>
            <family val="2"/>
          </rPr>
          <t>2</t>
        </r>
        <r>
          <rPr>
            <sz val="10"/>
            <color indexed="81"/>
            <rFont val="Tahoma"/>
            <family val="2"/>
          </rPr>
          <t>O largely predominates.</t>
        </r>
      </text>
    </comment>
    <comment ref="N37" authorId="3" shapeId="0" xr:uid="{00000000-0006-0000-0500-000012000000}">
      <text>
        <r>
          <rPr>
            <b/>
            <sz val="8"/>
            <color indexed="81"/>
            <rFont val="Tahoma"/>
            <family val="2"/>
          </rPr>
          <t xml:space="preserve">Gutz:
</t>
        </r>
        <r>
          <rPr>
            <sz val="10"/>
            <color indexed="81"/>
            <rFont val="Tahoma"/>
            <family val="2"/>
          </rPr>
          <t xml:space="preserve">The Buffer Capacity, BC, (or Buffer Index, BI) can be understood as the concentration of (strong) acid or sodium hydroxide that, when added to the solution under consideration, would shift the pH by one unit, in a hypothetical pH region of constant BC. Since BC can change  rapidly with pH (as shown in Figures 3 and 7 in "Distribution"), estimates of the resistance against acid or base addition are reasonably accurate only for 0.1 </t>
        </r>
        <r>
          <rPr>
            <sz val="10"/>
            <color indexed="81"/>
            <rFont val="Symbol"/>
            <family val="1"/>
            <charset val="2"/>
          </rPr>
          <t>D</t>
        </r>
        <r>
          <rPr>
            <sz val="10"/>
            <color indexed="81"/>
            <rFont val="Tahoma"/>
            <family val="2"/>
          </rPr>
          <t>pH or less.
For example, a buffer solution of pH 7.001 prepared with 0.0200 mol/L NaH</t>
        </r>
        <r>
          <rPr>
            <vertAlign val="subscript"/>
            <sz val="12"/>
            <color indexed="81"/>
            <rFont val="Tahoma"/>
            <family val="2"/>
          </rPr>
          <t>2</t>
        </r>
        <r>
          <rPr>
            <sz val="10"/>
            <color indexed="81"/>
            <rFont val="Tahoma"/>
            <family val="2"/>
          </rPr>
          <t>PO</t>
        </r>
        <r>
          <rPr>
            <vertAlign val="subscript"/>
            <sz val="12"/>
            <color indexed="81"/>
            <rFont val="Tahoma"/>
            <family val="2"/>
          </rPr>
          <t>4</t>
        </r>
        <r>
          <rPr>
            <sz val="10"/>
            <color indexed="81"/>
            <rFont val="Tahoma"/>
            <family val="2"/>
          </rPr>
          <t xml:space="preserve">  and 0.0265 mol/L Na</t>
        </r>
        <r>
          <rPr>
            <vertAlign val="subscript"/>
            <sz val="12"/>
            <color indexed="81"/>
            <rFont val="Tahoma"/>
            <family val="2"/>
          </rPr>
          <t>2</t>
        </r>
        <r>
          <rPr>
            <sz val="10"/>
            <color indexed="81"/>
            <rFont val="Tahoma"/>
            <family val="2"/>
          </rPr>
          <t>HPO</t>
        </r>
        <r>
          <rPr>
            <vertAlign val="subscript"/>
            <sz val="12"/>
            <color indexed="81"/>
            <rFont val="Tahoma"/>
            <family val="2"/>
          </rPr>
          <t>4</t>
        </r>
        <r>
          <rPr>
            <sz val="10"/>
            <color indexed="81"/>
            <rFont val="Tahoma"/>
            <family val="2"/>
          </rPr>
          <t xml:space="preserve"> presents a BC= 0.02625. 
i) The addition of acid or base in a BC/10 concentration, aiming a </t>
        </r>
        <r>
          <rPr>
            <sz val="10"/>
            <color indexed="81"/>
            <rFont val="Symbol"/>
            <family val="1"/>
            <charset val="2"/>
          </rPr>
          <t>D</t>
        </r>
        <r>
          <rPr>
            <sz val="10"/>
            <color indexed="81"/>
            <rFont val="Tahoma"/>
            <family val="2"/>
          </rPr>
          <t xml:space="preserve">pH of 0.1, renders an accurate result. Calculation of the pH of the described buffer plus 0.002625 mol/L HCl shows a pH to  6.904, close to the expected 6.901; a similar concentration of NaOH increases the pH to 7.098, practically 7.101.
ii) The addition of a concentration equal to BC of strong acid or base produces a </t>
        </r>
        <r>
          <rPr>
            <sz val="10"/>
            <color indexed="81"/>
            <rFont val="Symbol"/>
            <family val="1"/>
            <charset val="2"/>
          </rPr>
          <t>D</t>
        </r>
        <r>
          <rPr>
            <sz val="10"/>
            <color indexed="81"/>
            <rFont val="Tahoma"/>
            <family val="2"/>
          </rPr>
          <t>pH larger than the aimed one unit, because, for the example under consideration, BC presents a maximum at pH 6.87 (see Distribution). Addition of [HCl]=0.02625 mol/L renders a pH of 4.79 instead of 6.00 while addition of [NaOH]=0.02625 mol/L raises the pH to 10.86 (an overshot of 2.9 units, worse than in the acidic side because there is more HPO</t>
        </r>
        <r>
          <rPr>
            <vertAlign val="subscript"/>
            <sz val="12"/>
            <color indexed="81"/>
            <rFont val="Tahoma"/>
            <family val="2"/>
          </rPr>
          <t>4</t>
        </r>
        <r>
          <rPr>
            <vertAlign val="superscript"/>
            <sz val="12"/>
            <color indexed="81"/>
            <rFont val="Tahoma"/>
            <family val="2"/>
          </rPr>
          <t>2-</t>
        </r>
        <r>
          <rPr>
            <sz val="10"/>
            <color indexed="81"/>
            <rFont val="Tahoma"/>
            <family val="2"/>
          </rPr>
          <t xml:space="preserve"> than H</t>
        </r>
        <r>
          <rPr>
            <vertAlign val="subscript"/>
            <sz val="12"/>
            <color indexed="81"/>
            <rFont val="Tahoma"/>
            <family val="2"/>
          </rPr>
          <t>2</t>
        </r>
        <r>
          <rPr>
            <sz val="10"/>
            <color indexed="81"/>
            <rFont val="Tahoma"/>
            <family val="2"/>
          </rPr>
          <t>PO</t>
        </r>
        <r>
          <rPr>
            <vertAlign val="subscript"/>
            <sz val="12"/>
            <color indexed="81"/>
            <rFont val="Tahoma"/>
            <family val="2"/>
          </rPr>
          <t>4</t>
        </r>
        <r>
          <rPr>
            <vertAlign val="superscript"/>
            <sz val="12"/>
            <color indexed="81"/>
            <rFont val="Tahoma"/>
            <family val="2"/>
          </rPr>
          <t>-</t>
        </r>
        <r>
          <rPr>
            <sz val="10"/>
            <color indexed="81"/>
            <rFont val="Tahoma"/>
            <family val="2"/>
          </rPr>
          <t xml:space="preserve"> in the buffer). 
More about, e.g.: Understanding, Deriving, and Computing Buffer Capacity, by Edward T. Urbansky and Michael R. Schock, Journal of Chemical Education,  2000, Vol. 77, 1640-44 and references cited therein.</t>
        </r>
      </text>
    </comment>
    <comment ref="N107" authorId="1" shapeId="0" xr:uid="{00000000-0006-0000-0500-000013000000}">
      <text>
        <r>
          <rPr>
            <b/>
            <sz val="8"/>
            <color indexed="81"/>
            <rFont val="Tahoma"/>
            <family val="2"/>
          </rPr>
          <t>Gutz:</t>
        </r>
        <r>
          <rPr>
            <sz val="8"/>
            <color indexed="81"/>
            <rFont val="Tahoma"/>
            <family val="2"/>
          </rPr>
          <t xml:space="preserve">
</t>
        </r>
        <r>
          <rPr>
            <sz val="10"/>
            <color indexed="81"/>
            <rFont val="Tahoma"/>
            <family val="2"/>
          </rPr>
          <t>h</t>
        </r>
        <r>
          <rPr>
            <vertAlign val="subscript"/>
            <sz val="12"/>
            <color indexed="81"/>
            <rFont val="Tahoma"/>
            <family val="2"/>
          </rPr>
          <t>m</t>
        </r>
        <r>
          <rPr>
            <sz val="10"/>
            <color indexed="81"/>
            <rFont val="Tahoma"/>
            <family val="2"/>
          </rPr>
          <t xml:space="preserve"> or </t>
        </r>
        <r>
          <rPr>
            <strike/>
            <sz val="10"/>
            <color indexed="81"/>
            <rFont val="Tahoma"/>
            <family val="2"/>
          </rPr>
          <t>h</t>
        </r>
        <r>
          <rPr>
            <sz val="10"/>
            <color indexed="81"/>
            <rFont val="Tahoma"/>
            <family val="2"/>
          </rPr>
          <t>,  is the mean number of protons bound with a  base B at given pH. 
For two or more H</t>
        </r>
        <r>
          <rPr>
            <vertAlign val="subscript"/>
            <sz val="14"/>
            <color indexed="81"/>
            <rFont val="Tahoma"/>
            <family val="2"/>
          </rPr>
          <t>i</t>
        </r>
        <r>
          <rPr>
            <sz val="10"/>
            <color indexed="81"/>
            <rFont val="Tahoma"/>
            <family val="2"/>
          </rPr>
          <t xml:space="preserve">B with different number of protons </t>
        </r>
        <r>
          <rPr>
            <b/>
            <sz val="10"/>
            <color indexed="81"/>
            <rFont val="Tahoma"/>
            <family val="2"/>
          </rPr>
          <t>i</t>
        </r>
        <r>
          <rPr>
            <sz val="10"/>
            <color indexed="81"/>
            <rFont val="Tahoma"/>
            <family val="2"/>
          </rPr>
          <t xml:space="preserve"> coexisting at this pH; </t>
        </r>
        <r>
          <rPr>
            <strike/>
            <sz val="10"/>
            <color indexed="81"/>
            <rFont val="Tahoma"/>
            <family val="2"/>
          </rPr>
          <t>h</t>
        </r>
        <r>
          <rPr>
            <sz val="10"/>
            <color indexed="81"/>
            <rFont val="Tahoma"/>
            <family val="2"/>
          </rPr>
          <t xml:space="preserve"> is the sum of the molar fraction (cells in lines 44 to 60) times the</t>
        </r>
        <r>
          <rPr>
            <b/>
            <sz val="10"/>
            <color indexed="81"/>
            <rFont val="Tahoma"/>
            <family val="2"/>
          </rPr>
          <t xml:space="preserve"> i</t>
        </r>
        <r>
          <rPr>
            <sz val="10"/>
            <color indexed="81"/>
            <rFont val="Tahoma"/>
            <family val="2"/>
          </rPr>
          <t xml:space="preserve"> of each species.</t>
        </r>
      </text>
    </comment>
    <comment ref="N132" authorId="1" shapeId="0" xr:uid="{00000000-0006-0000-0500-000014000000}">
      <text>
        <r>
          <rPr>
            <b/>
            <sz val="8"/>
            <color indexed="81"/>
            <rFont val="Tahoma"/>
            <family val="2"/>
          </rPr>
          <t>Gutz:</t>
        </r>
        <r>
          <rPr>
            <sz val="8"/>
            <color indexed="81"/>
            <rFont val="Tahoma"/>
            <family val="2"/>
          </rPr>
          <t xml:space="preserve">
</t>
        </r>
        <r>
          <rPr>
            <sz val="10"/>
            <color indexed="81"/>
            <rFont val="Tahoma"/>
            <family val="2"/>
          </rPr>
          <t xml:space="preserve">The </t>
        </r>
        <r>
          <rPr>
            <b/>
            <sz val="10"/>
            <color indexed="81"/>
            <rFont val="Tahoma"/>
            <family val="2"/>
          </rPr>
          <t xml:space="preserve">isoelectric point </t>
        </r>
        <r>
          <rPr>
            <sz val="10"/>
            <color indexed="81"/>
            <rFont val="Tahoma"/>
            <family val="2"/>
          </rPr>
          <t>(Ip) of polyfunctional species  (zwitterions) like amino acids is the pH where there is no unbalance of positive and negative charges in the molecules, so that the mean charge, z</t>
        </r>
        <r>
          <rPr>
            <vertAlign val="subscript"/>
            <sz val="12"/>
            <color indexed="81"/>
            <rFont val="Tahoma"/>
            <family val="2"/>
          </rPr>
          <t>m</t>
        </r>
        <r>
          <rPr>
            <sz val="10"/>
            <color indexed="81"/>
            <rFont val="Tahoma"/>
            <family val="2"/>
          </rPr>
          <t xml:space="preserve"> = 0.
Complete curves of mean charge versus pH or titrant volume are generated using the equation z</t>
        </r>
        <r>
          <rPr>
            <vertAlign val="subscript"/>
            <sz val="12"/>
            <color indexed="81"/>
            <rFont val="Tahoma"/>
            <family val="2"/>
          </rPr>
          <t>m</t>
        </r>
        <r>
          <rPr>
            <sz val="10"/>
            <color indexed="81"/>
            <rFont val="Tahoma"/>
            <family val="2"/>
          </rPr>
          <t xml:space="preserve"> = z +  h</t>
        </r>
        <r>
          <rPr>
            <vertAlign val="subscript"/>
            <sz val="12"/>
            <color indexed="81"/>
            <rFont val="Tahoma"/>
            <family val="2"/>
          </rPr>
          <t>m</t>
        </r>
        <r>
          <rPr>
            <sz val="10"/>
            <color indexed="81"/>
            <rFont val="Tahoma"/>
            <family val="2"/>
          </rPr>
          <t xml:space="preserve"> where  Z is the charge of the base B (cell E10) and h</t>
        </r>
        <r>
          <rPr>
            <vertAlign val="subscript"/>
            <sz val="12"/>
            <color indexed="81"/>
            <rFont val="Tahoma"/>
            <family val="2"/>
          </rPr>
          <t>m</t>
        </r>
        <r>
          <rPr>
            <sz val="10"/>
            <color indexed="81"/>
            <rFont val="Tahoma"/>
            <family val="2"/>
          </rPr>
          <t xml:space="preserve"> is the mean number of protons bound to the base, as shown in figures 9 and 10.
For non-zwitterionic species, the program indicates the pH range where  99,9% or more of a base is in a neutral form, e.g., [OH-] at pH less than 11,6, where H</t>
        </r>
        <r>
          <rPr>
            <vertAlign val="subscript"/>
            <sz val="12"/>
            <color indexed="81"/>
            <rFont val="Tahoma"/>
            <family val="2"/>
          </rPr>
          <t>2</t>
        </r>
        <r>
          <rPr>
            <sz val="10"/>
            <color indexed="81"/>
            <rFont val="Tahoma"/>
            <family val="2"/>
          </rPr>
          <t>O largely predominates.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Gutz</author>
    <author>Ivano Gebhardt Rolf Gutz</author>
    <author>gtz</author>
  </authors>
  <commentList>
    <comment ref="F2" authorId="0" shapeId="0" xr:uid="{00000000-0006-0000-0600-000001000000}">
      <text>
        <r>
          <rPr>
            <b/>
            <sz val="8"/>
            <color indexed="81"/>
            <rFont val="Tahoma"/>
            <family val="2"/>
          </rPr>
          <t>Gutz:</t>
        </r>
        <r>
          <rPr>
            <sz val="8"/>
            <color indexed="81"/>
            <rFont val="Tahoma"/>
            <family val="2"/>
          </rPr>
          <t xml:space="preserve">
</t>
        </r>
        <r>
          <rPr>
            <sz val="10"/>
            <color indexed="81"/>
            <rFont val="Tahoma"/>
            <family val="2"/>
          </rPr>
          <t xml:space="preserve">Interpolation with smoothing is a valuable tool to more precisely locate visible inflections on titration curves with low to moderate dispersion. The algorithm of Evaluation is based on cubic spline smoothing [http://en.wikipedia.org/wiki/Smoothing_spline].
Evaluation, like any other module of CurTiPot, will not run until you enable macros following instructions at cell A22 of module pH_calc;
Multiple inflections, displayed in column P after clicking </t>
        </r>
        <r>
          <rPr>
            <b/>
            <sz val="10"/>
            <color indexed="81"/>
            <rFont val="Tahoma"/>
            <family val="2"/>
          </rPr>
          <t>Process</t>
        </r>
        <r>
          <rPr>
            <sz val="10"/>
            <color indexed="81"/>
            <rFont val="Tahoma"/>
            <family val="2"/>
          </rPr>
          <t xml:space="preserve"> (cell E3), may reflect the stepwise deprotonation of a multiprotic acid like phosphoric or the stepwise protonation of bases like ethylenediamine or EDTA, or may instead be originated by a mixture of various acids or bases with different pKas in a sample. Data dispersion (scatter, noise) can produce artifacts like false inflections and there are suggestions in cell P3 on how to handle such situation, but do not expect accurate results from poor data.
The program accepts from 4 up to 300 experimental (or simulated) data pairs; the degree of smoothing is adjustable; up to one thousand points can be interpolated; and 0 to 15 inflections can be detected.
To assist the calculations of the sample (titrand) ingredients concentration, there is a spreadsheet starting at cell O21.
Warning: care should be exercised with unknown samples because there may be hidden/unresolved inflections (e.g., citric acid, see example in Regression). It is advisable to compare the experimental curve with the simulated one based on the supposed interpretation of the results. This can be done superimposing the Simulation and Evaluation data in the Graphs module or, even better for skilled users, analyzing the experimental data with the Regression module. 
Although Regression is superior to Evaluation for hidden or overlapped inflections, no chemometric tool can extract accurate results from poor data (insufficient measurements, data with high scatter, etc.).
</t>
        </r>
      </text>
    </comment>
    <comment ref="B3" authorId="0" shapeId="0" xr:uid="{00000000-0006-0000-0600-000002000000}">
      <text>
        <r>
          <rPr>
            <b/>
            <sz val="8"/>
            <color indexed="81"/>
            <rFont val="Tahoma"/>
            <family val="2"/>
          </rPr>
          <t>Gutz:</t>
        </r>
        <r>
          <rPr>
            <sz val="8"/>
            <color indexed="81"/>
            <rFont val="Tahoma"/>
            <family val="2"/>
          </rPr>
          <t xml:space="preserve">
</t>
        </r>
        <r>
          <rPr>
            <sz val="10"/>
            <color indexed="81"/>
            <rFont val="Tahoma"/>
            <family val="2"/>
          </rPr>
          <t xml:space="preserve">Click on </t>
        </r>
        <r>
          <rPr>
            <b/>
            <sz val="10"/>
            <color indexed="81"/>
            <rFont val="Tahoma"/>
            <family val="2"/>
          </rPr>
          <t>Clear</t>
        </r>
        <r>
          <rPr>
            <sz val="10"/>
            <color indexed="81"/>
            <rFont val="Tahoma"/>
            <family val="2"/>
          </rPr>
          <t xml:space="preserve"> to remove previous data and results and chose one option:
- Enter your experimental data (during a titration, type as you measure and click </t>
        </r>
        <r>
          <rPr>
            <b/>
            <sz val="10"/>
            <color indexed="81"/>
            <rFont val="Tahoma"/>
            <family val="2"/>
          </rPr>
          <t>Process</t>
        </r>
        <r>
          <rPr>
            <sz val="10"/>
            <color indexed="81"/>
            <rFont val="Tahoma"/>
            <family val="2"/>
          </rPr>
          <t xml:space="preserve"> at any time to fit a curve).
- Copy data previously generated in the </t>
        </r>
        <r>
          <rPr>
            <b/>
            <sz val="10"/>
            <color indexed="81"/>
            <rFont val="Tahoma"/>
            <family val="2"/>
          </rPr>
          <t>Simulation</t>
        </r>
        <r>
          <rPr>
            <sz val="10"/>
            <color indexed="81"/>
            <rFont val="Tahoma"/>
            <family val="2"/>
          </rPr>
          <t xml:space="preserve"> or </t>
        </r>
        <r>
          <rPr>
            <b/>
            <sz val="10"/>
            <color indexed="81"/>
            <rFont val="Tahoma"/>
            <family val="2"/>
          </rPr>
          <t>Titration</t>
        </r>
        <r>
          <rPr>
            <sz val="10"/>
            <color indexed="81"/>
            <rFont val="Tahoma"/>
            <family val="2"/>
          </rPr>
          <t xml:space="preserve"> modules by clicking on the respective </t>
        </r>
        <r>
          <rPr>
            <b/>
            <sz val="10"/>
            <color indexed="81"/>
            <rFont val="Tahoma"/>
            <family val="2"/>
          </rPr>
          <t>Copy</t>
        </r>
        <r>
          <rPr>
            <sz val="10"/>
            <color indexed="81"/>
            <rFont val="Tahoma"/>
            <family val="2"/>
          </rPr>
          <t xml:space="preserve"> buttons.
- Paste data sets of </t>
        </r>
        <r>
          <rPr>
            <b/>
            <sz val="10"/>
            <color indexed="81"/>
            <rFont val="Tahoma"/>
            <family val="2"/>
          </rPr>
          <t>Vol</t>
        </r>
        <r>
          <rPr>
            <sz val="10"/>
            <color indexed="81"/>
            <rFont val="Tahoma"/>
            <family val="2"/>
          </rPr>
          <t xml:space="preserve">. and </t>
        </r>
        <r>
          <rPr>
            <b/>
            <sz val="10"/>
            <color indexed="81"/>
            <rFont val="Tahoma"/>
            <family val="2"/>
          </rPr>
          <t>pH</t>
        </r>
        <r>
          <rPr>
            <sz val="10"/>
            <color indexed="81"/>
            <rFont val="Tahoma"/>
            <family val="2"/>
          </rPr>
          <t xml:space="preserve"> (or other parameters) from a real or simulated titration (or other experiment). 
Minimum number of points: 4
Maximum number of points: 300</t>
        </r>
      </text>
    </comment>
    <comment ref="H3" authorId="1" shapeId="0" xr:uid="{00000000-0006-0000-0600-000003000000}">
      <text>
        <r>
          <rPr>
            <b/>
            <sz val="8"/>
            <color indexed="81"/>
            <rFont val="Tahoma"/>
            <family val="2"/>
          </rPr>
          <t>Gutz:</t>
        </r>
        <r>
          <rPr>
            <sz val="8"/>
            <color indexed="81"/>
            <rFont val="Tahoma"/>
            <family val="2"/>
          </rPr>
          <t xml:space="preserve">
</t>
        </r>
        <r>
          <rPr>
            <sz val="10"/>
            <color indexed="81"/>
            <rFont val="Tahoma"/>
            <family val="2"/>
          </rPr>
          <t>The smoothing factor is selected empirically, by visual inspection (the correlation coefficient, shown in cell N4, does not help much). Begin, for example, with 80%, process, observe figures 1 and 2, and increase/decrease this value until you reach o compromise of best filtering-out of the data dispersion (scatter) without noticeable distortion (systematic flattening) of the region of the inflection. 
For curves presenting a sharp and a tiny inflection, select one at a time (selecting the volume range in cells K3 and K4) and adjust the degree of smoothing individually.  
0% - minimum filtering, cubic spline curve passes though all points.
100%- maximum filtering; the fitted curve approaches linearity; de correlation coefficient decreases.</t>
        </r>
      </text>
    </comment>
    <comment ref="J3" authorId="1" shapeId="0" xr:uid="{00000000-0006-0000-0600-000004000000}">
      <text>
        <r>
          <rPr>
            <b/>
            <sz val="8"/>
            <color indexed="81"/>
            <rFont val="Tahoma"/>
            <family val="2"/>
          </rPr>
          <t>Gutz:</t>
        </r>
        <r>
          <rPr>
            <sz val="8"/>
            <color indexed="81"/>
            <rFont val="Tahoma"/>
            <family val="2"/>
          </rPr>
          <t xml:space="preserve">
</t>
        </r>
        <r>
          <rPr>
            <sz val="10"/>
            <color indexed="81"/>
            <rFont val="Tahoma"/>
            <family val="2"/>
          </rPr>
          <t>Starting volume for the smoothing/interpolation/inflection detection process. 
Zero is the typical value.</t>
        </r>
      </text>
    </comment>
    <comment ref="P3" authorId="2" shapeId="0" xr:uid="{00000000-0006-0000-0600-000005000000}">
      <text>
        <r>
          <rPr>
            <b/>
            <sz val="9"/>
            <color indexed="81"/>
            <rFont val="Tahoma"/>
            <family val="2"/>
          </rPr>
          <t>Gutz:</t>
        </r>
        <r>
          <rPr>
            <sz val="9"/>
            <color indexed="81"/>
            <rFont val="Tahoma"/>
            <family val="2"/>
          </rPr>
          <t xml:space="preserve">
</t>
        </r>
        <r>
          <rPr>
            <sz val="10"/>
            <color indexed="81"/>
            <rFont val="Tahoma"/>
            <family val="2"/>
          </rPr>
          <t xml:space="preserve">This is the setting of the minimum peak amplitude to be detected as valid on the 1st derivative curve by the algorithm of the auto-finder. 
Copy the ‘guess value’ from cell S3 to cell Q3 or chose a dpH/dV value in figure 2 so that it is exceeded only by the maxima (or minima) you want to detect (but not by scatter or other artifacts). Click on Process (cell E3) to observe the effect.
 If necessary, adjust values in cells Q3 and I3 and Process again. </t>
        </r>
      </text>
    </comment>
    <comment ref="H4" authorId="1" shapeId="0" xr:uid="{00000000-0006-0000-0600-000006000000}">
      <text>
        <r>
          <rPr>
            <b/>
            <sz val="8"/>
            <color indexed="81"/>
            <rFont val="Tahoma"/>
            <family val="2"/>
          </rPr>
          <t>Gutz:</t>
        </r>
        <r>
          <rPr>
            <sz val="8"/>
            <color indexed="81"/>
            <rFont val="Tahoma"/>
            <family val="2"/>
          </rPr>
          <t xml:space="preserve">
</t>
        </r>
        <r>
          <rPr>
            <sz val="10"/>
            <color indexed="81"/>
            <rFont val="Tahoma"/>
            <family val="2"/>
          </rPr>
          <t xml:space="preserve">Defines the number of points to be interpolated between the initial (K3) and the final volume (K4). 
Default: 300 (for slow computers use 200 or 100); minimum: 4; maximum: 1000 (columns T to W will be calculated but graphics will display the first 300 points; click on each curve with the right mouse button, chose Select data, edit each data set by increasing T, U, V and W from 306 to 1006.
</t>
        </r>
      </text>
    </comment>
    <comment ref="J4" authorId="1" shapeId="0" xr:uid="{00000000-0006-0000-0600-000007000000}">
      <text>
        <r>
          <rPr>
            <b/>
            <sz val="8"/>
            <color indexed="81"/>
            <rFont val="Tahoma"/>
            <family val="2"/>
          </rPr>
          <t>Gutz:</t>
        </r>
        <r>
          <rPr>
            <sz val="8"/>
            <color indexed="81"/>
            <rFont val="Tahoma"/>
            <family val="2"/>
          </rPr>
          <t xml:space="preserve">
</t>
        </r>
        <r>
          <rPr>
            <sz val="10"/>
            <color indexed="81"/>
            <rFont val="Tahoma"/>
            <family val="2"/>
          </rPr>
          <t xml:space="preserve">Upper volume limit for the smoothing /interpolation/ inflection detection process. 
For curves presenting sharp tiny inflections together, select one at a time (by volume range) and adjust the degree of smoothing.  </t>
        </r>
      </text>
    </comment>
    <comment ref="R4" authorId="1" shapeId="0" xr:uid="{00000000-0006-0000-0600-000008000000}">
      <text>
        <r>
          <rPr>
            <b/>
            <sz val="8"/>
            <color indexed="81"/>
            <rFont val="Tahoma"/>
            <family val="2"/>
          </rPr>
          <t>Gutz:</t>
        </r>
        <r>
          <rPr>
            <sz val="8"/>
            <color indexed="81"/>
            <rFont val="Tahoma"/>
            <family val="2"/>
          </rPr>
          <t xml:space="preserve">
</t>
        </r>
        <r>
          <rPr>
            <sz val="10"/>
            <color indexed="81"/>
            <rFont val="Tahoma"/>
            <family val="2"/>
          </rPr>
          <t xml:space="preserve">Stoichiometric points (or "end points") of potentiometric acid-base titrations correspond to the volumes where the pH vs. Vol curves present inflections, easily located by looking for maxima in the first derivative curves (or a minima, when a base is titrated with an acid) as well as detecting zero crossing points in the second derivative curves. 
Once the degree of smoothing (cell I3) of the spline interpolation is tuned to the data set and the peak amplitude filter (cell Q3) is set to discard false peaks in the derivative curve (caused by scattered/noisy data), the auto-finder interpolates the inflections in the pH vs. Vol. curve automatically and with improved accuracy in comparison with the direct dpH/dV calculation suggested in textbooks or linearization methods, like Gran I and II. Of course, plentiful accurate measurements near the inflections are decisive. 
Oversmoothing of (scattered) data is to be avoided. To exclude outliers from a set, simply delete the data pair and shift the remaining data one row up to exclude the empty cells. 
The (more complex) Regression module may provide superior results, due to fitting to a general equation describing the entire curve instead of empirical splines fitted with an arbitrary smoothing factor (that influences the result for poor data or undefined inflections).
</t>
        </r>
      </text>
    </comment>
    <comment ref="A5" authorId="1" shapeId="0" xr:uid="{00000000-0006-0000-0600-000009000000}">
      <text>
        <r>
          <rPr>
            <b/>
            <sz val="8"/>
            <color indexed="81"/>
            <rFont val="Tahoma"/>
            <family val="2"/>
          </rPr>
          <t>Gutz:</t>
        </r>
        <r>
          <rPr>
            <sz val="8"/>
            <color indexed="81"/>
            <rFont val="Tahoma"/>
            <family val="2"/>
          </rPr>
          <t xml:space="preserve">
</t>
        </r>
        <r>
          <rPr>
            <sz val="10"/>
            <color indexed="81"/>
            <rFont val="Tahoma"/>
            <family val="2"/>
          </rPr>
          <t>Delete existing data (or click the Clear button) before you write or paste experimental data, or copy data from Simulation by clicking on the buttons above.
Volume values in mL are expected, but mass of titrant or number o coulombs (coulometric titration) can be used instead.</t>
        </r>
      </text>
    </comment>
    <comment ref="B5" authorId="1" shapeId="0" xr:uid="{00000000-0006-0000-0600-00000A000000}">
      <text>
        <r>
          <rPr>
            <b/>
            <sz val="8"/>
            <color indexed="81"/>
            <rFont val="Tahoma"/>
            <family val="2"/>
          </rPr>
          <t>Gutz:</t>
        </r>
        <r>
          <rPr>
            <sz val="8"/>
            <color indexed="81"/>
            <rFont val="Tahoma"/>
            <family val="2"/>
          </rPr>
          <t xml:space="preserve">
</t>
        </r>
        <r>
          <rPr>
            <sz val="10"/>
            <color indexed="81"/>
            <rFont val="Tahoma"/>
            <family val="2"/>
          </rPr>
          <t>Copy or paste pH values, experimental or simulated, with our without dispersion (simulated random errors).
Uncalibrated pH electrodes do not impair the determination of concentrations at sharp inflections, but will offset pKa values estimated graphically.
Electrode potentials can replace pH values when evaluating data from other ion selective electrodes.</t>
        </r>
      </text>
    </comment>
    <comment ref="R5" authorId="1" shapeId="0" xr:uid="{00000000-0006-0000-0600-00000B000000}">
      <text>
        <r>
          <rPr>
            <b/>
            <sz val="8"/>
            <color indexed="81"/>
            <rFont val="Tahoma"/>
            <family val="2"/>
          </rPr>
          <t>Gutz:</t>
        </r>
        <r>
          <rPr>
            <sz val="8"/>
            <color indexed="81"/>
            <rFont val="Tahoma"/>
            <family val="2"/>
          </rPr>
          <t xml:space="preserve">
</t>
        </r>
        <r>
          <rPr>
            <sz val="10"/>
            <color indexed="81"/>
            <rFont val="Tahoma"/>
            <family val="2"/>
          </rPr>
          <t xml:space="preserve">Maximum value of the first derivative of the curve at the inflection volume, as calculated from the fitted cubic spline. Precision is higher than for the conventional dpH/dV calculation suggested in textbooks.
The Regression module may provide even better  results in the hand of skilled users, since a general equation describing the theoretical curve is fitted to data, instead of empirical splines.
Of course, good data near the inflections is decisive for all approaches. </t>
        </r>
      </text>
    </comment>
    <comment ref="S5" authorId="1" shapeId="0" xr:uid="{00000000-0006-0000-0600-00000C000000}">
      <text>
        <r>
          <rPr>
            <b/>
            <sz val="8"/>
            <color indexed="81"/>
            <rFont val="Tahoma"/>
            <family val="2"/>
          </rPr>
          <t>Gutz:</t>
        </r>
        <r>
          <rPr>
            <sz val="8"/>
            <color indexed="81"/>
            <rFont val="Tahoma"/>
            <family val="2"/>
          </rPr>
          <t xml:space="preserve">
</t>
        </r>
        <r>
          <rPr>
            <sz val="10"/>
            <color indexed="81"/>
            <rFont val="Tahoma"/>
            <family val="2"/>
          </rPr>
          <t>Second derivatives estimated from the splines fitted with smoothing to the original data. Inflections correspond to zero crossing 2nd derivative. Therefore, low values are expected.</t>
        </r>
      </text>
    </comment>
    <comment ref="T5" authorId="1" shapeId="0" xr:uid="{00000000-0006-0000-0600-00000D000000}">
      <text>
        <r>
          <rPr>
            <b/>
            <sz val="10"/>
            <color indexed="81"/>
            <rFont val="Tahoma"/>
            <family val="2"/>
          </rPr>
          <t>Gutz:</t>
        </r>
        <r>
          <rPr>
            <sz val="10"/>
            <color indexed="81"/>
            <rFont val="Tahoma"/>
            <family val="2"/>
          </rPr>
          <t xml:space="preserve">
The number of interpolated points can be chosen from 4 to 1000 in cell I4.</t>
        </r>
      </text>
    </comment>
    <comment ref="P6" authorId="1" shapeId="0" xr:uid="{00000000-0006-0000-0600-00000E000000}">
      <text>
        <r>
          <rPr>
            <b/>
            <sz val="10"/>
            <color indexed="81"/>
            <rFont val="Tahoma"/>
            <family val="2"/>
          </rPr>
          <t>Gutz:</t>
        </r>
        <r>
          <rPr>
            <sz val="10"/>
            <color indexed="81"/>
            <rFont val="Tahoma"/>
            <family val="2"/>
          </rPr>
          <t xml:space="preserve">
Copy and paste the volumes of the inflections from cells P6, P7, etc. into cells P28, P29, etc., and fill out R24 and 25 to make simple stoichiometric calculations. </t>
        </r>
      </text>
    </comment>
    <comment ref="R22" authorId="1" shapeId="0" xr:uid="{00000000-0006-0000-0600-00000F000000}">
      <text>
        <r>
          <rPr>
            <b/>
            <sz val="10"/>
            <color indexed="81"/>
            <rFont val="Tahoma"/>
            <family val="2"/>
          </rPr>
          <t>Gutz:</t>
        </r>
        <r>
          <rPr>
            <sz val="10"/>
            <color indexed="81"/>
            <rFont val="Tahoma"/>
            <family val="2"/>
          </rPr>
          <t xml:space="preserve">
This spreadsheet assists trivial stoichiometric calculations, like the concentration of acids/bases in the titrand or sample. 
If the </t>
        </r>
        <r>
          <rPr>
            <b/>
            <sz val="10"/>
            <color indexed="81"/>
            <rFont val="Tahoma"/>
            <family val="2"/>
          </rPr>
          <t>titrant is not a monoprotic</t>
        </r>
        <r>
          <rPr>
            <sz val="10"/>
            <color indexed="81"/>
            <rFont val="Tahoma"/>
            <family val="2"/>
          </rPr>
          <t xml:space="preserve"> acid or base, change the formulas.
Click </t>
        </r>
        <r>
          <rPr>
            <b/>
            <sz val="10"/>
            <color indexed="81"/>
            <rFont val="Tahoma"/>
            <family val="2"/>
          </rPr>
          <t>Copy volumes</t>
        </r>
        <r>
          <rPr>
            <sz val="10"/>
            <color indexed="81"/>
            <rFont val="Tahoma"/>
            <family val="2"/>
          </rPr>
          <t xml:space="preserve"> or copy the volumes of inflections from P6, P7, etc. and paste them in  P27, P28, etc. 
Fill out the blanks in R24 and R25.</t>
        </r>
      </text>
    </comment>
    <comment ref="P27" authorId="1" shapeId="0" xr:uid="{00000000-0006-0000-0600-000010000000}">
      <text>
        <r>
          <rPr>
            <b/>
            <sz val="8"/>
            <color indexed="81"/>
            <rFont val="Tahoma"/>
            <family val="2"/>
          </rPr>
          <t xml:space="preserve"> Gutz:</t>
        </r>
        <r>
          <rPr>
            <sz val="8"/>
            <color indexed="81"/>
            <rFont val="Tahoma"/>
            <family val="2"/>
          </rPr>
          <t xml:space="preserve">
</t>
        </r>
        <r>
          <rPr>
            <sz val="10"/>
            <color indexed="81"/>
            <rFont val="Tahoma"/>
            <family val="2"/>
          </rPr>
          <t>Fill out with the volumes of the inflections (in mL)</t>
        </r>
      </text>
    </comment>
    <comment ref="Q27" authorId="1" shapeId="0" xr:uid="{00000000-0006-0000-0600-000011000000}">
      <text>
        <r>
          <rPr>
            <b/>
            <sz val="8"/>
            <color indexed="81"/>
            <rFont val="Tahoma"/>
            <family val="2"/>
          </rPr>
          <t xml:space="preserve"> Gutz:</t>
        </r>
        <r>
          <rPr>
            <sz val="8"/>
            <color indexed="81"/>
            <rFont val="Tahoma"/>
            <family val="2"/>
          </rPr>
          <t xml:space="preserve">
</t>
        </r>
        <r>
          <rPr>
            <sz val="10"/>
            <color indexed="81"/>
            <rFont val="Tahoma"/>
            <family val="2"/>
          </rPr>
          <t>Cumulative number of mols of titrant added from the beginning of the titration up to a given inflection.</t>
        </r>
      </text>
    </comment>
    <comment ref="R27" authorId="1" shapeId="0" xr:uid="{00000000-0006-0000-0600-000012000000}">
      <text>
        <r>
          <rPr>
            <b/>
            <sz val="8"/>
            <color indexed="81"/>
            <rFont val="Tahoma"/>
            <family val="2"/>
          </rPr>
          <t>Gutz:</t>
        </r>
        <r>
          <rPr>
            <sz val="8"/>
            <color indexed="81"/>
            <rFont val="Tahoma"/>
            <family val="2"/>
          </rPr>
          <t xml:space="preserve">
</t>
        </r>
        <r>
          <rPr>
            <sz val="10"/>
            <color indexed="81"/>
            <rFont val="Tahoma"/>
            <family val="2"/>
          </rPr>
          <t>Number of mols of titrant added from the previous inflection to the current one.</t>
        </r>
      </text>
    </comment>
    <comment ref="S27" authorId="1" shapeId="0" xr:uid="{00000000-0006-0000-0600-000013000000}">
      <text>
        <r>
          <rPr>
            <b/>
            <sz val="8"/>
            <color indexed="81"/>
            <rFont val="Tahoma"/>
            <family val="2"/>
          </rPr>
          <t>Gutz:</t>
        </r>
        <r>
          <rPr>
            <sz val="8"/>
            <color indexed="81"/>
            <rFont val="Tahoma"/>
            <family val="2"/>
          </rPr>
          <t xml:space="preserve">
</t>
        </r>
        <r>
          <rPr>
            <sz val="10"/>
            <color indexed="81"/>
            <rFont val="Tahoma"/>
            <family val="2"/>
          </rPr>
          <t xml:space="preserve">Concentration (in mol/L) of a titrand (titrated specie) in the sample pipetted into the titration cell (subsequent addition of water, to immerge the sensor does not matter), obtained by dividing the number of mols of titrant consumed to reach an inflection by the volume of sample. 
Successive inflections may correspond to the stepwise deprotonation of a multiprotic acid like phosphoric (or stepwise protonation of  bases like ethylenediamine or EDTA), but they may result as well from a mixture of  acids or bases of different strengths. 
Warning: care should be exercised with unknown samples because there may be hidden/unresolved inflections (e.g., citric acid, see example in Regression). It is advisable to compare the experimental curve with the simulated one based on the supposed interpretation of the results. This can be done superimposing the Simulation and Evaluation data in the Graphs module or, even better for skilled users, analyzing the experimental data with the Regression module. 
</t>
        </r>
      </text>
    </comment>
    <comment ref="R43" authorId="1" shapeId="0" xr:uid="{00000000-0006-0000-0600-000014000000}">
      <text>
        <r>
          <rPr>
            <b/>
            <sz val="10"/>
            <color indexed="81"/>
            <rFont val="Tahoma"/>
            <family val="2"/>
          </rPr>
          <t>Gutz:</t>
        </r>
        <r>
          <rPr>
            <sz val="10"/>
            <color indexed="81"/>
            <rFont val="Tahoma"/>
            <family val="2"/>
          </rPr>
          <t xml:space="preserve">
Click twice on the dpH/dV or pH scale to redefine it.
Use Ctrl+Z (as many times as needed) to undo scale expansion</t>
        </r>
      </text>
    </comment>
    <comment ref="R44" authorId="1" shapeId="0" xr:uid="{00000000-0006-0000-0600-000015000000}">
      <text>
        <r>
          <rPr>
            <b/>
            <sz val="8"/>
            <color indexed="81"/>
            <rFont val="Tahoma"/>
            <family val="2"/>
          </rPr>
          <t>Gutz:</t>
        </r>
        <r>
          <rPr>
            <sz val="8"/>
            <color indexed="81"/>
            <rFont val="Tahoma"/>
            <family val="2"/>
          </rPr>
          <t xml:space="preserve">
</t>
        </r>
        <r>
          <rPr>
            <sz val="10"/>
            <color indexed="81"/>
            <rFont val="Tahoma"/>
            <family val="2"/>
          </rPr>
          <t>To copy graphics with one or more curves and paste them into other documents (e.g.: Word o Excel) without links to the original:
- Fill out the header of the graphic (optional)
- Click in the box of the graphic near the margins, to select it
- (only Excel versions older than 12, from 2007: Click on Process once more) 
- Press Ctrl+C and wait processing 
- Switch to the Word document 
- Select Insert/Paste Special/Picture (enhanced metafile)</t>
        </r>
        <r>
          <rPr>
            <sz val="8"/>
            <color indexed="81"/>
            <rFont val="Tahoma"/>
            <family val="2"/>
          </rPr>
          <t xml:space="preserve">
</t>
        </r>
      </text>
    </comment>
    <comment ref="R45" authorId="1" shapeId="0" xr:uid="{00000000-0006-0000-0600-000016000000}">
      <text>
        <r>
          <rPr>
            <b/>
            <sz val="8"/>
            <color indexed="81"/>
            <rFont val="Tahoma"/>
            <family val="2"/>
          </rPr>
          <t>Gutz:</t>
        </r>
        <r>
          <rPr>
            <sz val="8"/>
            <color indexed="81"/>
            <rFont val="Tahoma"/>
            <family val="2"/>
          </rPr>
          <t xml:space="preserve">
</t>
        </r>
        <r>
          <rPr>
            <sz val="10"/>
            <color indexed="81"/>
            <rFont val="Tahoma"/>
            <family val="2"/>
          </rPr>
          <t>Hover the mouse on a curve and point any data point to readout its ID and coordinates.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Gutz</author>
  </authors>
  <commentList>
    <comment ref="B1" authorId="0" shapeId="0" xr:uid="{00000000-0006-0000-0700-000001000000}">
      <text>
        <r>
          <rPr>
            <b/>
            <sz val="9"/>
            <color indexed="81"/>
            <rFont val="Segoe UI"/>
            <family val="2"/>
          </rPr>
          <t>Gutz:</t>
        </r>
        <r>
          <rPr>
            <sz val="9"/>
            <color indexed="81"/>
            <rFont val="Segoe UI"/>
            <family val="2"/>
          </rPr>
          <t xml:space="preserve">
</t>
        </r>
        <r>
          <rPr>
            <sz val="10"/>
            <color indexed="81"/>
            <rFont val="Segoe UI"/>
            <family val="2"/>
          </rPr>
          <t xml:space="preserve">Copy the results of interest to this spreadsheet as they are obtained and add identification and observations, like a logbook.
The most recent result will be inserted in the first lines and the former ones will be shifted down.
When saving the program, give a name to assist in future location, eg, CurTiPot_citric_juides.xlsm.
In order to compact the information and facilitate comparisons, only the essential cells are copied and the data columns (real or simulated) are transposed in rows (for back-conversion into columns use the commands: mark, Copy and Paste Special, checking Values and Transpose).
To remove a result, start by deleting the figures (check and delete) and then delete the corresponding lines (check the entire lines, click on the right button of the mouse and choose Delete).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Gutz</author>
    <author>Ivano Gebhardt Rolf Gutz</author>
    <author>gtz</author>
    <author>GPQAI-51</author>
    <author>Ivano G. R. Gutz</author>
  </authors>
  <commentList>
    <comment ref="F1" authorId="0" shapeId="0" xr:uid="{00000000-0006-0000-0800-000001000000}">
      <text>
        <r>
          <rPr>
            <b/>
            <sz val="8"/>
            <color indexed="81"/>
            <rFont val="Tahoma"/>
            <family val="2"/>
          </rPr>
          <t>Gutz:</t>
        </r>
        <r>
          <rPr>
            <sz val="8"/>
            <color indexed="81"/>
            <rFont val="Tahoma"/>
            <family val="2"/>
          </rPr>
          <t xml:space="preserve">
</t>
        </r>
        <r>
          <rPr>
            <sz val="10"/>
            <color indexed="81"/>
            <rFont val="Tahoma"/>
            <family val="2"/>
          </rPr>
          <t>Always use the most recent version of CurTiPot available at the author’s site http://www.iq.usp.br/gutz/Curtipot_.html, choosing between CurTiPot and CurTiPot option i – the same full program plus balloons with first steps for beginners.</t>
        </r>
        <r>
          <rPr>
            <sz val="8"/>
            <color indexed="81"/>
            <rFont val="Tahoma"/>
            <family val="2"/>
          </rPr>
          <t xml:space="preserve">
</t>
        </r>
        <r>
          <rPr>
            <sz val="10"/>
            <color indexed="81"/>
            <rFont val="Tahoma"/>
            <family val="2"/>
          </rPr>
          <t xml:space="preserve">This module employs multiparametric nonlinear regression (MPNLR or NLR or simply Reg) for the determination of the concentrations of acidic and basic components (and, optionally, their pKa's) in samples from pH data of volumetric acid-base titrations. Excel's free </t>
        </r>
        <r>
          <rPr>
            <b/>
            <sz val="10"/>
            <color indexed="81"/>
            <rFont val="Tahoma"/>
            <family val="2"/>
          </rPr>
          <t>Solver</t>
        </r>
        <r>
          <rPr>
            <sz val="10"/>
            <color indexed="81"/>
            <rFont val="Tahoma"/>
            <family val="2"/>
          </rPr>
          <t xml:space="preserve"> add-in is used for NLR and it </t>
        </r>
        <r>
          <rPr>
            <b/>
            <sz val="10"/>
            <color indexed="81"/>
            <rFont val="Tahoma"/>
            <family val="2"/>
          </rPr>
          <t>must be activated</t>
        </r>
        <r>
          <rPr>
            <sz val="10"/>
            <color indexed="81"/>
            <rFont val="Tahoma"/>
            <family val="2"/>
          </rPr>
          <t xml:space="preserve"> first (only once for each computer), following instructions starting at cell AP1. 
More about  Solver in https://www.solver.com/excel-solver-online-help
Learning to use CurTiPot's </t>
        </r>
        <r>
          <rPr>
            <u/>
            <sz val="10"/>
            <color indexed="81"/>
            <rFont val="Tahoma"/>
            <family val="2"/>
          </rPr>
          <t>Regression</t>
        </r>
        <r>
          <rPr>
            <sz val="10"/>
            <color indexed="81"/>
            <rFont val="Tahoma"/>
            <family val="2"/>
          </rPr>
          <t xml:space="preserve"> module (by reading the "red dot" cells with help and comments) is worthwhile especially if applications out of the reach of </t>
        </r>
        <r>
          <rPr>
            <u/>
            <sz val="10"/>
            <color indexed="81"/>
            <rFont val="Tahoma"/>
            <family val="2"/>
          </rPr>
          <t>Evaluation</t>
        </r>
        <r>
          <rPr>
            <sz val="10"/>
            <color indexed="81"/>
            <rFont val="Tahoma"/>
            <family val="2"/>
          </rPr>
          <t xml:space="preserve"> are aimed, like:
- samples with multiple components to quantify;
- unsharp inflections, due to close pKa values;
- very diluted samples; 
- determination or refinement of pKa values (within the pH range of the titration curve);
- detection (and, possibly, quantification) of minor components that may have been overlooked in the graphical evaluation. e.g. CO</t>
        </r>
        <r>
          <rPr>
            <vertAlign val="subscript"/>
            <sz val="11"/>
            <color indexed="81"/>
            <rFont val="Tahoma"/>
            <family val="2"/>
          </rPr>
          <t>2</t>
        </r>
        <r>
          <rPr>
            <sz val="10"/>
            <color indexed="81"/>
            <rFont val="Tahoma"/>
            <family val="2"/>
          </rPr>
          <t xml:space="preserve"> (absorbed by the titrand or titrant;
- detection of curve distortions caused by malfunctioning or calibration problems of the pH sensor;
- more accurate and faster results (once a procedure is optimized for a given routine application). 
Extra instructions for the quantification of titrands with pKa values that fall outside the pH range of the titration curve, like strong acids and strong bases, appear in cells  I14, H18 and H19.      
The Regression module takes the ionic strength I of the medium and its effects on acid-base equilibrium  into account (like the pH_calc and Simulation modules). For real samples with unknown I, the constants loaded from the Database (mostly thermodynamic ones, strictly valid only at I=0) may not generate the best possible fit to experimental curves. Improvements are expected by fitting also ionic strength (cell S12) or refining the pKas after a first fit of the concentrations (viable only when their values fall within the pH region explored during the titration). 
In this module pH is taken as minus the logarithm of the hydrated hydrogen ion activity (see definition, http://www.iupac.org/goldbook/P04524.pdf) as measured with a calibrated pH meter connected to a combined glass electrode. Information about the differences and interconversion of pH, p[H] and "pH" is available in the pH_calc module.
Especially for the determination/refinement of pKa values, experimental pH values are assumed to be obtained in thermostated conditions and free of calibration, junction potential and alkaline errors of the sensor (to be corrected previously for best results). Inaccurate calibration of the sensor (unreliable buffer solutions, temperature different from specified, etc.) and deviation from Nersntian response of the glass electrode cause systematic errors that may be detected and corrected to some extent by inclusion of P12 and P13 as variable cells in the Solver, at a refinement stage of the fitting of otherwise high quality titration data of titrant and titrand of known concentrations. 
Outliers and dubious data can be (reversibly) rejected from the regression by checking the column AX of the corresponding line. 
Warning: no chemometric tool can extract accurate results from poor data (insufficient measurements, data with high scatter, systematic errors, etc.). Before you analyze difficult titration data with Regression, collect the best data you can in the laboratory, after careful planning (assisted by Simulation) and well executed experiments with calibrated instrumentation and high purity, well standardized reagents.
Essentially the program fits the user-selected parameters by minimizing the squares of the difference of calculated and fitted total dissociable H</t>
        </r>
        <r>
          <rPr>
            <vertAlign val="superscript"/>
            <sz val="10"/>
            <color indexed="81"/>
            <rFont val="Tahoma"/>
            <family val="2"/>
          </rPr>
          <t>+</t>
        </r>
        <r>
          <rPr>
            <sz val="10"/>
            <color indexed="81"/>
            <rFont val="Tahoma"/>
            <family val="2"/>
          </rPr>
          <t xml:space="preserve"> concentrations, but various weighting options are available in cells I20, K20 and M20.</t>
        </r>
      </text>
    </comment>
    <comment ref="M1" authorId="0" shapeId="0" xr:uid="{00000000-0006-0000-0800-000002000000}">
      <text>
        <r>
          <rPr>
            <b/>
            <sz val="8"/>
            <color indexed="81"/>
            <rFont val="Tahoma"/>
            <family val="2"/>
          </rPr>
          <t>Gutz:</t>
        </r>
        <r>
          <rPr>
            <sz val="8"/>
            <color indexed="81"/>
            <rFont val="Tahoma"/>
            <family val="2"/>
          </rPr>
          <t xml:space="preserve">
</t>
        </r>
        <r>
          <rPr>
            <sz val="10"/>
            <color indexed="81"/>
            <rFont val="Tahoma"/>
            <family val="2"/>
          </rPr>
          <t xml:space="preserve">Options for selecting/editing names, charges and pKas:
a) Write directly in the cells K3 to Q10 and R3 to T6 (ignoring line 2 settings); 
b) Click on names in line 2, slide along the list, click on another name (or a blank line); finally, click on J2 to load the constants from the </t>
        </r>
        <r>
          <rPr>
            <b/>
            <sz val="10"/>
            <color indexed="81"/>
            <rFont val="Tahoma"/>
            <family val="2"/>
          </rPr>
          <t>Database</t>
        </r>
        <r>
          <rPr>
            <sz val="10"/>
            <color indexed="81"/>
            <rFont val="Tahoma"/>
            <family val="2"/>
          </rPr>
          <t>;
c) When applicable (see comments F1 and I18) , refine the pKas loaded by options a or b, by including them in the regression.
Frequently used acids missing in the Database should be added to it.</t>
        </r>
      </text>
    </comment>
    <comment ref="S2" authorId="0" shapeId="0" xr:uid="{00000000-0006-0000-0800-000003000000}">
      <text>
        <r>
          <rPr>
            <b/>
            <sz val="8"/>
            <color indexed="81"/>
            <rFont val="Tahoma"/>
            <family val="2"/>
          </rPr>
          <t>Gutz:</t>
        </r>
        <r>
          <rPr>
            <sz val="8"/>
            <color indexed="81"/>
            <rFont val="Tahoma"/>
            <family val="2"/>
          </rPr>
          <t xml:space="preserve">
</t>
        </r>
        <r>
          <rPr>
            <sz val="10"/>
            <color indexed="81"/>
            <rFont val="Tahoma"/>
            <family val="2"/>
          </rPr>
          <t>The titrant may contain up to three diprotic acids or bases (other than the default ones).
Names and constants must entered manually (copy the pKas from the database, or load them as a titrand and copy them to the titrant cells).</t>
        </r>
      </text>
    </comment>
    <comment ref="AF2" authorId="0" shapeId="0" xr:uid="{00000000-0006-0000-0800-000004000000}">
      <text>
        <r>
          <rPr>
            <b/>
            <sz val="8"/>
            <color indexed="81"/>
            <rFont val="Tahoma"/>
            <family val="2"/>
          </rPr>
          <t xml:space="preserve">Gutz: 
</t>
        </r>
        <r>
          <rPr>
            <sz val="10"/>
            <color indexed="81"/>
            <rFont val="Tahoma"/>
            <family val="2"/>
          </rPr>
          <t>The pKas shown here are copied automatically from the Database by changing K2 to Q2. 
See U5 to understand why 
pKa1 = -logKpn</t>
        </r>
      </text>
    </comment>
    <comment ref="B3" authorId="0" shapeId="0" xr:uid="{00000000-0006-0000-0800-000005000000}">
      <text>
        <r>
          <rPr>
            <b/>
            <sz val="8"/>
            <color indexed="81"/>
            <rFont val="Tahoma"/>
            <family val="2"/>
          </rPr>
          <t>Gutz:</t>
        </r>
        <r>
          <rPr>
            <sz val="8"/>
            <color indexed="81"/>
            <rFont val="Tahoma"/>
            <family val="2"/>
          </rPr>
          <t xml:space="preserve">
</t>
        </r>
        <r>
          <rPr>
            <sz val="10"/>
            <color indexed="81"/>
            <rFont val="Tahoma"/>
            <family val="2"/>
          </rPr>
          <t>Do not write here. See comment in cell M1 on how to change acids and bases.</t>
        </r>
      </text>
    </comment>
    <comment ref="R3" authorId="0" shapeId="0" xr:uid="{00000000-0006-0000-0800-000006000000}">
      <text>
        <r>
          <rPr>
            <b/>
            <sz val="8"/>
            <color indexed="81"/>
            <rFont val="Tahoma"/>
            <family val="2"/>
          </rPr>
          <t>Gutz:</t>
        </r>
        <r>
          <rPr>
            <sz val="8"/>
            <color indexed="81"/>
            <rFont val="Tahoma"/>
            <family val="2"/>
          </rPr>
          <t xml:space="preserve">
</t>
        </r>
        <r>
          <rPr>
            <sz val="10"/>
            <color indexed="81"/>
            <rFont val="Tahoma"/>
            <family val="2"/>
          </rPr>
          <t>Strong acids like HCl or HClO</t>
        </r>
        <r>
          <rPr>
            <vertAlign val="subscript"/>
            <sz val="10"/>
            <color indexed="81"/>
            <rFont val="Tahoma"/>
            <family val="2"/>
          </rPr>
          <t>4</t>
        </r>
        <r>
          <rPr>
            <sz val="10"/>
            <color indexed="81"/>
            <rFont val="Tahoma"/>
            <family val="2"/>
          </rPr>
          <t xml:space="preserve"> have negative pKas, possibly -6 or lower.
For a diprotic titrant like H</t>
        </r>
        <r>
          <rPr>
            <vertAlign val="subscript"/>
            <sz val="12"/>
            <color indexed="81"/>
            <rFont val="Tahoma"/>
            <family val="2"/>
          </rPr>
          <t>2</t>
        </r>
        <r>
          <rPr>
            <sz val="10"/>
            <color indexed="81"/>
            <rFont val="Tahoma"/>
            <family val="2"/>
          </rPr>
          <t>SO</t>
        </r>
        <r>
          <rPr>
            <vertAlign val="subscript"/>
            <sz val="12"/>
            <color indexed="81"/>
            <rFont val="Tahoma"/>
            <family val="2"/>
          </rPr>
          <t>4</t>
        </r>
        <r>
          <rPr>
            <sz val="10"/>
            <color indexed="81"/>
            <rFont val="Tahoma"/>
            <family val="2"/>
          </rPr>
          <t>, use pKa1 = -6 and pKa2 = 1,8.
You can specify any system with no more than 2 pKas as titrant (can be expanded by the author).</t>
        </r>
      </text>
    </comment>
    <comment ref="S3" authorId="0" shapeId="0" xr:uid="{00000000-0006-0000-0800-000007000000}">
      <text>
        <r>
          <rPr>
            <b/>
            <sz val="8"/>
            <color indexed="81"/>
            <rFont val="Tahoma"/>
            <family val="2"/>
          </rPr>
          <t>Gutz:</t>
        </r>
        <r>
          <rPr>
            <sz val="8"/>
            <color indexed="81"/>
            <rFont val="Tahoma"/>
            <family val="2"/>
          </rPr>
          <t xml:space="preserve">
</t>
        </r>
        <r>
          <rPr>
            <sz val="10"/>
            <color indexed="81"/>
            <rFont val="Tahoma"/>
            <family val="2"/>
          </rPr>
          <t>The accepted value of the pKa (=log Kp) of the strong base  OH- is 15,745 at 25ºC and infinite dilution. The activity coefficient of OH- (and other ions) decreases as I grows up to 0,5 mol/L and more specific interactions with other cations become relevant at high I , so that lower pKa values are sometimes mentioned in the literature (see references in the Database for details).
Any other mono or biprotonable acid or base can be used instead of OH-to compose the titrant.</t>
        </r>
      </text>
    </comment>
    <comment ref="T3" authorId="0" shapeId="0" xr:uid="{00000000-0006-0000-0800-000008000000}">
      <text>
        <r>
          <rPr>
            <b/>
            <sz val="8"/>
            <color indexed="81"/>
            <rFont val="Tahoma"/>
            <family val="2"/>
          </rPr>
          <t>Gutz:</t>
        </r>
        <r>
          <rPr>
            <sz val="8"/>
            <color indexed="81"/>
            <rFont val="Tahoma"/>
            <family val="2"/>
          </rPr>
          <t xml:space="preserve">
</t>
        </r>
        <r>
          <rPr>
            <sz val="10"/>
            <color indexed="81"/>
            <rFont val="Tahoma"/>
            <family val="2"/>
          </rPr>
          <t>H</t>
        </r>
        <r>
          <rPr>
            <vertAlign val="subscript"/>
            <sz val="10"/>
            <color indexed="81"/>
            <rFont val="Tahoma"/>
            <family val="2"/>
          </rPr>
          <t>2</t>
        </r>
        <r>
          <rPr>
            <sz val="10"/>
            <color indexed="81"/>
            <rFont val="Tahoma"/>
            <family val="2"/>
          </rPr>
          <t>CO</t>
        </r>
        <r>
          <rPr>
            <vertAlign val="subscript"/>
            <sz val="10"/>
            <color indexed="81"/>
            <rFont val="Tahoma"/>
            <family val="2"/>
          </rPr>
          <t>3</t>
        </r>
        <r>
          <rPr>
            <sz val="10"/>
            <color indexed="81"/>
            <rFont val="Tahoma"/>
            <family val="2"/>
          </rPr>
          <t xml:space="preserve"> charge=-2; pKa1=6,352; pKa2=10,329</t>
        </r>
        <r>
          <rPr>
            <sz val="8"/>
            <color indexed="81"/>
            <rFont val="Tahoma"/>
            <family val="2"/>
          </rPr>
          <t xml:space="preserve">
</t>
        </r>
        <r>
          <rPr>
            <sz val="10"/>
            <color indexed="81"/>
            <rFont val="Tahoma"/>
            <family val="2"/>
          </rPr>
          <t>Aqueous solutions exposed to air or stored in plastic flasks (gas permeable) are always contaminated with CO</t>
        </r>
        <r>
          <rPr>
            <vertAlign val="subscript"/>
            <sz val="12"/>
            <color indexed="81"/>
            <rFont val="Tahoma"/>
            <family val="2"/>
          </rPr>
          <t>2</t>
        </r>
        <r>
          <rPr>
            <sz val="10"/>
            <color indexed="81"/>
            <rFont val="Tahoma"/>
            <family val="2"/>
          </rPr>
          <t>. Thus, it is advisable to include the carbonic acid system in simulations and regressions. But any other mono- or diprotic system can be specified here.
The pKa</t>
        </r>
        <r>
          <rPr>
            <vertAlign val="subscript"/>
            <sz val="12"/>
            <color indexed="81"/>
            <rFont val="Tahoma"/>
            <family val="2"/>
          </rPr>
          <t>1</t>
        </r>
        <r>
          <rPr>
            <sz val="10"/>
            <color indexed="81"/>
            <rFont val="Tahoma"/>
            <family val="2"/>
          </rPr>
          <t xml:space="preserve"> from the Database for H2CO3 is apparent. By considering the fraction of dissolved CO</t>
        </r>
        <r>
          <rPr>
            <vertAlign val="subscript"/>
            <sz val="12"/>
            <color indexed="81"/>
            <rFont val="Tahoma"/>
            <family val="2"/>
          </rPr>
          <t>2</t>
        </r>
        <r>
          <rPr>
            <sz val="10"/>
            <color indexed="81"/>
            <rFont val="Tahoma"/>
            <family val="2"/>
          </rPr>
          <t xml:space="preserve">  converted in H</t>
        </r>
        <r>
          <rPr>
            <vertAlign val="subscript"/>
            <sz val="12"/>
            <color indexed="81"/>
            <rFont val="Tahoma"/>
            <family val="2"/>
          </rPr>
          <t>2</t>
        </r>
        <r>
          <rPr>
            <sz val="10"/>
            <color indexed="81"/>
            <rFont val="Tahoma"/>
            <family val="2"/>
          </rPr>
          <t>CO</t>
        </r>
        <r>
          <rPr>
            <vertAlign val="subscript"/>
            <sz val="12"/>
            <color indexed="81"/>
            <rFont val="Tahoma"/>
            <family val="2"/>
          </rPr>
          <t>3</t>
        </r>
        <r>
          <rPr>
            <sz val="10"/>
            <color indexed="81"/>
            <rFont val="Tahoma"/>
            <family val="2"/>
          </rPr>
          <t xml:space="preserve"> (most of it remains as CO</t>
        </r>
        <r>
          <rPr>
            <vertAlign val="subscript"/>
            <sz val="12"/>
            <color indexed="81"/>
            <rFont val="Tahoma"/>
            <family val="2"/>
          </rPr>
          <t>2</t>
        </r>
        <r>
          <rPr>
            <sz val="10"/>
            <color indexed="81"/>
            <rFont val="Tahoma"/>
            <family val="2"/>
          </rPr>
          <t>(aq)) a "true" pKa1 of 3.58 is found.</t>
        </r>
      </text>
    </comment>
    <comment ref="A4" authorId="0" shapeId="0" xr:uid="{00000000-0006-0000-0800-000009000000}">
      <text>
        <r>
          <rPr>
            <b/>
            <sz val="8"/>
            <color indexed="81"/>
            <rFont val="Tahoma"/>
            <family val="2"/>
          </rPr>
          <t>Gutz:</t>
        </r>
        <r>
          <rPr>
            <sz val="8"/>
            <color indexed="81"/>
            <rFont val="Tahoma"/>
            <family val="2"/>
          </rPr>
          <t xml:space="preserve">
</t>
        </r>
        <r>
          <rPr>
            <sz val="10"/>
            <color indexed="81"/>
            <rFont val="Tahoma"/>
            <family val="2"/>
          </rPr>
          <t>All concentrations in cells B4 to H13 (among others) refer to the sample, while the initial pH refers to the sample + added water (if any, see F16), here called titrand, and, during the titration, to titrand + titrant.
Typically, 5 to 25 mL of sample (cell E16) are carefully measured and placed in a beaker, a combined glass electrode (connected to a pH meter) and a magnetic stirrer bar are introduced and water (indicated in F16) is added till the sensing area of the electrode is covered, so that the pH is measure in volume G16.
A titration is carried out by adding small aliquots of titrant (usually with a buret or motor driven syringe containing a strong acid or strong base) and registering the pH after stabilization of the reading.</t>
        </r>
      </text>
    </comment>
    <comment ref="B4" authorId="1" shapeId="0" xr:uid="{00000000-0006-0000-0800-00000A000000}">
      <text>
        <r>
          <rPr>
            <b/>
            <sz val="8"/>
            <color indexed="81"/>
            <rFont val="Tahoma"/>
            <family val="2"/>
          </rPr>
          <t>Gutz</t>
        </r>
        <r>
          <rPr>
            <b/>
            <sz val="8"/>
            <color indexed="81"/>
            <rFont val="Tahoma"/>
            <family val="2"/>
          </rPr>
          <t>:</t>
        </r>
        <r>
          <rPr>
            <sz val="8"/>
            <color indexed="81"/>
            <rFont val="Tahoma"/>
            <family val="2"/>
          </rPr>
          <t xml:space="preserve">
</t>
        </r>
        <r>
          <rPr>
            <sz val="10"/>
            <color indexed="81"/>
            <rFont val="Tahoma"/>
            <family val="2"/>
          </rPr>
          <t>Do NOT write in this cell or any other one of the same color, not to corrupt  the equations.</t>
        </r>
      </text>
    </comment>
    <comment ref="J4" authorId="0" shapeId="0" xr:uid="{00000000-0006-0000-0800-00000B000000}">
      <text>
        <r>
          <rPr>
            <b/>
            <sz val="8"/>
            <color indexed="81"/>
            <rFont val="Tahoma"/>
            <family val="2"/>
          </rPr>
          <t xml:space="preserve">Gutz: 
</t>
        </r>
        <r>
          <rPr>
            <sz val="10"/>
            <color indexed="81"/>
            <rFont val="Tahoma"/>
            <family val="2"/>
          </rPr>
          <t>Charge of the most deprotonated species of an acid or base in accordance with the highest pKa for the system, e.g., 
 0 for NH3 or pyridine
-1 for acetate/acetic acid
-2 for carbonate//carbonic acid
-3 for phosphate///phosphoric acid 
-4 for EDTA</t>
        </r>
      </text>
    </comment>
    <comment ref="A5" authorId="1" shapeId="0" xr:uid="{00000000-0006-0000-0800-00000C000000}">
      <text>
        <r>
          <rPr>
            <b/>
            <sz val="8"/>
            <color indexed="81"/>
            <rFont val="Tahoma"/>
            <family val="2"/>
          </rPr>
          <t>Gutz:</t>
        </r>
        <r>
          <rPr>
            <sz val="10"/>
            <color indexed="81"/>
            <rFont val="Tahoma"/>
            <family val="2"/>
          </rPr>
          <t xml:space="preserve">
Equilibrium concentration in the sample (=titrand if F16=0) of the deprotonated (conjugated) base at the initial pH (J15); 
The fitted  global concentration of all forms of the acid-base system,    [B]+[HB]+[H2B]+... appears in line 11</t>
        </r>
      </text>
    </comment>
    <comment ref="J5" authorId="0" shapeId="0" xr:uid="{00000000-0006-0000-0800-00000D000000}">
      <text>
        <r>
          <rPr>
            <b/>
            <sz val="8"/>
            <color indexed="81"/>
            <rFont val="Tahoma"/>
            <family val="2"/>
          </rPr>
          <t xml:space="preserve">Gutz: 
</t>
        </r>
        <r>
          <rPr>
            <sz val="10"/>
            <color indexed="81"/>
            <rFont val="Tahoma"/>
            <family val="2"/>
          </rPr>
          <t>Options:
a) pKa</t>
        </r>
        <r>
          <rPr>
            <vertAlign val="subscript"/>
            <sz val="12"/>
            <color indexed="81"/>
            <rFont val="Tahoma"/>
            <family val="2"/>
          </rPr>
          <t>1</t>
        </r>
        <r>
          <rPr>
            <sz val="10"/>
            <color indexed="81"/>
            <rFont val="Tahoma"/>
            <family val="2"/>
          </rPr>
          <t xml:space="preserve"> , -logarithm of the dissociation constant of a monoprotic acid or first constant for a polyprotic system.
b) logKp</t>
        </r>
        <r>
          <rPr>
            <vertAlign val="subscript"/>
            <sz val="12"/>
            <color indexed="81"/>
            <rFont val="Tahoma"/>
            <family val="2"/>
          </rPr>
          <t>i,</t>
        </r>
        <r>
          <rPr>
            <sz val="10"/>
            <color indexed="81"/>
            <rFont val="Tahoma"/>
            <family val="2"/>
          </rPr>
          <t xml:space="preserve"> logarithm of the protonation constant of a (conjugated) base, with i=1 for a monoprotonable base and i= n (most deprotonated species) for polyprotic systems (more about at U5);
c) pK</t>
        </r>
        <r>
          <rPr>
            <vertAlign val="subscript"/>
            <sz val="12"/>
            <color indexed="81"/>
            <rFont val="Tahoma"/>
            <family val="2"/>
          </rPr>
          <t>w</t>
        </r>
        <r>
          <rPr>
            <sz val="10"/>
            <color indexed="81"/>
            <rFont val="Tahoma"/>
            <family val="2"/>
          </rPr>
          <t xml:space="preserve"> - pKb</t>
        </r>
        <r>
          <rPr>
            <vertAlign val="subscript"/>
            <sz val="12"/>
            <color indexed="81"/>
            <rFont val="Tahoma"/>
            <family val="2"/>
          </rPr>
          <t>i</t>
        </r>
        <r>
          <rPr>
            <sz val="10"/>
            <color indexed="81"/>
            <rFont val="Tahoma"/>
            <family val="2"/>
          </rPr>
          <t>, for -log of the dissociation constant  of a base, with i=1 for a monoprotonable base and i= n (most deprotonated species) for polyprotonable base.
Numerically, values of a, b e c are taken as similar.</t>
        </r>
      </text>
    </comment>
    <comment ref="U5" authorId="0" shapeId="0" xr:uid="{00000000-0006-0000-0800-00000E000000}">
      <text>
        <r>
          <rPr>
            <b/>
            <sz val="8"/>
            <color indexed="81"/>
            <rFont val="Tahoma"/>
            <family val="2"/>
          </rPr>
          <t>Gutz:</t>
        </r>
        <r>
          <rPr>
            <sz val="8"/>
            <color indexed="81"/>
            <rFont val="Tahoma"/>
            <family val="2"/>
          </rPr>
          <t xml:space="preserve">
</t>
        </r>
        <r>
          <rPr>
            <sz val="10"/>
            <color indexed="81"/>
            <rFont val="Tahoma"/>
            <family val="2"/>
          </rPr>
          <t>Blank cells were filled with a neglectable constant of 1.10</t>
        </r>
        <r>
          <rPr>
            <vertAlign val="superscript"/>
            <sz val="12"/>
            <color indexed="81"/>
            <rFont val="Tahoma"/>
            <family val="2"/>
          </rPr>
          <t>-10</t>
        </r>
        <r>
          <rPr>
            <sz val="10"/>
            <color indexed="81"/>
            <rFont val="Tahoma"/>
            <family val="2"/>
          </rPr>
          <t>,  for calculation convenience.
The betas are cumulative (or global) protonation constants, obtained by the product of the protonation constants Kp from 1 to i, with i stepping up to n (the maximum number of protons accepted by a base, same as the maximum number of dissociable protons of an acid, but in reversed order).
Note that pKa = logKp for a monoprotic acid (because Kp = 1/Kd or pKd = 1/logKd ) and, for multiprotic systems, the first logKp is the last pKa.
Protonation constants, Kp, and betas are preferred here in agreement with the most extensive compilations of equilibrium constants, e.g., Critical Stability Constants, Vol. 1–4 (complete reference in the Database), and because the equations become unified with those used for metal-ligand-proton equilibria, based on formation (instead of dissociation) constants.</t>
        </r>
      </text>
    </comment>
    <comment ref="AF5" authorId="0" shapeId="0" xr:uid="{00000000-0006-0000-0800-00000F000000}">
      <text>
        <r>
          <rPr>
            <b/>
            <sz val="8"/>
            <color indexed="81"/>
            <rFont val="Tahoma"/>
            <family val="2"/>
          </rPr>
          <t>Gutz:</t>
        </r>
        <r>
          <rPr>
            <sz val="8"/>
            <color indexed="81"/>
            <rFont val="Tahoma"/>
            <family val="2"/>
          </rPr>
          <t xml:space="preserve">
</t>
        </r>
        <r>
          <rPr>
            <sz val="10"/>
            <color indexed="81"/>
            <rFont val="Tahoma"/>
            <family val="2"/>
          </rPr>
          <t>See U5 to understand why pKa1 = logKpn</t>
        </r>
      </text>
    </comment>
    <comment ref="A6" authorId="1" shapeId="0" xr:uid="{00000000-0006-0000-0800-000010000000}">
      <text>
        <r>
          <rPr>
            <b/>
            <sz val="8"/>
            <color indexed="81"/>
            <rFont val="Tahoma"/>
            <family val="2"/>
          </rPr>
          <t>Gutz:</t>
        </r>
        <r>
          <rPr>
            <sz val="8"/>
            <color indexed="81"/>
            <rFont val="Tahoma"/>
            <family val="2"/>
          </rPr>
          <t xml:space="preserve">
</t>
        </r>
        <r>
          <rPr>
            <sz val="10"/>
            <color indexed="81"/>
            <rFont val="Tahoma"/>
            <family val="2"/>
          </rPr>
          <t>Equilibrium concentration in the sample (=titrand if F16=0) of the monoprotonated (conjugated) base at the initial pH (J15); 
The global concentration   [B]+[HB]+[H2B]+... appears in line 11</t>
        </r>
      </text>
    </comment>
    <comment ref="J6" authorId="0" shapeId="0" xr:uid="{00000000-0006-0000-0800-000011000000}">
      <text>
        <r>
          <rPr>
            <b/>
            <sz val="8"/>
            <color indexed="81"/>
            <rFont val="Tahoma"/>
            <family val="2"/>
          </rPr>
          <t xml:space="preserve">Gutz: 
</t>
        </r>
        <r>
          <rPr>
            <sz val="10"/>
            <color indexed="81"/>
            <rFont val="Tahoma"/>
            <family val="2"/>
          </rPr>
          <t>Options:
a) pKa</t>
        </r>
        <r>
          <rPr>
            <vertAlign val="subscript"/>
            <sz val="12"/>
            <color indexed="81"/>
            <rFont val="Tahoma"/>
            <family val="2"/>
          </rPr>
          <t>2</t>
        </r>
        <r>
          <rPr>
            <sz val="10"/>
            <color indexed="81"/>
            <rFont val="Tahoma"/>
            <family val="2"/>
          </rPr>
          <t xml:space="preserve"> , -log of the 2</t>
        </r>
        <r>
          <rPr>
            <vertAlign val="superscript"/>
            <sz val="12"/>
            <color indexed="81"/>
            <rFont val="Tahoma"/>
            <family val="2"/>
          </rPr>
          <t>nd</t>
        </r>
        <r>
          <rPr>
            <sz val="10"/>
            <color indexed="81"/>
            <rFont val="Tahoma"/>
            <family val="2"/>
          </rPr>
          <t xml:space="preserve"> dissociation constant of a diprotic or polyprotic acid; 
b) logKp</t>
        </r>
        <r>
          <rPr>
            <vertAlign val="subscript"/>
            <sz val="12"/>
            <color indexed="81"/>
            <rFont val="Tahoma"/>
            <family val="2"/>
          </rPr>
          <t>i,</t>
        </r>
        <r>
          <rPr>
            <sz val="10"/>
            <color indexed="81"/>
            <rFont val="Tahoma"/>
            <family val="2"/>
          </rPr>
          <t xml:space="preserve"> log of the first protonation constant of a diprotonable (conjugated) base or i=n-1 for a system with n protonations;
c) pK</t>
        </r>
        <r>
          <rPr>
            <vertAlign val="subscript"/>
            <sz val="12"/>
            <color indexed="81"/>
            <rFont val="Tahoma"/>
            <family val="2"/>
          </rPr>
          <t>w</t>
        </r>
        <r>
          <rPr>
            <sz val="10"/>
            <color indexed="81"/>
            <rFont val="Tahoma"/>
            <family val="2"/>
          </rPr>
          <t xml:space="preserve"> - pKb</t>
        </r>
        <r>
          <rPr>
            <vertAlign val="subscript"/>
            <sz val="12"/>
            <color indexed="81"/>
            <rFont val="Tahoma"/>
            <family val="2"/>
          </rPr>
          <t>i</t>
        </r>
        <r>
          <rPr>
            <sz val="10"/>
            <color indexed="81"/>
            <rFont val="Tahoma"/>
            <family val="2"/>
          </rPr>
          <t xml:space="preserve"> with i=1 for a diprotonable base or i=n-1 for a base with n protonations; for a monoprotonable base, leave blank.</t>
        </r>
      </text>
    </comment>
    <comment ref="R8" authorId="0" shapeId="0" xr:uid="{00000000-0006-0000-0800-000012000000}">
      <text>
        <r>
          <rPr>
            <b/>
            <sz val="8"/>
            <color indexed="81"/>
            <rFont val="Tahoma"/>
            <family val="2"/>
          </rPr>
          <t>Gutz:</t>
        </r>
        <r>
          <rPr>
            <sz val="8"/>
            <color indexed="81"/>
            <rFont val="Tahoma"/>
            <family val="2"/>
          </rPr>
          <t xml:space="preserve">
</t>
        </r>
        <r>
          <rPr>
            <sz val="10"/>
            <color indexed="81"/>
            <rFont val="Tahoma"/>
            <family val="2"/>
          </rPr>
          <t>The ionic dissociation product of water changes with temperature and ionic strength, I. For pure water at 25ºC, the accepted value is 13.997 (or 14.00). 
Values corrected for I can be calculated in module pH_calc.</t>
        </r>
      </text>
    </comment>
    <comment ref="A11" authorId="1" shapeId="0" xr:uid="{00000000-0006-0000-0800-000013000000}">
      <text>
        <r>
          <rPr>
            <b/>
            <sz val="8"/>
            <color indexed="81"/>
            <rFont val="Tahoma"/>
            <family val="2"/>
          </rPr>
          <t>Gutz:</t>
        </r>
        <r>
          <rPr>
            <sz val="8"/>
            <color indexed="81"/>
            <rFont val="Tahoma"/>
            <family val="2"/>
          </rPr>
          <t xml:space="preserve">
</t>
        </r>
        <r>
          <rPr>
            <sz val="10"/>
            <color indexed="81"/>
            <rFont val="Tahoma"/>
            <family val="2"/>
          </rPr>
          <t>Total concentration (in the sample, =titrand if F16=0) of each acid or base identified in line 3, obtained by summing up the contributions of all of its forms in equilibrium: [B]+[HB]+[H</t>
        </r>
        <r>
          <rPr>
            <vertAlign val="subscript"/>
            <sz val="10"/>
            <color indexed="81"/>
            <rFont val="Tahoma"/>
            <family val="2"/>
          </rPr>
          <t>2</t>
        </r>
        <r>
          <rPr>
            <sz val="10"/>
            <color indexed="81"/>
            <rFont val="Tahoma"/>
            <family val="2"/>
          </rPr>
          <t>B]+...
It can usually be fitted by regression (as a variable parameter of the Solver) but an inaccurate and even unrealistic concentration may be obtained for bases without a pKa value in the pH region covered by the titration. Strong acids represent the worst example, but their concentration can be obtained from the excess of H</t>
        </r>
        <r>
          <rPr>
            <vertAlign val="superscript"/>
            <sz val="10"/>
            <color indexed="81"/>
            <rFont val="Tahoma"/>
            <family val="2"/>
          </rPr>
          <t xml:space="preserve">+ </t>
        </r>
        <r>
          <rPr>
            <sz val="10"/>
            <color indexed="81"/>
            <rFont val="Tahoma"/>
            <family val="2"/>
          </rPr>
          <t xml:space="preserve">(cell I14).
If the Solver does not converge to a realistic solution for sample with multiple components, only the most relevant variables should be fitted at first and the minor components are added one at a time as a variable of the regression. Good initial guesses accelerate convergence but, in general, zero is an acceptable starting value for the concentrations to fit.
</t>
        </r>
      </text>
    </comment>
    <comment ref="B11" authorId="1" shapeId="0" xr:uid="{00000000-0006-0000-0800-000014000000}">
      <text>
        <r>
          <rPr>
            <b/>
            <sz val="8"/>
            <color indexed="81"/>
            <rFont val="Tahoma"/>
            <family val="2"/>
          </rPr>
          <t>Gutz:</t>
        </r>
        <r>
          <rPr>
            <sz val="8"/>
            <color indexed="81"/>
            <rFont val="Tahoma"/>
            <family val="2"/>
          </rPr>
          <t xml:space="preserve">
</t>
        </r>
        <r>
          <rPr>
            <sz val="10"/>
            <color indexed="81"/>
            <rFont val="Tahoma"/>
            <family val="2"/>
          </rPr>
          <t>You may write 0 (zero) as starting value in all cells of line 11 (B11 to H11). During regression, the values of the variable cells specified by you in the Solver setup will be adjusted accordingly. For complicated systems an initial guess, based on graphical evaluation, will help and speed up Solver's convergence.</t>
        </r>
      </text>
    </comment>
    <comment ref="H11" authorId="1" shapeId="0" xr:uid="{00000000-0006-0000-0800-000015000000}">
      <text>
        <r>
          <rPr>
            <b/>
            <sz val="8"/>
            <color indexed="81"/>
            <rFont val="Tahoma"/>
            <family val="2"/>
          </rPr>
          <t>Gutz:</t>
        </r>
        <r>
          <rPr>
            <sz val="8"/>
            <color indexed="81"/>
            <rFont val="Tahoma"/>
            <family val="2"/>
          </rPr>
          <t xml:space="preserve">
</t>
        </r>
        <r>
          <rPr>
            <sz val="10"/>
            <color indexed="81"/>
            <rFont val="Tahoma"/>
            <family val="2"/>
          </rPr>
          <t xml:space="preserve">Do </t>
        </r>
        <r>
          <rPr>
            <b/>
            <sz val="10"/>
            <color indexed="81"/>
            <rFont val="Tahoma"/>
            <family val="2"/>
          </rPr>
          <t>not</t>
        </r>
        <r>
          <rPr>
            <sz val="10"/>
            <color indexed="81"/>
            <rFont val="Tahoma"/>
            <family val="2"/>
          </rPr>
          <t xml:space="preserve"> fit the concentration of any strong acid with pKa value(s) lower than the pH range covered by the titration (like HCl, exemplified in column H). 
The total concentration of strong acid(s) can be derived from the excess of H</t>
        </r>
        <r>
          <rPr>
            <vertAlign val="superscript"/>
            <sz val="10"/>
            <color indexed="81"/>
            <rFont val="Tahoma"/>
            <family val="2"/>
          </rPr>
          <t>+</t>
        </r>
        <r>
          <rPr>
            <sz val="10"/>
            <color indexed="81"/>
            <rFont val="Tahoma"/>
            <family val="2"/>
          </rPr>
          <t xml:space="preserve"> revealed in cell I14 after successful regression. For a sample containing nothing else than strong acid(s), the fitted value of I18 will as well reveal the (total) concentration (=I14). 
Taking a diluted HCl sample as an example and starting with concentrations H11=0 and I18 (the only variable cell in Solver for this example) =0, after running the Solver, the value of I14 (=I18) is copied to H11; a new run of the Solver should return the same I18 and a I14 value close to zero (if not, H11 should be updated accordingly).</t>
        </r>
      </text>
    </comment>
    <comment ref="I11" authorId="2" shapeId="0" xr:uid="{00000000-0006-0000-0800-000016000000}">
      <text>
        <r>
          <rPr>
            <b/>
            <sz val="9"/>
            <color indexed="81"/>
            <rFont val="Tahoma"/>
            <family val="2"/>
          </rPr>
          <t>Gutz:</t>
        </r>
        <r>
          <rPr>
            <sz val="9"/>
            <color indexed="81"/>
            <rFont val="Tahoma"/>
            <family val="2"/>
          </rPr>
          <t xml:space="preserve">
</t>
        </r>
        <r>
          <rPr>
            <sz val="10"/>
            <color indexed="81"/>
            <rFont val="Tahoma"/>
            <family val="2"/>
          </rPr>
          <t>Summation of the total concentration in the sample (=titrand if F16=0) of all acids and bases identified in line 3, considering that the values fitted by regression (or manually inserted) in line 11 are correct (more information in cell A11).</t>
        </r>
      </text>
    </comment>
    <comment ref="P11" authorId="0" shapeId="0" xr:uid="{00000000-0006-0000-0800-000017000000}">
      <text>
        <r>
          <rPr>
            <b/>
            <sz val="8"/>
            <color indexed="81"/>
            <rFont val="Tahoma"/>
            <family val="2"/>
          </rPr>
          <t>Gutz:</t>
        </r>
        <r>
          <rPr>
            <sz val="8"/>
            <color indexed="81"/>
            <rFont val="Tahoma"/>
            <family val="2"/>
          </rPr>
          <t xml:space="preserve">
</t>
        </r>
        <r>
          <rPr>
            <sz val="10"/>
            <color indexed="81"/>
            <rFont val="Tahoma"/>
            <family val="2"/>
          </rPr>
          <t>Systematic departure of fitted curves from the experimental ones may have various (combined) causes, and N12 and N13 fitting should be attempted only when inaccurate calibration of the sensor is the most like one (unreliable buffer solutions, temperature different from specified, defective/drifting sensor), especially when the titrant and titrand composition is known and I was already estimated.
Examples of other causes of misfitting:
i) Incorrect use of the Regression module by beginners;
ii) Deviation of the sensor response from the theoretical (Nersntian) one due to uncorrected acid or alkaline error or uncorrected junction (diffusion) potential; these errors become more significant ant extreme pHs;  
iii) Standardization errors of the titrant or decomposition/contamination (CO</t>
        </r>
        <r>
          <rPr>
            <vertAlign val="subscript"/>
            <sz val="12"/>
            <color indexed="81"/>
            <rFont val="Tahoma"/>
            <family val="2"/>
          </rPr>
          <t>2</t>
        </r>
        <r>
          <rPr>
            <sz val="10"/>
            <color indexed="81"/>
            <rFont val="Tahoma"/>
            <family val="2"/>
          </rPr>
          <t xml:space="preserve"> absorption, etc.); Some improvement may be reached by the fitting CO</t>
        </r>
        <r>
          <rPr>
            <vertAlign val="subscript"/>
            <sz val="10"/>
            <color indexed="81"/>
            <rFont val="Tahoma"/>
            <family val="2"/>
          </rPr>
          <t>2</t>
        </r>
        <r>
          <rPr>
            <sz val="10"/>
            <color indexed="81"/>
            <rFont val="Tahoma"/>
            <family val="2"/>
          </rPr>
          <t xml:space="preserve"> contamination in the titrant;
iv) Missing or undercorrection of the effect of ionic strength and temperature on activity coefficients and pKas;
</t>
        </r>
        <r>
          <rPr>
            <b/>
            <sz val="10"/>
            <color indexed="81"/>
            <rFont val="Tahoma"/>
            <family val="2"/>
          </rPr>
          <t>Regression</t>
        </r>
        <r>
          <rPr>
            <sz val="10"/>
            <color indexed="81"/>
            <rFont val="Tahoma"/>
            <family val="2"/>
          </rPr>
          <t xml:space="preserve"> assumes that the pKa values (from the database or other source) are for I=0 and same temperature as the titration.  This may not be the case (the database contains some pKas for I&gt;0 or t not 25</t>
        </r>
        <r>
          <rPr>
            <vertAlign val="superscript"/>
            <sz val="10"/>
            <color indexed="81"/>
            <rFont val="Tahoma"/>
            <family val="2"/>
          </rPr>
          <t>o</t>
        </r>
        <r>
          <rPr>
            <sz val="10"/>
            <color indexed="81"/>
            <rFont val="Tahoma"/>
            <family val="2"/>
          </rPr>
          <t>C; pKa values can be refined by MPNLR if all other parameters are accurately known.</t>
        </r>
      </text>
    </comment>
    <comment ref="S11" authorId="0" shapeId="0" xr:uid="{00000000-0006-0000-0800-000018000000}">
      <text>
        <r>
          <rPr>
            <b/>
            <sz val="8"/>
            <color indexed="81"/>
            <rFont val="Tahoma"/>
            <family val="2"/>
          </rPr>
          <t>Gutz:</t>
        </r>
        <r>
          <rPr>
            <sz val="10"/>
            <color indexed="81"/>
            <rFont val="Tahoma"/>
            <family val="2"/>
          </rPr>
          <t xml:space="preserve">
Data at cells S12 to S20 (below), as well as V19 to AB19 and B4 to I13 refer to the </t>
        </r>
        <r>
          <rPr>
            <u/>
            <sz val="10"/>
            <color indexed="81"/>
            <rFont val="Tahoma"/>
            <family val="2"/>
          </rPr>
          <t xml:space="preserve">undiluted </t>
        </r>
        <r>
          <rPr>
            <b/>
            <u/>
            <sz val="10"/>
            <color indexed="81"/>
            <rFont val="Tahoma"/>
            <family val="2"/>
          </rPr>
          <t>sample</t>
        </r>
        <r>
          <rPr>
            <sz val="10"/>
            <color indexed="81"/>
            <rFont val="Tahoma"/>
            <family val="2"/>
          </rPr>
          <t xml:space="preserve">. If no diluting solution was added (F16=0), than the sample is the </t>
        </r>
        <r>
          <rPr>
            <b/>
            <sz val="10"/>
            <color indexed="81"/>
            <rFont val="Tahoma"/>
            <family val="2"/>
          </rPr>
          <t>titrand</t>
        </r>
        <r>
          <rPr>
            <sz val="10"/>
            <color indexed="81"/>
            <rFont val="Tahoma"/>
            <family val="2"/>
          </rPr>
          <t xml:space="preserve"> itself. Otherwise (F16&gt;0), a G16/E16 dilution factor will apply to the </t>
        </r>
        <r>
          <rPr>
            <b/>
            <sz val="10"/>
            <color indexed="81"/>
            <rFont val="Tahoma"/>
            <family val="2"/>
          </rPr>
          <t xml:space="preserve">titrand </t>
        </r>
        <r>
          <rPr>
            <sz val="10"/>
            <color indexed="81"/>
            <rFont val="Tahoma"/>
            <family val="2"/>
          </rPr>
          <t xml:space="preserve">to calculate the parametres S22 to S26. 
</t>
        </r>
      </text>
    </comment>
    <comment ref="T11" authorId="0" shapeId="0" xr:uid="{00000000-0006-0000-0800-000019000000}">
      <text>
        <r>
          <rPr>
            <b/>
            <sz val="8"/>
            <color indexed="81"/>
            <rFont val="Tahoma"/>
            <family val="2"/>
          </rPr>
          <t>Gutz:</t>
        </r>
        <r>
          <rPr>
            <sz val="8"/>
            <color indexed="81"/>
            <rFont val="Tahoma"/>
            <family val="2"/>
          </rPr>
          <t xml:space="preserve">
</t>
        </r>
        <r>
          <rPr>
            <sz val="10"/>
            <color indexed="81"/>
            <rFont val="Tahoma"/>
            <family val="2"/>
          </rPr>
          <t>Fill out T12 and T13 if extra electrolytes were added to the titrant. Read comments in Q12, R12 and R13.
Calculations in this column are carried out by clicking on G18 "Find titrant pH" and depend of the known or fitted concentrations of acids, bases and electrolytes in the titrant.</t>
        </r>
      </text>
    </comment>
    <comment ref="A12" authorId="1" shapeId="0" xr:uid="{00000000-0006-0000-0800-00001A000000}">
      <text>
        <r>
          <rPr>
            <b/>
            <sz val="10"/>
            <color indexed="81"/>
            <rFont val="Tahoma"/>
            <family val="2"/>
          </rPr>
          <t>Gutz:</t>
        </r>
        <r>
          <rPr>
            <sz val="10"/>
            <color indexed="81"/>
            <rFont val="Tahoma"/>
            <family val="2"/>
          </rPr>
          <t xml:space="preserve">
Concentration of H</t>
        </r>
        <r>
          <rPr>
            <vertAlign val="superscript"/>
            <sz val="10"/>
            <color indexed="81"/>
            <rFont val="Tahoma"/>
            <family val="2"/>
          </rPr>
          <t>+</t>
        </r>
        <r>
          <rPr>
            <sz val="10"/>
            <color indexed="81"/>
            <rFont val="Tahoma"/>
            <family val="2"/>
          </rPr>
          <t xml:space="preserve"> bound to each (conjugated) base in the sample at the initial pH equilibrium, considering that the values fitted by regression or manually inserted in line 11 are correct.</t>
        </r>
      </text>
    </comment>
    <comment ref="I12" authorId="0" shapeId="0" xr:uid="{00000000-0006-0000-0800-00001B000000}">
      <text>
        <r>
          <rPr>
            <b/>
            <sz val="8"/>
            <color indexed="81"/>
            <rFont val="Tahoma"/>
            <family val="2"/>
          </rPr>
          <t>Gutz:</t>
        </r>
        <r>
          <rPr>
            <sz val="8"/>
            <color indexed="81"/>
            <rFont val="Tahoma"/>
            <family val="2"/>
          </rPr>
          <t xml:space="preserve">
</t>
        </r>
        <r>
          <rPr>
            <sz val="10"/>
            <color indexed="81"/>
            <rFont val="Tahoma"/>
            <family val="2"/>
          </rPr>
          <t>Summation of the concentration (calculated for the sample) of H</t>
        </r>
        <r>
          <rPr>
            <vertAlign val="superscript"/>
            <sz val="12"/>
            <color indexed="81"/>
            <rFont val="Tahoma"/>
            <family val="2"/>
          </rPr>
          <t>+</t>
        </r>
        <r>
          <rPr>
            <sz val="10"/>
            <color indexed="81"/>
            <rFont val="Tahoma"/>
            <family val="2"/>
          </rPr>
          <t>bound to all (conjugated) bases at the initial pH of the titrand, considering that the values fitted by regression (or manually inserted) in line 11 are correct.</t>
        </r>
      </text>
    </comment>
    <comment ref="P12" authorId="0" shapeId="0" xr:uid="{00000000-0006-0000-0800-00001C000000}">
      <text>
        <r>
          <rPr>
            <b/>
            <sz val="8"/>
            <color indexed="81"/>
            <rFont val="Tahoma"/>
            <family val="2"/>
          </rPr>
          <t>Gutz:</t>
        </r>
        <r>
          <rPr>
            <sz val="8"/>
            <color indexed="81"/>
            <rFont val="Tahoma"/>
            <family val="2"/>
          </rPr>
          <t xml:space="preserve">
</t>
        </r>
        <r>
          <rPr>
            <sz val="10"/>
            <color indexed="81"/>
            <rFont val="Tahoma"/>
            <family val="2"/>
          </rPr>
          <t>Default value is 7.000, meaning that the calibration is accurate for pH=7.000. More about in cell P11's comment.</t>
        </r>
      </text>
    </comment>
    <comment ref="Q12" authorId="3" shapeId="0" xr:uid="{00000000-0006-0000-0800-00001D000000}">
      <text>
        <r>
          <rPr>
            <b/>
            <sz val="8"/>
            <color indexed="81"/>
            <rFont val="Tahoma"/>
            <family val="2"/>
          </rPr>
          <t>Gutz:</t>
        </r>
        <r>
          <rPr>
            <sz val="8"/>
            <color indexed="81"/>
            <rFont val="Tahoma"/>
            <family val="2"/>
          </rPr>
          <t xml:space="preserve">
</t>
        </r>
        <r>
          <rPr>
            <sz val="10"/>
            <color indexed="81"/>
            <rFont val="Tahoma"/>
            <family val="2"/>
          </rPr>
          <t xml:space="preserve">Concentration of ions different from those of the species that appear in cells B4 to H11 and the corresponding counterions  presumed here to be monovalent), if any.
To ignore such "background electrolyte" (e.g., in salt water) can serioulsy compromise de calculations.
If F16&gt;0, ignore the sample dilution when entering tthe values of S12 and S13 (unless the dilution has been made with an electrolyte solution, in which case the corresponding concentration in the sample must be be calculated).
</t>
        </r>
      </text>
    </comment>
    <comment ref="R12" authorId="0" shapeId="0" xr:uid="{00000000-0006-0000-0800-00001E000000}">
      <text>
        <r>
          <rPr>
            <b/>
            <sz val="8"/>
            <color indexed="81"/>
            <rFont val="Tahoma"/>
            <family val="2"/>
          </rPr>
          <t>Gutz:</t>
        </r>
        <r>
          <rPr>
            <sz val="8"/>
            <color indexed="81"/>
            <rFont val="Tahoma"/>
            <family val="2"/>
          </rPr>
          <t xml:space="preserve">
</t>
        </r>
        <r>
          <rPr>
            <sz val="10"/>
            <color indexed="81"/>
            <rFont val="Tahoma"/>
            <family val="2"/>
          </rPr>
          <t>Summation of monovalent ion concentration in the (undiluted) sample. Example: for 0.1 mol/L NaCl, write 0.2, due to 0.1 Na</t>
        </r>
        <r>
          <rPr>
            <vertAlign val="superscript"/>
            <sz val="12"/>
            <color indexed="81"/>
            <rFont val="Tahoma"/>
            <family val="2"/>
          </rPr>
          <t>+</t>
        </r>
        <r>
          <rPr>
            <sz val="10"/>
            <color indexed="81"/>
            <rFont val="Tahoma"/>
            <family val="2"/>
          </rPr>
          <t xml:space="preserve"> + 0.1 Cl</t>
        </r>
        <r>
          <rPr>
            <vertAlign val="superscript"/>
            <sz val="12"/>
            <color indexed="81"/>
            <rFont val="Tahoma"/>
            <family val="2"/>
          </rPr>
          <t>-</t>
        </r>
        <r>
          <rPr>
            <sz val="10"/>
            <color indexed="81"/>
            <rFont val="Tahoma"/>
            <family val="2"/>
          </rPr>
          <t xml:space="preserve">.  If F16&gt;0, dilutions should NOT be considered here for the Sample. 
More details in comment of cell S12. 
</t>
        </r>
      </text>
    </comment>
    <comment ref="S12" authorId="2" shapeId="0" xr:uid="{00000000-0006-0000-0800-00001F000000}">
      <text>
        <r>
          <rPr>
            <b/>
            <sz val="9"/>
            <color indexed="81"/>
            <rFont val="Tahoma"/>
            <family val="2"/>
          </rPr>
          <t>Gutz:</t>
        </r>
        <r>
          <rPr>
            <sz val="9"/>
            <color indexed="81"/>
            <rFont val="Tahoma"/>
            <family val="2"/>
          </rPr>
          <t xml:space="preserve">
</t>
        </r>
        <r>
          <rPr>
            <sz val="10"/>
            <color indexed="81"/>
            <rFont val="Tahoma"/>
            <family val="2"/>
          </rPr>
          <t xml:space="preserve">Summation of the concentrations (known, estimated or adjusted by using Solver*) of cations + monovalent anions present in the sample. Fill in only if the sample contains electrolytes other than acids and bases and their counterions (these contributions are shown in the columns below).
Example: write 0.2 for 0.1 mol / L NaCl dissolved in 0.1 Na </t>
        </r>
        <r>
          <rPr>
            <vertAlign val="superscript"/>
            <sz val="10"/>
            <color indexed="81"/>
            <rFont val="Tahoma"/>
            <family val="2"/>
          </rPr>
          <t>+</t>
        </r>
        <r>
          <rPr>
            <sz val="10"/>
            <color indexed="81"/>
            <rFont val="Tahoma"/>
            <family val="2"/>
          </rPr>
          <t xml:space="preserve"> + 0.1 Cl</t>
        </r>
        <r>
          <rPr>
            <vertAlign val="superscript"/>
            <sz val="10"/>
            <color indexed="81"/>
            <rFont val="Tahoma"/>
            <family val="2"/>
          </rPr>
          <t>-</t>
        </r>
        <r>
          <rPr>
            <sz val="10"/>
            <color indexed="81"/>
            <rFont val="Tahoma"/>
            <family val="2"/>
          </rPr>
          <t>).
If F16 is different from zero, ignore the dilution effect, unless it was made with a saline solution in which case the electrolytes should be counted as if they were dissolved in the sample.
Example 1: S12 = 0.6 for the dilution of 20 mL of sample with 10 mL of 0.6 mol / L KNO</t>
        </r>
        <r>
          <rPr>
            <vertAlign val="subscript"/>
            <sz val="10"/>
            <color indexed="81"/>
            <rFont val="Tahoma"/>
            <family val="2"/>
          </rPr>
          <t>3</t>
        </r>
        <r>
          <rPr>
            <sz val="10"/>
            <color indexed="81"/>
            <rFont val="Tahoma"/>
            <family val="2"/>
          </rPr>
          <t xml:space="preserve"> (= 0.2 mol/L in the titrator) once (0.6 + 0.6) * 10/20 = 0.6 = (0.2 + 0.2) * 30/20).
Example 2: For Ca(NO</t>
        </r>
        <r>
          <rPr>
            <vertAlign val="subscript"/>
            <sz val="10"/>
            <color indexed="81"/>
            <rFont val="Tahoma"/>
            <family val="2"/>
          </rPr>
          <t>3</t>
        </r>
        <r>
          <rPr>
            <sz val="10"/>
            <color indexed="81"/>
            <rFont val="Tahoma"/>
            <family val="2"/>
          </rPr>
          <t>)</t>
        </r>
        <r>
          <rPr>
            <vertAlign val="subscript"/>
            <sz val="10"/>
            <color indexed="81"/>
            <rFont val="Tahoma"/>
            <family val="2"/>
          </rPr>
          <t>2</t>
        </r>
        <r>
          <rPr>
            <sz val="10"/>
            <color indexed="81"/>
            <rFont val="Tahoma"/>
            <family val="2"/>
          </rPr>
          <t xml:space="preserve"> 0.1 mol / L, enter 0.1 * 10/20 in S13 (for calcium) and 0.2 * 10/20 in S12 (for nitrate).
* When unknown, this parameter may be fitted by regression with Solver to estimate the amount of background electrolyte in the titrant or titrand, but uncertainty is high and results can be wrong, because activity coefficients present a minimum in function of concentration (around 0.4 mol/L) so that there are two concentrations with the same  </t>
        </r>
        <r>
          <rPr>
            <sz val="10"/>
            <color indexed="81"/>
            <rFont val="Symbol"/>
            <family val="1"/>
            <charset val="2"/>
          </rPr>
          <t>g</t>
        </r>
        <r>
          <rPr>
            <sz val="10"/>
            <color indexed="81"/>
            <rFont val="Tahoma"/>
            <family val="2"/>
          </rPr>
          <t xml:space="preserve">. </t>
        </r>
      </text>
    </comment>
    <comment ref="U12" authorId="0" shapeId="0" xr:uid="{00000000-0006-0000-0800-000020000000}">
      <text>
        <r>
          <rPr>
            <b/>
            <sz val="8"/>
            <color indexed="81"/>
            <rFont val="Tahoma"/>
            <family val="2"/>
          </rPr>
          <t>Gutz:</t>
        </r>
        <r>
          <rPr>
            <sz val="8"/>
            <color indexed="81"/>
            <rFont val="Tahoma"/>
            <family val="2"/>
          </rPr>
          <t xml:space="preserve">
</t>
        </r>
        <r>
          <rPr>
            <sz val="10"/>
            <color indexed="81"/>
            <rFont val="Tahoma"/>
            <family val="2"/>
          </rPr>
          <t>Blank cells were filled with an insignificant dummy constant 10</t>
        </r>
        <r>
          <rPr>
            <vertAlign val="superscript"/>
            <sz val="12"/>
            <color indexed="81"/>
            <rFont val="Tahoma"/>
            <family val="2"/>
          </rPr>
          <t>-10</t>
        </r>
        <r>
          <rPr>
            <sz val="10"/>
            <color indexed="81"/>
            <rFont val="Tahoma"/>
            <family val="2"/>
          </rPr>
          <t xml:space="preserve"> for calculation convenience.
The betas are cumulative (or global) protonation constants, obtained by multiplying the protonation constants Kp from 1 to i, with i stepping up to n, the maximum number of protons accepted by a (conjugated) base (same as the maximum number of dissociable protons of an acid, but in reversed order).
Note that pKa = logKp for a monoprotic acid (because Kp = 1/Kd or pKd = 1/logKd ) and, for multiprotic systems, the first logKp is the last pKa.
Protonation constants, Kp, and betas are preferred here in agreement with the most extensive compilations of equilibrium constants, e.g., Critical Stability Constants, Vol. 1–4 (complete references in the Database), and because the equations become unified with those used for metal-ligand-proton equilibria, based on formation (instead of dissociation) constants.</t>
        </r>
      </text>
    </comment>
    <comment ref="A13" authorId="1" shapeId="0" xr:uid="{00000000-0006-0000-0800-000021000000}">
      <text>
        <r>
          <rPr>
            <b/>
            <sz val="8"/>
            <color indexed="81"/>
            <rFont val="Tahoma"/>
            <family val="2"/>
          </rPr>
          <t>Gutz:</t>
        </r>
        <r>
          <rPr>
            <sz val="8"/>
            <color indexed="81"/>
            <rFont val="Tahoma"/>
            <family val="2"/>
          </rPr>
          <t xml:space="preserve">
</t>
        </r>
        <r>
          <rPr>
            <sz val="10"/>
            <color indexed="81"/>
            <rFont val="Tahoma"/>
            <family val="2"/>
          </rPr>
          <t>Concentration of H</t>
        </r>
        <r>
          <rPr>
            <vertAlign val="superscript"/>
            <sz val="10"/>
            <color indexed="81"/>
            <rFont val="Tahoma"/>
            <family val="2"/>
          </rPr>
          <t>+</t>
        </r>
        <r>
          <rPr>
            <sz val="10"/>
            <color indexed="81"/>
            <rFont val="Tahoma"/>
            <family val="2"/>
          </rPr>
          <t xml:space="preserve"> that, at equilibrium established at the pH of the titrand, would be liberated to the medium (or withdrawn, if negative) by each acid or base (fitted by regression) supposing it was originally introduced just protonated to neutrality (0 to n protons).
Examples:
Positive value of the parameter in line 13 will indicate the liberation of protons by acids like acetic (instead of sodium acetate), H</t>
        </r>
        <r>
          <rPr>
            <vertAlign val="subscript"/>
            <sz val="10"/>
            <color indexed="81"/>
            <rFont val="Tahoma"/>
            <family val="2"/>
          </rPr>
          <t>3</t>
        </r>
        <r>
          <rPr>
            <sz val="10"/>
            <color indexed="81"/>
            <rFont val="Tahoma"/>
            <family val="2"/>
          </rPr>
          <t>PO</t>
        </r>
        <r>
          <rPr>
            <vertAlign val="subscript"/>
            <sz val="10"/>
            <color indexed="81"/>
            <rFont val="Tahoma"/>
            <family val="2"/>
          </rPr>
          <t>4</t>
        </r>
        <r>
          <rPr>
            <sz val="10"/>
            <color indexed="81"/>
            <rFont val="Tahoma"/>
            <family val="2"/>
          </rPr>
          <t xml:space="preserve"> (instead of NaH</t>
        </r>
        <r>
          <rPr>
            <vertAlign val="subscript"/>
            <sz val="10"/>
            <color indexed="81"/>
            <rFont val="Tahoma"/>
            <family val="2"/>
          </rPr>
          <t>2</t>
        </r>
        <r>
          <rPr>
            <sz val="10"/>
            <color indexed="81"/>
            <rFont val="Tahoma"/>
            <family val="2"/>
          </rPr>
          <t>PO</t>
        </r>
        <r>
          <rPr>
            <vertAlign val="subscript"/>
            <sz val="10"/>
            <color indexed="81"/>
            <rFont val="Tahoma"/>
            <family val="2"/>
          </rPr>
          <t>3</t>
        </r>
        <r>
          <rPr>
            <sz val="10"/>
            <color indexed="81"/>
            <rFont val="Tahoma"/>
            <family val="2"/>
          </rPr>
          <t>, etc.) or H</t>
        </r>
        <r>
          <rPr>
            <vertAlign val="subscript"/>
            <sz val="10"/>
            <color indexed="81"/>
            <rFont val="Tahoma"/>
            <family val="2"/>
          </rPr>
          <t>2</t>
        </r>
        <r>
          <rPr>
            <sz val="10"/>
            <color indexed="81"/>
            <rFont val="Tahoma"/>
            <family val="2"/>
          </rPr>
          <t>SO</t>
        </r>
        <r>
          <rPr>
            <vertAlign val="subscript"/>
            <sz val="10"/>
            <color indexed="81"/>
            <rFont val="Tahoma"/>
            <family val="2"/>
          </rPr>
          <t>4</t>
        </r>
        <r>
          <rPr>
            <sz val="10"/>
            <color indexed="81"/>
            <rFont val="Tahoma"/>
            <family val="2"/>
          </rPr>
          <t xml:space="preserve"> to an extension that depends of the acid pKa and the pH of the titrand. 
Bases like ammonia (NH</t>
        </r>
        <r>
          <rPr>
            <vertAlign val="subscript"/>
            <sz val="10"/>
            <color indexed="81"/>
            <rFont val="Tahoma"/>
            <family val="2"/>
          </rPr>
          <t>3</t>
        </r>
        <r>
          <rPr>
            <sz val="10"/>
            <color indexed="81"/>
            <rFont val="Tahoma"/>
            <family val="2"/>
          </rPr>
          <t xml:space="preserve"> or NH</t>
        </r>
        <r>
          <rPr>
            <vertAlign val="subscript"/>
            <sz val="10"/>
            <color indexed="81"/>
            <rFont val="Tahoma"/>
            <family val="2"/>
          </rPr>
          <t>4</t>
        </r>
        <r>
          <rPr>
            <sz val="10"/>
            <color indexed="81"/>
            <rFont val="Tahoma"/>
            <family val="2"/>
          </rPr>
          <t>OH) or pyridine (neutral when unprotonated), once dissolved in water, will associate to some extend with protons (hydrolysis) and this debt of H</t>
        </r>
        <r>
          <rPr>
            <vertAlign val="superscript"/>
            <sz val="10"/>
            <color indexed="81"/>
            <rFont val="Tahoma"/>
            <family val="2"/>
          </rPr>
          <t>+</t>
        </r>
        <r>
          <rPr>
            <sz val="10"/>
            <color indexed="81"/>
            <rFont val="Tahoma"/>
            <family val="2"/>
          </rPr>
          <t xml:space="preserve"> is indicted by a negative value in line 13. 
A null value is expected when the pH of the titrand has the same value of the isoelectric point of an amphiprotic (or zwitterionic) acid-base system, e.g., alanine at pH 6.1 or EDTA at pH 1.7.
Hydroxide ion, due to its great affinity for H</t>
        </r>
        <r>
          <rPr>
            <vertAlign val="superscript"/>
            <sz val="10"/>
            <color indexed="81"/>
            <rFont val="Tahoma"/>
            <family val="2"/>
          </rPr>
          <t>+</t>
        </r>
        <r>
          <rPr>
            <sz val="10"/>
            <color indexed="81"/>
            <rFont val="Tahoma"/>
            <family val="2"/>
          </rPr>
          <t xml:space="preserve"> (high pKa) forms water as the neutral conjugated acid.  Water, in turn is amphiprotic but it protonates or deprotonates very little in the usual pH range, keeping the parameter in line 13 close to zero. However, the H</t>
        </r>
        <r>
          <rPr>
            <vertAlign val="superscript"/>
            <sz val="10"/>
            <color indexed="81"/>
            <rFont val="Tahoma"/>
            <family val="2"/>
          </rPr>
          <t>+</t>
        </r>
        <r>
          <rPr>
            <sz val="10"/>
            <color indexed="81"/>
            <rFont val="Tahoma"/>
            <family val="2"/>
          </rPr>
          <t xml:space="preserve"> deficit caused by the hydroxide protonation , if not fulfilled by some acid in the titrand, shows up as a negative value in I14 (in water, obviously, the association of an H+ ion with an hydroxide ion promotes the dissociation of a water molecule, restoring the hydroxide ion).  More about hydroxide properties: http://www1.lsbu.ac.uk/water/ionisoh.html
</t>
        </r>
      </text>
    </comment>
    <comment ref="I13" authorId="1" shapeId="0" xr:uid="{00000000-0006-0000-0800-000022000000}">
      <text>
        <r>
          <rPr>
            <b/>
            <sz val="8"/>
            <color indexed="81"/>
            <rFont val="Tahoma"/>
            <family val="2"/>
          </rPr>
          <t>Gutz:</t>
        </r>
        <r>
          <rPr>
            <sz val="8"/>
            <color indexed="81"/>
            <rFont val="Tahoma"/>
            <family val="2"/>
          </rPr>
          <t xml:space="preserve">
</t>
        </r>
        <r>
          <rPr>
            <sz val="10"/>
            <color indexed="81"/>
            <rFont val="Tahoma"/>
            <family val="2"/>
          </rPr>
          <t>Summation of the concentration of H</t>
        </r>
        <r>
          <rPr>
            <vertAlign val="superscript"/>
            <sz val="10"/>
            <color indexed="81"/>
            <rFont val="Tahoma"/>
            <family val="2"/>
          </rPr>
          <t>+</t>
        </r>
        <r>
          <rPr>
            <sz val="10"/>
            <color indexed="81"/>
            <rFont val="Tahoma"/>
            <family val="2"/>
          </rPr>
          <t xml:space="preserve"> that, at the initial pH, would be liberated to the medium (or withdrawn, if negative) supposing that the sample (contained in the titrand) was made up only by bases and acids (fitted by regression) protonated to neutrality, e.g., H</t>
        </r>
        <r>
          <rPr>
            <vertAlign val="subscript"/>
            <sz val="10"/>
            <color indexed="81"/>
            <rFont val="Tahoma"/>
            <family val="2"/>
          </rPr>
          <t>3</t>
        </r>
        <r>
          <rPr>
            <sz val="10"/>
            <color indexed="81"/>
            <rFont val="Tahoma"/>
            <family val="2"/>
          </rPr>
          <t>PO</t>
        </r>
        <r>
          <rPr>
            <vertAlign val="subscript"/>
            <sz val="10"/>
            <color indexed="81"/>
            <rFont val="Tahoma"/>
            <family val="2"/>
          </rPr>
          <t>4</t>
        </r>
        <r>
          <rPr>
            <sz val="10"/>
            <color indexed="81"/>
            <rFont val="Tahoma"/>
            <family val="2"/>
          </rPr>
          <t xml:space="preserve"> and not NaH</t>
        </r>
        <r>
          <rPr>
            <vertAlign val="subscript"/>
            <sz val="10"/>
            <color indexed="81"/>
            <rFont val="Tahoma"/>
            <family val="2"/>
          </rPr>
          <t>2</t>
        </r>
        <r>
          <rPr>
            <sz val="10"/>
            <color indexed="81"/>
            <rFont val="Tahoma"/>
            <family val="2"/>
          </rPr>
          <t>PO</t>
        </r>
        <r>
          <rPr>
            <vertAlign val="subscript"/>
            <sz val="10"/>
            <color indexed="81"/>
            <rFont val="Tahoma"/>
            <family val="2"/>
          </rPr>
          <t>3</t>
        </r>
        <r>
          <rPr>
            <sz val="10"/>
            <color indexed="81"/>
            <rFont val="Tahoma"/>
            <family val="2"/>
          </rPr>
          <t xml:space="preserve">. 
Frequently this supposition is </t>
        </r>
        <r>
          <rPr>
            <u/>
            <sz val="10"/>
            <color indexed="81"/>
            <rFont val="Tahoma"/>
            <family val="2"/>
          </rPr>
          <t>not</t>
        </r>
        <r>
          <rPr>
            <sz val="10"/>
            <color indexed="81"/>
            <rFont val="Tahoma"/>
            <family val="2"/>
          </rPr>
          <t xml:space="preserve"> fulfilled and negative values will appear, as explained in cell A13.</t>
        </r>
      </text>
    </comment>
    <comment ref="P13" authorId="0" shapeId="0" xr:uid="{00000000-0006-0000-0800-000023000000}">
      <text>
        <r>
          <rPr>
            <b/>
            <sz val="8"/>
            <color indexed="81"/>
            <rFont val="Tahoma"/>
            <family val="2"/>
          </rPr>
          <t>Gutz:</t>
        </r>
        <r>
          <rPr>
            <sz val="8"/>
            <color indexed="81"/>
            <rFont val="Tahoma"/>
            <family val="2"/>
          </rPr>
          <t xml:space="preserve">
</t>
        </r>
        <r>
          <rPr>
            <sz val="10"/>
            <color indexed="81"/>
            <rFont val="Tahoma"/>
            <family val="2"/>
          </rPr>
          <t>Default value is 100% meaning that the slope of the sensor response is accurately calibrated (even if different from 100% or the theoretical one) and the temperature during titration is the same of the calibration (or compensated automatically by the pH meter).</t>
        </r>
      </text>
    </comment>
    <comment ref="R13" authorId="0" shapeId="0" xr:uid="{00000000-0006-0000-0800-000024000000}">
      <text>
        <r>
          <rPr>
            <b/>
            <sz val="8"/>
            <color indexed="81"/>
            <rFont val="Tahoma"/>
            <family val="2"/>
          </rPr>
          <t>Gutz:</t>
        </r>
        <r>
          <rPr>
            <sz val="8"/>
            <color indexed="81"/>
            <rFont val="Tahoma"/>
            <family val="2"/>
          </rPr>
          <t xml:space="preserve">
</t>
        </r>
        <r>
          <rPr>
            <sz val="10"/>
            <color indexed="81"/>
            <rFont val="Tahoma"/>
            <family val="2"/>
          </rPr>
          <t>Summation of bivalent ion concentrations in the (undiluted) sample. Example: for 0.1 mol/L Ca(NO</t>
        </r>
        <r>
          <rPr>
            <vertAlign val="subscript"/>
            <sz val="12"/>
            <color indexed="81"/>
            <rFont val="Tahoma"/>
            <family val="2"/>
          </rPr>
          <t>3</t>
        </r>
        <r>
          <rPr>
            <sz val="10"/>
            <color indexed="81"/>
            <rFont val="Tahoma"/>
            <family val="2"/>
          </rPr>
          <t>)</t>
        </r>
        <r>
          <rPr>
            <vertAlign val="subscript"/>
            <sz val="12"/>
            <color indexed="81"/>
            <rFont val="Tahoma"/>
            <family val="2"/>
          </rPr>
          <t>2</t>
        </r>
        <r>
          <rPr>
            <sz val="10"/>
            <color indexed="81"/>
            <rFont val="Tahoma"/>
            <family val="2"/>
          </rPr>
          <t xml:space="preserve">, write 0.1 in this line and 0.2 in the upper line (12). If F16&gt;0, dilutions should NOT be considered here for the Sample. 
More details in comment of cell S12. </t>
        </r>
      </text>
    </comment>
    <comment ref="D14" authorId="0" shapeId="0" xr:uid="{00000000-0006-0000-0800-000025000000}">
      <text>
        <r>
          <rPr>
            <b/>
            <sz val="8"/>
            <color indexed="81"/>
            <rFont val="Tahoma"/>
            <family val="2"/>
          </rPr>
          <t>Gutz:</t>
        </r>
        <r>
          <rPr>
            <sz val="8"/>
            <color indexed="81"/>
            <rFont val="Tahoma"/>
            <family val="2"/>
          </rPr>
          <t xml:space="preserve">
</t>
        </r>
        <r>
          <rPr>
            <sz val="10"/>
            <color indexed="81"/>
            <rFont val="Tahoma"/>
            <family val="2"/>
          </rPr>
          <t>Aqueous solutions exposed to air or stored in (gas permeable) plastic flasks are always contaminated with CO</t>
        </r>
        <r>
          <rPr>
            <vertAlign val="subscript"/>
            <sz val="12"/>
            <color indexed="81"/>
            <rFont val="Tahoma"/>
            <family val="2"/>
          </rPr>
          <t>2</t>
        </r>
        <r>
          <rPr>
            <sz val="10"/>
            <color indexed="81"/>
            <rFont val="Tahoma"/>
            <family val="2"/>
          </rPr>
          <t>. Thus, it is advisable to include the carbonic acid system in simulations and regressions. But any other mono- or diprotic system can be specified in T3.</t>
        </r>
      </text>
    </comment>
    <comment ref="I14" authorId="1" shapeId="0" xr:uid="{00000000-0006-0000-0800-000026000000}">
      <text>
        <r>
          <rPr>
            <b/>
            <sz val="8"/>
            <color indexed="81"/>
            <rFont val="Tahoma"/>
            <family val="2"/>
          </rPr>
          <t>Gutz:</t>
        </r>
        <r>
          <rPr>
            <sz val="8"/>
            <color indexed="81"/>
            <rFont val="Tahoma"/>
            <family val="2"/>
          </rPr>
          <t xml:space="preserve">
</t>
        </r>
        <r>
          <rPr>
            <sz val="10"/>
            <color indexed="81"/>
            <rFont val="Tahoma"/>
            <family val="2"/>
          </rPr>
          <t xml:space="preserve">This parameter allows the indirect determination of the concentration (in the sample) of acids that are too strong to be accurately fitted by regression in line 11 (read comment in cell H11). In fact it is the partial charge balance of a sample with the composition expressed by the cells B11 to H11, supposing it was made up from bases and acids protonated to neutrality (frequently not the case) at the pH of the titrand. 
</t>
        </r>
        <r>
          <rPr>
            <u/>
            <sz val="10"/>
            <color indexed="81"/>
            <rFont val="Tahoma"/>
            <family val="2"/>
          </rPr>
          <t>Positive value</t>
        </r>
        <r>
          <rPr>
            <sz val="10"/>
            <color indexed="81"/>
            <rFont val="Tahoma"/>
            <family val="2"/>
          </rPr>
          <t>: Indicates that there are still H</t>
        </r>
        <r>
          <rPr>
            <vertAlign val="superscript"/>
            <sz val="10"/>
            <color indexed="81"/>
            <rFont val="Tahoma"/>
            <family val="2"/>
          </rPr>
          <t>+</t>
        </r>
        <r>
          <rPr>
            <sz val="10"/>
            <color indexed="81"/>
            <rFont val="Tahoma"/>
            <family val="2"/>
          </rPr>
          <t xml:space="preserve"> ions available in the sample after subtracting both the undissociated (line 12) and dissociated (line 13) H</t>
        </r>
        <r>
          <rPr>
            <vertAlign val="superscript"/>
            <sz val="10"/>
            <color indexed="81"/>
            <rFont val="Tahoma"/>
            <family val="2"/>
          </rPr>
          <t xml:space="preserve">+ </t>
        </r>
        <r>
          <rPr>
            <sz val="10"/>
            <color indexed="81"/>
            <rFont val="Tahoma"/>
            <family val="2"/>
          </rPr>
          <t>from the total H</t>
        </r>
        <r>
          <rPr>
            <vertAlign val="superscript"/>
            <sz val="10"/>
            <color indexed="81"/>
            <rFont val="Tahoma"/>
            <family val="2"/>
          </rPr>
          <t>+</t>
        </r>
        <r>
          <rPr>
            <sz val="10"/>
            <color indexed="81"/>
            <rFont val="Tahoma"/>
            <family val="2"/>
          </rPr>
          <t xml:space="preserve"> concentration (I18). In most cases, it can be taken as the (total) concentration in the sample of relatively strong acid(s) that CurTiPot cannot properly fit by regression </t>
        </r>
        <r>
          <rPr>
            <sz val="10"/>
            <color indexed="81"/>
            <rFont val="Calibri"/>
            <family val="2"/>
          </rPr>
          <t>–</t>
        </r>
        <r>
          <rPr>
            <sz val="13"/>
            <color indexed="81"/>
            <rFont val="Tahoma"/>
            <family val="2"/>
          </rPr>
          <t xml:space="preserve"> </t>
        </r>
        <r>
          <rPr>
            <sz val="10"/>
            <color indexed="81"/>
            <rFont val="Tahoma"/>
            <family val="2"/>
          </rPr>
          <t xml:space="preserve">the concentration of monoprotic acids with pKa lower than the titrand pH </t>
        </r>
        <r>
          <rPr>
            <u/>
            <sz val="10"/>
            <color indexed="81"/>
            <rFont val="Tahoma"/>
            <family val="2"/>
          </rPr>
          <t xml:space="preserve">should </t>
        </r>
        <r>
          <rPr>
            <b/>
            <u/>
            <sz val="10"/>
            <color indexed="81"/>
            <rFont val="Tahoma"/>
            <family val="2"/>
          </rPr>
          <t>not</t>
        </r>
        <r>
          <rPr>
            <sz val="10"/>
            <color indexed="81"/>
            <rFont val="Tahoma"/>
            <family val="2"/>
          </rPr>
          <t xml:space="preserve"> be included as variable cell(s) of the Solver. Verification: copy the value of I14 into H11 (or any other column of line 11 chosen for the strong acid) and run the Solver once more; the value of I14 should now be neglectable (if not yet, H11 should fine tuned).</t>
        </r>
        <r>
          <rPr>
            <u/>
            <sz val="10"/>
            <color indexed="81"/>
            <rFont val="Tahoma"/>
            <family val="2"/>
          </rPr>
          <t xml:space="preserve">
</t>
        </r>
        <r>
          <rPr>
            <sz val="10"/>
            <color indexed="81"/>
            <rFont val="Tahoma"/>
            <family val="2"/>
          </rPr>
          <t xml:space="preserve">
</t>
        </r>
        <r>
          <rPr>
            <u/>
            <sz val="10"/>
            <color indexed="81"/>
            <rFont val="Tahoma"/>
            <family val="2"/>
          </rPr>
          <t>Negative value</t>
        </r>
        <r>
          <rPr>
            <sz val="10"/>
            <color indexed="81"/>
            <rFont val="Tahoma"/>
            <family val="2"/>
          </rPr>
          <t>: The titrated sample is dominated by negatively charged (conjugated) bases like OH</t>
        </r>
        <r>
          <rPr>
            <vertAlign val="superscript"/>
            <sz val="11"/>
            <color indexed="81"/>
            <rFont val="Tahoma"/>
            <family val="2"/>
          </rPr>
          <t>-</t>
        </r>
        <r>
          <rPr>
            <sz val="10"/>
            <color indexed="81"/>
            <rFont val="Tahoma"/>
            <family val="2"/>
          </rPr>
          <t>, SO</t>
        </r>
        <r>
          <rPr>
            <vertAlign val="subscript"/>
            <sz val="12"/>
            <color indexed="81"/>
            <rFont val="Tahoma"/>
            <family val="2"/>
          </rPr>
          <t>3</t>
        </r>
        <r>
          <rPr>
            <vertAlign val="superscript"/>
            <sz val="12"/>
            <color indexed="81"/>
            <rFont val="Tahoma"/>
            <family val="2"/>
          </rPr>
          <t>-2</t>
        </r>
        <r>
          <rPr>
            <sz val="10"/>
            <color indexed="81"/>
            <rFont val="Tahoma"/>
            <family val="2"/>
          </rPr>
          <t>, PO</t>
        </r>
        <r>
          <rPr>
            <vertAlign val="subscript"/>
            <sz val="12"/>
            <color indexed="81"/>
            <rFont val="Tahoma"/>
            <family val="2"/>
          </rPr>
          <t>4</t>
        </r>
        <r>
          <rPr>
            <vertAlign val="superscript"/>
            <sz val="12"/>
            <color indexed="81"/>
            <rFont val="Tahoma"/>
            <family val="2"/>
          </rPr>
          <t>3-</t>
        </r>
        <r>
          <rPr>
            <sz val="10"/>
            <color indexed="81"/>
            <rFont val="Tahoma"/>
            <family val="2"/>
          </rPr>
          <t xml:space="preserve"> or H</t>
        </r>
        <r>
          <rPr>
            <vertAlign val="subscript"/>
            <sz val="12"/>
            <color indexed="81"/>
            <rFont val="Tahoma"/>
            <family val="2"/>
          </rPr>
          <t>2</t>
        </r>
        <r>
          <rPr>
            <sz val="10"/>
            <color indexed="81"/>
            <rFont val="Tahoma"/>
            <family val="2"/>
          </rPr>
          <t>PO</t>
        </r>
        <r>
          <rPr>
            <vertAlign val="subscript"/>
            <sz val="12"/>
            <color indexed="81"/>
            <rFont val="Tahoma"/>
            <family val="2"/>
          </rPr>
          <t>4</t>
        </r>
        <r>
          <rPr>
            <vertAlign val="superscript"/>
            <sz val="12"/>
            <color indexed="81"/>
            <rFont val="Tahoma"/>
            <family val="2"/>
          </rPr>
          <t xml:space="preserve">- </t>
        </r>
        <r>
          <rPr>
            <sz val="10"/>
            <color indexed="81"/>
            <rFont val="Tahoma"/>
            <family val="2"/>
          </rPr>
          <t>at the initial pH value; the stoichiometric concentration of dissociated cations like Na</t>
        </r>
        <r>
          <rPr>
            <vertAlign val="superscript"/>
            <sz val="12"/>
            <color indexed="81"/>
            <rFont val="Tahoma"/>
            <family val="2"/>
          </rPr>
          <t xml:space="preserve">+ </t>
        </r>
        <r>
          <rPr>
            <sz val="10"/>
            <color indexed="81"/>
            <rFont val="Tahoma"/>
            <family val="2"/>
          </rPr>
          <t xml:space="preserve">will appear in cell M14 (=S15).
The absolute values of I14 and M14 (=S15) should be (nearly) equal because S15 is the estimated </t>
        </r>
        <r>
          <rPr>
            <sz val="10"/>
            <color indexed="81"/>
            <rFont val="Symbol"/>
            <family val="1"/>
            <charset val="2"/>
          </rPr>
          <t>S</t>
        </r>
        <r>
          <rPr>
            <sz val="10"/>
            <color indexed="81"/>
            <rFont val="Tahoma"/>
            <family val="2"/>
          </rPr>
          <t>z</t>
        </r>
        <r>
          <rPr>
            <vertAlign val="subscript"/>
            <sz val="10"/>
            <color indexed="81"/>
            <rFont val="Tahoma"/>
            <family val="2"/>
          </rPr>
          <t>j</t>
        </r>
        <r>
          <rPr>
            <sz val="10"/>
            <color indexed="81"/>
            <rFont val="Tahoma"/>
            <family val="2"/>
          </rPr>
          <t>C</t>
        </r>
        <r>
          <rPr>
            <vertAlign val="subscript"/>
            <sz val="10"/>
            <color indexed="81"/>
            <rFont val="Tahoma"/>
            <family val="2"/>
          </rPr>
          <t>j</t>
        </r>
        <r>
          <rPr>
            <sz val="10"/>
            <color indexed="81"/>
            <rFont val="Tahoma"/>
            <family val="2"/>
          </rPr>
          <t xml:space="preserve"> of the counterions of the components under consideration.
</t>
        </r>
        <r>
          <rPr>
            <u/>
            <sz val="10"/>
            <color indexed="81"/>
            <rFont val="Tahoma"/>
            <family val="2"/>
          </rPr>
          <t>Remark</t>
        </r>
        <r>
          <rPr>
            <sz val="10"/>
            <color indexed="81"/>
            <rFont val="Tahoma"/>
            <family val="2"/>
          </rPr>
          <t>: acid-base titrations curves of differently formulated samples may be undistinguishable in certain cases. The following examples of titrands titrated with NaOH will all display I14=0 after successful regression and the titration curves will be undistinguishable (besides a minimum vertical displacement of the plateau in the alkaline region caused by differences in ionic strength):
a) 0.1  mol/L H</t>
        </r>
        <r>
          <rPr>
            <vertAlign val="subscript"/>
            <sz val="12"/>
            <color indexed="81"/>
            <rFont val="Tahoma"/>
            <family val="2"/>
          </rPr>
          <t>3</t>
        </r>
        <r>
          <rPr>
            <sz val="10"/>
            <color indexed="81"/>
            <rFont val="Tahoma"/>
            <family val="2"/>
          </rPr>
          <t>PO</t>
        </r>
        <r>
          <rPr>
            <vertAlign val="subscript"/>
            <sz val="12"/>
            <color indexed="81"/>
            <rFont val="Tahoma"/>
            <family val="2"/>
          </rPr>
          <t>4</t>
        </r>
        <r>
          <rPr>
            <sz val="10"/>
            <color indexed="81"/>
            <rFont val="Tahoma"/>
            <family val="2"/>
          </rPr>
          <t>; 
b) 0.1 mol/L HCl + 0.1 mol/L NaH</t>
        </r>
        <r>
          <rPr>
            <vertAlign val="subscript"/>
            <sz val="12"/>
            <color indexed="81"/>
            <rFont val="Tahoma"/>
            <family val="2"/>
          </rPr>
          <t>2</t>
        </r>
        <r>
          <rPr>
            <sz val="10"/>
            <color indexed="81"/>
            <rFont val="Tahoma"/>
            <family val="2"/>
          </rPr>
          <t>PO</t>
        </r>
        <r>
          <rPr>
            <vertAlign val="subscript"/>
            <sz val="12"/>
            <color indexed="81"/>
            <rFont val="Tahoma"/>
            <family val="2"/>
          </rPr>
          <t>4</t>
        </r>
        <r>
          <rPr>
            <sz val="10"/>
            <color indexed="81"/>
            <rFont val="Tahoma"/>
            <family val="2"/>
          </rPr>
          <t>; 
c) 0.2 mol/L HCl + 0.1 mol/L Na</t>
        </r>
        <r>
          <rPr>
            <vertAlign val="subscript"/>
            <sz val="12"/>
            <color indexed="81"/>
            <rFont val="Tahoma"/>
            <family val="2"/>
          </rPr>
          <t>2</t>
        </r>
        <r>
          <rPr>
            <sz val="10"/>
            <color indexed="81"/>
            <rFont val="Tahoma"/>
            <family val="2"/>
          </rPr>
          <t>HPO</t>
        </r>
        <r>
          <rPr>
            <vertAlign val="subscript"/>
            <sz val="12"/>
            <color indexed="81"/>
            <rFont val="Tahoma"/>
            <family val="2"/>
          </rPr>
          <t>4</t>
        </r>
        <r>
          <rPr>
            <sz val="10"/>
            <color indexed="81"/>
            <rFont val="Tahoma"/>
            <family val="2"/>
          </rPr>
          <t>. 
Independent determination of the concentration of  Cl</t>
        </r>
        <r>
          <rPr>
            <vertAlign val="superscript"/>
            <sz val="12"/>
            <color indexed="81"/>
            <rFont val="Tahoma"/>
            <family val="2"/>
          </rPr>
          <t>-</t>
        </r>
        <r>
          <rPr>
            <sz val="10"/>
            <color indexed="81"/>
            <rFont val="Tahoma"/>
            <family val="2"/>
          </rPr>
          <t xml:space="preserve"> or Na</t>
        </r>
        <r>
          <rPr>
            <vertAlign val="superscript"/>
            <sz val="12"/>
            <color indexed="81"/>
            <rFont val="Tahoma"/>
            <family val="2"/>
          </rPr>
          <t>+</t>
        </r>
        <r>
          <rPr>
            <sz val="10"/>
            <color indexed="81"/>
            <rFont val="Tahoma"/>
            <family val="2"/>
          </rPr>
          <t xml:space="preserve"> (e.g., by ion chromatography) or conductance measurements (if there is no other electrolyte in the sample) would be needed to distinguish among a, b and c cases. For titrations with very accurate pH measurements, fitting of S12 by regression may give an estimation of the difference in extra cation content.</t>
        </r>
      </text>
    </comment>
    <comment ref="L14" authorId="3" shapeId="0" xr:uid="{00000000-0006-0000-0800-000027000000}">
      <text>
        <r>
          <rPr>
            <b/>
            <sz val="8"/>
            <color indexed="81"/>
            <rFont val="Tahoma"/>
            <family val="2"/>
          </rPr>
          <t>Gutz:</t>
        </r>
        <r>
          <rPr>
            <sz val="10"/>
            <color indexed="81"/>
            <rFont val="Tahoma"/>
            <family val="2"/>
          </rPr>
          <t xml:space="preserve">
This is a copy of S15, the minimum concentration of cations or anions to satisfy charge balance, after taking into account the H</t>
        </r>
        <r>
          <rPr>
            <vertAlign val="superscript"/>
            <sz val="12"/>
            <color indexed="81"/>
            <rFont val="Tahoma"/>
            <family val="2"/>
          </rPr>
          <t>+</t>
        </r>
        <r>
          <rPr>
            <sz val="10"/>
            <color indexed="81"/>
            <rFont val="Tahoma"/>
            <family val="2"/>
          </rPr>
          <t xml:space="preserve"> and OH</t>
        </r>
        <r>
          <rPr>
            <vertAlign val="superscript"/>
            <sz val="12"/>
            <color indexed="81"/>
            <rFont val="Tahoma"/>
            <family val="2"/>
          </rPr>
          <t>-</t>
        </r>
        <r>
          <rPr>
            <sz val="10"/>
            <color indexed="81"/>
            <rFont val="Tahoma"/>
            <family val="2"/>
          </rPr>
          <t xml:space="preserve"> concentrations.</t>
        </r>
      </text>
    </comment>
    <comment ref="B15" authorId="0" shapeId="0" xr:uid="{00000000-0006-0000-0800-000028000000}">
      <text>
        <r>
          <rPr>
            <b/>
            <sz val="10"/>
            <color indexed="81"/>
            <rFont val="Tahoma"/>
            <family val="2"/>
          </rPr>
          <t>Gutz:</t>
        </r>
        <r>
          <rPr>
            <sz val="10"/>
            <color indexed="81"/>
            <rFont val="Tahoma"/>
            <family val="2"/>
          </rPr>
          <t xml:space="preserve">
Leave blank - this cell corresponds to the conjugated base of the acid, e.g., Cl- or NO</t>
        </r>
        <r>
          <rPr>
            <vertAlign val="subscript"/>
            <sz val="12"/>
            <color indexed="81"/>
            <rFont val="Tahoma"/>
            <family val="2"/>
          </rPr>
          <t>3</t>
        </r>
        <r>
          <rPr>
            <vertAlign val="superscript"/>
            <sz val="12"/>
            <color indexed="81"/>
            <rFont val="Tahoma"/>
            <family val="2"/>
          </rPr>
          <t>-</t>
        </r>
        <r>
          <rPr>
            <sz val="10"/>
            <color indexed="81"/>
            <rFont val="Tahoma"/>
            <family val="2"/>
          </rPr>
          <t>.</t>
        </r>
      </text>
    </comment>
    <comment ref="C15" authorId="0" shapeId="0" xr:uid="{00000000-0006-0000-0800-000029000000}">
      <text>
        <r>
          <rPr>
            <b/>
            <sz val="10"/>
            <color indexed="81"/>
            <rFont val="Tahoma"/>
            <family val="2"/>
          </rPr>
          <t>Gutz:</t>
        </r>
        <r>
          <rPr>
            <sz val="10"/>
            <color indexed="81"/>
            <rFont val="Tahoma"/>
            <family val="2"/>
          </rPr>
          <t xml:space="preserve">
Leave blank/fill with de concentration of strong monoprotonable base used as titrant for acidic samples e.g., NaOH, KOH (or twice the mol/L concentration of Ca(OH)</t>
        </r>
        <r>
          <rPr>
            <vertAlign val="subscript"/>
            <sz val="10"/>
            <color indexed="81"/>
            <rFont val="Tahoma"/>
            <family val="2"/>
          </rPr>
          <t>2</t>
        </r>
        <r>
          <rPr>
            <sz val="10"/>
            <color indexed="81"/>
            <rFont val="Tahoma"/>
            <family val="2"/>
          </rPr>
          <t>)</t>
        </r>
      </text>
    </comment>
    <comment ref="D15" authorId="0" shapeId="0" xr:uid="{00000000-0006-0000-0800-00002A000000}">
      <text>
        <r>
          <rPr>
            <b/>
            <sz val="8"/>
            <color indexed="81"/>
            <rFont val="Tahoma"/>
            <family val="2"/>
          </rPr>
          <t>Gutz:</t>
        </r>
        <r>
          <rPr>
            <sz val="8"/>
            <color indexed="81"/>
            <rFont val="Tahoma"/>
            <family val="2"/>
          </rPr>
          <t xml:space="preserve">
</t>
        </r>
        <r>
          <rPr>
            <sz val="10"/>
            <color indexed="81"/>
            <rFont val="Tahoma"/>
            <family val="2"/>
          </rPr>
          <t>Leave blank/fill out with the concentration of carbonate, if used as titrant. 
To simulate the absorption of CO</t>
        </r>
        <r>
          <rPr>
            <vertAlign val="subscript"/>
            <sz val="10"/>
            <color indexed="81"/>
            <rFont val="Tahoma"/>
            <family val="2"/>
          </rPr>
          <t xml:space="preserve">2 </t>
        </r>
        <r>
          <rPr>
            <sz val="10"/>
            <color indexed="81"/>
            <rFont val="Tahoma"/>
            <family val="2"/>
          </rPr>
          <t>from the air by an alkaline titrant, leave blank and fill cell D16.</t>
        </r>
      </text>
    </comment>
    <comment ref="P15" authorId="1" shapeId="0" xr:uid="{00000000-0006-0000-0800-00002B000000}">
      <text>
        <r>
          <rPr>
            <b/>
            <sz val="8"/>
            <color indexed="81"/>
            <rFont val="Tahoma"/>
            <family val="2"/>
          </rPr>
          <t>Gutz:</t>
        </r>
        <r>
          <rPr>
            <sz val="8"/>
            <color indexed="81"/>
            <rFont val="Tahoma"/>
            <family val="2"/>
          </rPr>
          <t xml:space="preserve">
</t>
        </r>
        <r>
          <rPr>
            <sz val="10"/>
            <color indexed="81"/>
            <rFont val="Tahoma"/>
            <family val="2"/>
          </rPr>
          <t xml:space="preserve">CurTiPot recalculates apparent equilibrium constants at the ionic strength, I, of the solution  from thermodynamic constants (I=0) by estimating activity coefficients  with help of the Davies equation. The accuracy is good for I&lt;0.05, acceptable for I&lt;0.2 and poor for higher values of I.
There is no rigorous mean to calculate activity coefficients of individual ions, although there are many equations pursuing the reduction of the uncertainty of the estimates by taking in account individual effective ion size parameters and specific ion-ion interactions and/or introducing empirical coefficients fitted to real data. Such parameters are readily available only for the most common inorganic and organic ions, limiting their application range in comparison with the simple, general and unspecific Davies equation, that renders the same minimum in activity  around ±0.5 mol/L for any ion.
A compilation of over twenty equations with references to original work is available in the file Ionic St_effects.pdf contained in the package Ionic St_effects.pdf contido no pacote 
 https://iupac.org/wp-content/uploads/2019/04/Aq_solutions_Nov2008.zip
and http://www.acadsoft.co.uk/download/Aq_solutions.zip
</t>
        </r>
      </text>
    </comment>
    <comment ref="Q15" authorId="3" shapeId="0" xr:uid="{00000000-0006-0000-0800-00002C000000}">
      <text>
        <r>
          <rPr>
            <b/>
            <sz val="8"/>
            <color indexed="81"/>
            <rFont val="Tahoma"/>
            <family val="2"/>
          </rPr>
          <t>Gutz:</t>
        </r>
        <r>
          <rPr>
            <sz val="10"/>
            <color indexed="81"/>
            <rFont val="Tahoma"/>
            <family val="2"/>
          </rPr>
          <t xml:space="preserve">
Minimum concentration of cations or anions to satisfy the charge balance, after taking into account the concentrations of  H</t>
        </r>
        <r>
          <rPr>
            <vertAlign val="superscript"/>
            <sz val="12"/>
            <color indexed="81"/>
            <rFont val="Tahoma"/>
            <family val="2"/>
          </rPr>
          <t>+</t>
        </r>
        <r>
          <rPr>
            <sz val="10"/>
            <color indexed="81"/>
            <rFont val="Tahoma"/>
            <family val="2"/>
          </rPr>
          <t xml:space="preserve"> and OH</t>
        </r>
        <r>
          <rPr>
            <vertAlign val="superscript"/>
            <sz val="12"/>
            <color indexed="81"/>
            <rFont val="Tahoma"/>
            <family val="2"/>
          </rPr>
          <t>-</t>
        </r>
        <r>
          <rPr>
            <sz val="10"/>
            <color indexed="81"/>
            <rFont val="Tahoma"/>
            <family val="2"/>
          </rPr>
          <t>.</t>
        </r>
        <r>
          <rPr>
            <sz val="8"/>
            <color indexed="81"/>
            <rFont val="Tahoma"/>
            <family val="2"/>
          </rPr>
          <t xml:space="preserve">
</t>
        </r>
      </text>
    </comment>
    <comment ref="B16" authorId="0" shapeId="0" xr:uid="{00000000-0006-0000-0800-00002D000000}">
      <text>
        <r>
          <rPr>
            <b/>
            <sz val="10"/>
            <color indexed="81"/>
            <rFont val="Tahoma"/>
            <family val="2"/>
          </rPr>
          <t>Gutz:</t>
        </r>
        <r>
          <rPr>
            <sz val="10"/>
            <color indexed="81"/>
            <rFont val="Tahoma"/>
            <family val="2"/>
          </rPr>
          <t xml:space="preserve">
Leave blank/fill with de concentration of strong monoprotic acid used as titrant of alkaline samples e.g., HCl. For weak or diprotic acids like H</t>
        </r>
        <r>
          <rPr>
            <vertAlign val="subscript"/>
            <sz val="10"/>
            <color indexed="81"/>
            <rFont val="Tahoma"/>
            <family val="2"/>
          </rPr>
          <t>2</t>
        </r>
        <r>
          <rPr>
            <sz val="10"/>
            <color indexed="81"/>
            <rFont val="Tahoma"/>
            <family val="2"/>
          </rPr>
          <t>SO</t>
        </r>
        <r>
          <rPr>
            <vertAlign val="subscript"/>
            <sz val="10"/>
            <color indexed="81"/>
            <rFont val="Tahoma"/>
            <family val="2"/>
          </rPr>
          <t>4</t>
        </r>
        <r>
          <rPr>
            <sz val="10"/>
            <color indexed="81"/>
            <rFont val="Tahoma"/>
            <family val="2"/>
          </rPr>
          <t xml:space="preserve">  change charge and pKas first, at cells R4 to R6.</t>
        </r>
      </text>
    </comment>
    <comment ref="C16" authorId="0" shapeId="0" xr:uid="{00000000-0006-0000-0800-00002E000000}">
      <text>
        <r>
          <rPr>
            <b/>
            <sz val="8"/>
            <color indexed="81"/>
            <rFont val="Tahoma"/>
            <family val="2"/>
          </rPr>
          <t>Gutz:</t>
        </r>
        <r>
          <rPr>
            <sz val="8"/>
            <color indexed="81"/>
            <rFont val="Tahoma"/>
            <family val="2"/>
          </rPr>
          <t xml:space="preserve">
</t>
        </r>
        <r>
          <rPr>
            <sz val="10"/>
            <color indexed="81"/>
            <rFont val="Tahoma"/>
            <family val="2"/>
          </rPr>
          <t>Leave blank - as a rule, this cell corresponds to the protonated form of OH-, H</t>
        </r>
        <r>
          <rPr>
            <vertAlign val="subscript"/>
            <sz val="10"/>
            <color indexed="81"/>
            <rFont val="Tahoma"/>
            <family val="2"/>
          </rPr>
          <t>2</t>
        </r>
        <r>
          <rPr>
            <sz val="10"/>
            <color indexed="81"/>
            <rFont val="Tahoma"/>
            <family val="2"/>
          </rPr>
          <t>O, indistinguishable from the solvent. However, if a different acid/base is system is specified in column S, [HB] may be filled out as needed.</t>
        </r>
      </text>
    </comment>
    <comment ref="D16" authorId="0" shapeId="0" xr:uid="{00000000-0006-0000-0800-00002F000000}">
      <text>
        <r>
          <rPr>
            <b/>
            <sz val="8"/>
            <color indexed="81"/>
            <rFont val="Tahoma"/>
            <family val="2"/>
          </rPr>
          <t>Gutz:</t>
        </r>
        <r>
          <rPr>
            <sz val="8"/>
            <color indexed="81"/>
            <rFont val="Tahoma"/>
            <family val="2"/>
          </rPr>
          <t xml:space="preserve">
</t>
        </r>
        <r>
          <rPr>
            <sz val="10"/>
            <color indexed="81"/>
            <rFont val="Tahoma"/>
            <family val="2"/>
          </rPr>
          <t>Leave blank</t>
        </r>
        <r>
          <rPr>
            <b/>
            <sz val="10"/>
            <color indexed="81"/>
            <rFont val="Tahoma"/>
            <family val="2"/>
          </rPr>
          <t>/</t>
        </r>
        <r>
          <rPr>
            <sz val="10"/>
            <color indexed="81"/>
            <rFont val="Tahoma"/>
            <family val="2"/>
          </rPr>
          <t>fill out with de concentration of bicarbonate, if used as titrant.
To simulate the absorption of CO</t>
        </r>
        <r>
          <rPr>
            <vertAlign val="subscript"/>
            <sz val="10"/>
            <color indexed="81"/>
            <rFont val="Tahoma"/>
            <family val="2"/>
          </rPr>
          <t>2</t>
        </r>
        <r>
          <rPr>
            <sz val="10"/>
            <color indexed="81"/>
            <rFont val="Tahoma"/>
            <family val="2"/>
          </rPr>
          <t xml:space="preserve"> from the air by an alkaline titrant, leave blank and fill H</t>
        </r>
        <r>
          <rPr>
            <vertAlign val="subscript"/>
            <sz val="10"/>
            <color indexed="81"/>
            <rFont val="Tahoma"/>
            <family val="2"/>
          </rPr>
          <t>2</t>
        </r>
        <r>
          <rPr>
            <sz val="10"/>
            <color indexed="81"/>
            <rFont val="Tahoma"/>
            <family val="2"/>
          </rPr>
          <t>CO</t>
        </r>
        <r>
          <rPr>
            <vertAlign val="subscript"/>
            <sz val="10"/>
            <color indexed="81"/>
            <rFont val="Tahoma"/>
            <family val="2"/>
          </rPr>
          <t>3</t>
        </r>
        <r>
          <rPr>
            <sz val="10"/>
            <color indexed="81"/>
            <rFont val="Tahoma"/>
            <family val="2"/>
          </rPr>
          <t xml:space="preserve"> (cell D16)</t>
        </r>
      </text>
    </comment>
    <comment ref="E16" authorId="1" shapeId="0" xr:uid="{00000000-0006-0000-0800-000030000000}">
      <text>
        <r>
          <rPr>
            <b/>
            <sz val="8"/>
            <color indexed="81"/>
            <rFont val="Tahoma"/>
            <family val="2"/>
          </rPr>
          <t>Gutz:</t>
        </r>
        <r>
          <rPr>
            <sz val="8"/>
            <color indexed="81"/>
            <rFont val="Tahoma"/>
            <family val="2"/>
          </rPr>
          <t xml:space="preserve">
</t>
        </r>
        <r>
          <rPr>
            <sz val="10"/>
            <color indexed="81"/>
            <rFont val="Tahoma"/>
            <family val="2"/>
          </rPr>
          <t>Volume of the aliquot of titrand (sample)</t>
        </r>
      </text>
    </comment>
    <comment ref="F16" authorId="0" shapeId="0" xr:uid="{00000000-0006-0000-0800-000031000000}">
      <text>
        <r>
          <rPr>
            <b/>
            <sz val="10"/>
            <color indexed="81"/>
            <rFont val="Tahoma"/>
            <family val="2"/>
          </rPr>
          <t>Gutz:</t>
        </r>
        <r>
          <rPr>
            <sz val="10"/>
            <color indexed="81"/>
            <rFont val="Tahoma"/>
            <family val="2"/>
          </rPr>
          <t xml:space="preserve">
Water (or an electrolyte solution) is frequently added to the sample until the glass electrode bulb and reference electrode junction are immersed in the solution. </t>
        </r>
      </text>
    </comment>
    <comment ref="G16" authorId="0" shapeId="0" xr:uid="{00000000-0006-0000-0800-000032000000}">
      <text>
        <r>
          <rPr>
            <b/>
            <sz val="8"/>
            <color indexed="81"/>
            <rFont val="Tahoma"/>
            <family val="2"/>
          </rPr>
          <t>Gutz:</t>
        </r>
        <r>
          <rPr>
            <sz val="10"/>
            <color indexed="81"/>
            <rFont val="Tahoma"/>
            <family val="2"/>
          </rPr>
          <t xml:space="preserve">
Total  volume before titration.</t>
        </r>
      </text>
    </comment>
    <comment ref="H16" authorId="0" shapeId="0" xr:uid="{00000000-0006-0000-0800-000033000000}">
      <text>
        <r>
          <rPr>
            <b/>
            <sz val="8"/>
            <color indexed="81"/>
            <rFont val="Tahoma"/>
            <family val="2"/>
          </rPr>
          <t>Gutz:</t>
        </r>
        <r>
          <rPr>
            <sz val="8"/>
            <color indexed="81"/>
            <rFont val="Tahoma"/>
            <family val="2"/>
          </rPr>
          <t xml:space="preserve">
</t>
        </r>
        <r>
          <rPr>
            <sz val="10"/>
            <color indexed="81"/>
            <rFont val="Tahoma"/>
            <family val="2"/>
          </rPr>
          <t>Calculated using I given in cell M16. To change I refer to cell S12. To set I=0 click on button at A22.</t>
        </r>
      </text>
    </comment>
    <comment ref="L16" authorId="0" shapeId="0" xr:uid="{00000000-0006-0000-0800-000034000000}">
      <text>
        <r>
          <rPr>
            <b/>
            <sz val="8"/>
            <color indexed="81"/>
            <rFont val="Tahoma"/>
            <family val="2"/>
          </rPr>
          <t>Gutz:</t>
        </r>
        <r>
          <rPr>
            <sz val="10"/>
            <color indexed="81"/>
            <rFont val="Tahoma"/>
            <family val="2"/>
          </rPr>
          <t xml:space="preserve">
To set I=0, click on "Set I=0 and </t>
        </r>
        <r>
          <rPr>
            <sz val="10"/>
            <color indexed="81"/>
            <rFont val="Symbol"/>
            <family val="1"/>
            <charset val="2"/>
          </rPr>
          <t>g</t>
        </r>
        <r>
          <rPr>
            <sz val="10"/>
            <color indexed="81"/>
            <rFont val="Tahoma"/>
            <family val="2"/>
          </rPr>
          <t>H</t>
        </r>
        <r>
          <rPr>
            <vertAlign val="superscript"/>
            <sz val="12"/>
            <color indexed="81"/>
            <rFont val="Tahoma"/>
            <family val="2"/>
          </rPr>
          <t>+</t>
        </r>
        <r>
          <rPr>
            <sz val="10"/>
            <color indexed="81"/>
            <rFont val="Tahoma"/>
            <family val="2"/>
          </rPr>
          <t>=1" at cell A22;
To enter concentrations of electrolytes, fill out cells S12 to T13;
To calculate I and recalculate it after each regression, click on "Calculate / Update I" at cells C22 or Q25 .</t>
        </r>
      </text>
    </comment>
    <comment ref="O16" authorId="0" shapeId="0" xr:uid="{00000000-0006-0000-0800-000035000000}">
      <text>
        <r>
          <rPr>
            <b/>
            <sz val="8"/>
            <color indexed="81"/>
            <rFont val="Tahoma"/>
            <family val="2"/>
          </rPr>
          <t>Gutz:</t>
        </r>
        <r>
          <rPr>
            <sz val="8"/>
            <color indexed="81"/>
            <rFont val="Tahoma"/>
            <family val="2"/>
          </rPr>
          <t xml:space="preserve">
</t>
        </r>
        <r>
          <rPr>
            <sz val="10"/>
            <color indexed="81"/>
            <rFont val="Tahoma"/>
            <family val="2"/>
          </rPr>
          <t xml:space="preserve">Default value is 0.509. 
A and b are parameters of the Davies equation, used for activity coefficient estimation. They depend on temperature, dielectric constant, electrolyte, etc. 
The recommended values for water at 25ºC are: A=0.509; b=0.300.
The Davies eq. does not require the size of different hydrated ions but, to some degree, the A and b parameters may be empirically adjusted to more closely describe a given electrolyte.
For example: For NaCl + HCl solutions, A=0.43 and b=0.49 conducts to </t>
        </r>
        <r>
          <rPr>
            <sz val="14"/>
            <color indexed="81"/>
            <rFont val="Symbol"/>
            <family val="1"/>
            <charset val="2"/>
          </rPr>
          <t>g</t>
        </r>
        <r>
          <rPr>
            <sz val="10"/>
            <color indexed="81"/>
            <rFont val="Tahoma"/>
            <family val="2"/>
          </rPr>
          <t>H</t>
        </r>
        <r>
          <rPr>
            <vertAlign val="superscript"/>
            <sz val="12"/>
            <color indexed="81"/>
            <rFont val="Tahoma"/>
            <family val="2"/>
          </rPr>
          <t>+</t>
        </r>
        <r>
          <rPr>
            <sz val="10"/>
            <color indexed="81"/>
            <rFont val="Tahoma"/>
            <family val="2"/>
          </rPr>
          <t xml:space="preserve"> values in excellent agreement with those provided (up to 0.5 mol/kg) in http://www.iupac.org/projects/2000/Aq_Solutions.zip
on base of more complete equations fitted to experimental data. 
For phosphate solutions, A=0.51 and b=0.20 seems appropriate at pHs above neutrality.</t>
        </r>
      </text>
    </comment>
    <comment ref="B17" authorId="0" shapeId="0" xr:uid="{00000000-0006-0000-0800-000036000000}">
      <text>
        <r>
          <rPr>
            <b/>
            <sz val="8"/>
            <color indexed="81"/>
            <rFont val="Tahoma"/>
            <family val="2"/>
          </rPr>
          <t>Gutz:</t>
        </r>
        <r>
          <rPr>
            <sz val="8"/>
            <color indexed="81"/>
            <rFont val="Tahoma"/>
            <family val="2"/>
          </rPr>
          <t xml:space="preserve">
</t>
        </r>
        <r>
          <rPr>
            <sz val="10"/>
            <color indexed="81"/>
            <rFont val="Tahoma"/>
            <family val="2"/>
          </rPr>
          <t>Leave blank unless you have replaced the base, its charge and pKas in cells S4 to S6 and H</t>
        </r>
        <r>
          <rPr>
            <vertAlign val="subscript"/>
            <sz val="10"/>
            <color indexed="81"/>
            <rFont val="Tahoma"/>
            <family val="2"/>
          </rPr>
          <t>2</t>
        </r>
        <r>
          <rPr>
            <sz val="10"/>
            <color indexed="81"/>
            <rFont val="Tahoma"/>
            <family val="2"/>
          </rPr>
          <t>B is and ingredient of the titrant.</t>
        </r>
      </text>
    </comment>
    <comment ref="C17" authorId="0" shapeId="0" xr:uid="{00000000-0006-0000-0800-000037000000}">
      <text>
        <r>
          <rPr>
            <b/>
            <sz val="8"/>
            <color indexed="81"/>
            <rFont val="Tahoma"/>
            <family val="2"/>
          </rPr>
          <t>Gutz:</t>
        </r>
        <r>
          <rPr>
            <sz val="8"/>
            <color indexed="81"/>
            <rFont val="Tahoma"/>
            <family val="2"/>
          </rPr>
          <t xml:space="preserve">
</t>
        </r>
        <r>
          <rPr>
            <sz val="10"/>
            <color indexed="81"/>
            <rFont val="Tahoma"/>
            <family val="2"/>
          </rPr>
          <t>Leave blank unless you have replaced the base, its charge and pKas in cells S4 to S6 and H</t>
        </r>
        <r>
          <rPr>
            <vertAlign val="subscript"/>
            <sz val="10"/>
            <color indexed="81"/>
            <rFont val="Tahoma"/>
            <family val="2"/>
          </rPr>
          <t>2</t>
        </r>
        <r>
          <rPr>
            <sz val="10"/>
            <color indexed="81"/>
            <rFont val="Tahoma"/>
            <family val="2"/>
          </rPr>
          <t>B is and ingredient of the titrant.</t>
        </r>
      </text>
    </comment>
    <comment ref="D17" authorId="0" shapeId="0" xr:uid="{00000000-0006-0000-0800-000038000000}">
      <text>
        <r>
          <rPr>
            <b/>
            <sz val="10"/>
            <color indexed="81"/>
            <rFont val="Tahoma"/>
            <family val="2"/>
          </rPr>
          <t>Gutz:</t>
        </r>
        <r>
          <rPr>
            <sz val="10"/>
            <color indexed="81"/>
            <rFont val="Tahoma"/>
            <family val="2"/>
          </rPr>
          <t xml:space="preserve">
Leave blank</t>
        </r>
        <r>
          <rPr>
            <b/>
            <sz val="10"/>
            <color indexed="81"/>
            <rFont val="Tahoma"/>
            <family val="2"/>
          </rPr>
          <t>/</t>
        </r>
        <r>
          <rPr>
            <sz val="10"/>
            <color indexed="81"/>
            <rFont val="Tahoma"/>
            <family val="2"/>
          </rPr>
          <t>fill out to simulate the absorption of CO</t>
        </r>
        <r>
          <rPr>
            <vertAlign val="subscript"/>
            <sz val="10"/>
            <color indexed="81"/>
            <rFont val="Tahoma"/>
            <family val="2"/>
          </rPr>
          <t>2</t>
        </r>
        <r>
          <rPr>
            <sz val="10"/>
            <color indexed="81"/>
            <rFont val="Tahoma"/>
            <family val="2"/>
          </rPr>
          <t xml:space="preserve"> by an alkaline titrant (effect visible on the curve for 1% or more of [H</t>
        </r>
        <r>
          <rPr>
            <vertAlign val="subscript"/>
            <sz val="10"/>
            <color indexed="81"/>
            <rFont val="Tahoma"/>
            <family val="2"/>
          </rPr>
          <t>2</t>
        </r>
        <r>
          <rPr>
            <sz val="10"/>
            <color indexed="81"/>
            <rFont val="Tahoma"/>
            <family val="2"/>
          </rPr>
          <t>CO</t>
        </r>
        <r>
          <rPr>
            <vertAlign val="subscript"/>
            <sz val="10"/>
            <color indexed="81"/>
            <rFont val="Tahoma"/>
            <family val="2"/>
          </rPr>
          <t>3</t>
        </r>
        <r>
          <rPr>
            <sz val="10"/>
            <color indexed="81"/>
            <rFont val="Tahoma"/>
            <family val="2"/>
          </rPr>
          <t xml:space="preserve">] relative to the titrant concentration)  
</t>
        </r>
      </text>
    </comment>
    <comment ref="H17" authorId="0" shapeId="0" xr:uid="{00000000-0006-0000-0800-000039000000}">
      <text>
        <r>
          <rPr>
            <b/>
            <sz val="8"/>
            <color indexed="81"/>
            <rFont val="Tahoma"/>
            <family val="2"/>
          </rPr>
          <t>Gutz:</t>
        </r>
        <r>
          <rPr>
            <sz val="8"/>
            <color indexed="81"/>
            <rFont val="Tahoma"/>
            <family val="2"/>
          </rPr>
          <t xml:space="preserve">
</t>
        </r>
        <r>
          <rPr>
            <sz val="10"/>
            <color indexed="81"/>
            <rFont val="Tahoma"/>
            <family val="2"/>
          </rPr>
          <t>Total concentration of H</t>
        </r>
        <r>
          <rPr>
            <vertAlign val="superscript"/>
            <sz val="10"/>
            <color indexed="81"/>
            <rFont val="Tahoma"/>
            <family val="2"/>
          </rPr>
          <t>+</t>
        </r>
        <r>
          <rPr>
            <sz val="10"/>
            <color indexed="81"/>
            <rFont val="Tahoma"/>
            <family val="2"/>
          </rPr>
          <t xml:space="preserve"> calculated for the sample (=titrand only if F16=0) by using the initial pH of the titrand (before addition of titrant) and the concentrations (and pKas) fitted with the Solver tool.</t>
        </r>
      </text>
    </comment>
    <comment ref="O17" authorId="0" shapeId="0" xr:uid="{00000000-0006-0000-0800-00003A000000}">
      <text>
        <r>
          <rPr>
            <b/>
            <sz val="8"/>
            <color indexed="81"/>
            <rFont val="Tahoma"/>
            <family val="2"/>
          </rPr>
          <t>Gutz:</t>
        </r>
        <r>
          <rPr>
            <sz val="8"/>
            <color indexed="81"/>
            <rFont val="Tahoma"/>
            <family val="2"/>
          </rPr>
          <t xml:space="preserve">
</t>
        </r>
        <r>
          <rPr>
            <sz val="10"/>
            <color indexed="81"/>
            <rFont val="Tahoma"/>
            <family val="2"/>
          </rPr>
          <t>Default value is 0.300. Read comment  in cell O16 and P15.</t>
        </r>
      </text>
    </comment>
    <comment ref="H18" authorId="1" shapeId="0" xr:uid="{00000000-0006-0000-0800-00003B000000}">
      <text>
        <r>
          <rPr>
            <b/>
            <sz val="10"/>
            <color indexed="81"/>
            <rFont val="Tahoma"/>
            <family val="2"/>
          </rPr>
          <t>Gutz:</t>
        </r>
        <r>
          <rPr>
            <sz val="10"/>
            <color indexed="81"/>
            <rFont val="Tahoma"/>
            <family val="2"/>
          </rPr>
          <t xml:space="preserve">
This this is the fitted total concentration of H</t>
        </r>
        <r>
          <rPr>
            <vertAlign val="superscript"/>
            <sz val="10"/>
            <color indexed="81"/>
            <rFont val="Tahoma"/>
            <family val="2"/>
          </rPr>
          <t>+</t>
        </r>
        <r>
          <rPr>
            <sz val="10"/>
            <color indexed="81"/>
            <rFont val="Tahoma"/>
            <family val="2"/>
          </rPr>
          <t xml:space="preserve"> in the sample (regardless of F16=0 or &gt;0), that could be liberated from all acids (and bases) at the concentrations fitted by the Solver. Refer to comments in cell H19 on how to install the Solver and define the destination cell.
In Solver's field for </t>
        </r>
        <r>
          <rPr>
            <b/>
            <sz val="10"/>
            <color indexed="81"/>
            <rFont val="Tahoma"/>
            <family val="2"/>
          </rPr>
          <t>variable cells</t>
        </r>
        <r>
          <rPr>
            <sz val="10"/>
            <color indexed="81"/>
            <rFont val="Tahoma"/>
            <family val="2"/>
          </rPr>
          <t xml:space="preserve">, write:
- I18 and the indexes of cells of line 11 (with exception of strong acids) corresponding to the total concentrations of acids/bases possibly present in a sample (at any protonation level), e.g., I18; B11; C11, etc.; (variables must be separated by a semicolon; variables can also be entered by holding down Ctrl and clicking on cells to be fitted).
- exclusively I18 (nothing else) for samples containing only strong acid(s) (with pKa values below the pH range covered by the titration) (read also I14); or I18 and indexes of weak acids/bases possibly present besides the strong one(s). 
- for </t>
        </r>
        <r>
          <rPr>
            <u/>
            <sz val="10"/>
            <color indexed="81"/>
            <rFont val="Tahoma"/>
            <family val="2"/>
          </rPr>
          <t>alkaline</t>
        </r>
        <r>
          <rPr>
            <sz val="10"/>
            <color indexed="81"/>
            <rFont val="Tahoma"/>
            <family val="2"/>
          </rPr>
          <t xml:space="preserve"> samples containing strong bases, </t>
        </r>
        <r>
          <rPr>
            <b/>
            <sz val="10"/>
            <color indexed="81"/>
            <rFont val="Tahoma"/>
            <family val="2"/>
          </rPr>
          <t xml:space="preserve">write 0 </t>
        </r>
        <r>
          <rPr>
            <sz val="10"/>
            <color indexed="81"/>
            <rFont val="Tahoma"/>
            <family val="2"/>
          </rPr>
          <t xml:space="preserve">in cell </t>
        </r>
        <r>
          <rPr>
            <b/>
            <sz val="10"/>
            <color indexed="81"/>
            <rFont val="Tahoma"/>
            <family val="2"/>
          </rPr>
          <t>I18</t>
        </r>
        <r>
          <rPr>
            <sz val="10"/>
            <color indexed="81"/>
            <rFont val="Tahoma"/>
            <family val="2"/>
          </rPr>
          <t xml:space="preserve"> and do </t>
        </r>
        <r>
          <rPr>
            <b/>
            <sz val="10"/>
            <color indexed="81"/>
            <rFont val="Tahoma"/>
            <family val="2"/>
          </rPr>
          <t>not</t>
        </r>
        <r>
          <rPr>
            <sz val="10"/>
            <color indexed="81"/>
            <rFont val="Tahoma"/>
            <family val="2"/>
          </rPr>
          <t xml:space="preserve"> include it as a variable to be fitted by the Solver and. If satisfactory fitting is not attained after some cycles with Solver (with residuals plots showing a trend), include I18 as a variable cell but if any systematic increase of I18 occurs together with the concentration of the strong base during consecutive refinement cycles with Solver, reset I18 to zero.
Due to data scatter and stringent convergence criteria defined (by the author) for the Solver, a warning that no solution was found is frequently displayed; in general, the message can be ignored (and the results, accepted) if the values fitted seem reasonable. After accepting the results and clicking on buttons at C22 and E22 to update I, the improvement of the fitting of the calculated curve to the experimental one should be inspected and the fitting cycles repeated as needed, ideally until scattered residuals around zero (without any tendency) are observed.
In case of convergence problems, the Solver can be stopped pressing Esc. A new start with the smallest possible number of most relevant variable cells, accompanied with reasonable initial estimates of the concentrations and pKas is recommended. Convergence criteria can be changed in the Solver setup as can the 100 iterations and 30 seconds default limits. Possible minor components of the sample (e.g., the contamination with carbon dioxide) may be added one at a time to the Solver fit, and its effect on ther residuals, evaluated. 
Database pKa values may require refinement to best suit them to the effective conditions of a titration (temperature, ionic strength, dielectric constant, inaccurate calibration of the electrodes, etc.). This may be attained with the Solver for pKa values within the pH range of the titration.</t>
        </r>
      </text>
    </comment>
    <comment ref="S18" authorId="0" shapeId="0" xr:uid="{00000000-0006-0000-0800-00003C000000}">
      <text>
        <r>
          <rPr>
            <b/>
            <sz val="9"/>
            <color indexed="81"/>
            <rFont val="Segoe UI"/>
            <family val="2"/>
          </rPr>
          <t>Gutz:</t>
        </r>
        <r>
          <rPr>
            <sz val="9"/>
            <color indexed="81"/>
            <rFont val="Segoe UI"/>
            <family val="2"/>
          </rPr>
          <t xml:space="preserve">
N</t>
        </r>
        <r>
          <rPr>
            <sz val="10"/>
            <color indexed="81"/>
            <rFont val="Segoe UI"/>
            <family val="2"/>
          </rPr>
          <t>egative values indicate prevalence o anions.</t>
        </r>
      </text>
    </comment>
    <comment ref="T18" authorId="0" shapeId="0" xr:uid="{00000000-0006-0000-0800-00003D000000}">
      <text>
        <r>
          <rPr>
            <b/>
            <sz val="9"/>
            <color indexed="81"/>
            <rFont val="Segoe UI"/>
            <family val="2"/>
          </rPr>
          <t>Gutz:</t>
        </r>
        <r>
          <rPr>
            <sz val="9"/>
            <color indexed="81"/>
            <rFont val="Segoe UI"/>
            <family val="2"/>
          </rPr>
          <t xml:space="preserve">
N</t>
        </r>
        <r>
          <rPr>
            <sz val="10"/>
            <color indexed="81"/>
            <rFont val="Segoe UI"/>
            <family val="2"/>
          </rPr>
          <t>egative values indicate prevalence o anions.</t>
        </r>
      </text>
    </comment>
    <comment ref="U18" authorId="0" shapeId="0" xr:uid="{00000000-0006-0000-0800-00003E000000}">
      <text>
        <r>
          <rPr>
            <b/>
            <sz val="8"/>
            <color indexed="81"/>
            <rFont val="Tahoma"/>
            <family val="2"/>
          </rPr>
          <t>Gutz:</t>
        </r>
        <r>
          <rPr>
            <sz val="8"/>
            <color indexed="81"/>
            <rFont val="Tahoma"/>
            <family val="2"/>
          </rPr>
          <t xml:space="preserve">
</t>
        </r>
        <r>
          <rPr>
            <sz val="10"/>
            <color indexed="81"/>
            <rFont val="Tahoma"/>
            <family val="2"/>
          </rPr>
          <t>C</t>
        </r>
        <r>
          <rPr>
            <vertAlign val="subscript"/>
            <sz val="12"/>
            <color indexed="81"/>
            <rFont val="Tahoma"/>
            <family val="2"/>
          </rPr>
          <t>i</t>
        </r>
        <r>
          <rPr>
            <sz val="10"/>
            <color indexed="81"/>
            <rFont val="Tahoma"/>
            <family val="2"/>
          </rPr>
          <t>z</t>
        </r>
        <r>
          <rPr>
            <vertAlign val="subscript"/>
            <sz val="12"/>
            <color indexed="81"/>
            <rFont val="Tahoma"/>
            <family val="2"/>
          </rPr>
          <t>i</t>
        </r>
        <r>
          <rPr>
            <sz val="10"/>
            <color indexed="81"/>
            <rFont val="Tahoma"/>
            <family val="2"/>
          </rPr>
          <t xml:space="preserve"> = ion concentration times charge of the ion (e.g., 2[Ca</t>
        </r>
        <r>
          <rPr>
            <vertAlign val="superscript"/>
            <sz val="12"/>
            <color indexed="81"/>
            <rFont val="Tahoma"/>
            <family val="2"/>
          </rPr>
          <t>2+</t>
        </r>
        <r>
          <rPr>
            <sz val="10"/>
            <color indexed="81"/>
            <rFont val="Tahoma"/>
            <family val="2"/>
          </rPr>
          <t>]).</t>
        </r>
      </text>
    </comment>
    <comment ref="G19" authorId="3" shapeId="0" xr:uid="{00000000-0006-0000-0800-00003F000000}">
      <text>
        <r>
          <rPr>
            <b/>
            <sz val="8"/>
            <color indexed="81"/>
            <rFont val="Tahoma"/>
            <family val="2"/>
          </rPr>
          <t xml:space="preserve">Gutz
</t>
        </r>
        <r>
          <rPr>
            <sz val="10"/>
            <color indexed="81"/>
            <rFont val="Tahoma"/>
            <family val="2"/>
          </rPr>
          <t>This pH value is NOT updated automatically. Click on "Find titrant pH" or "Calculate / Update I" after any change in the titrant composition (acids, bases or electrolytes, including cells T12 and T13), in order to have a better estimate I.
The pH of the titrand appears in line 41 (Vol.=0)</t>
        </r>
      </text>
    </comment>
    <comment ref="H19" authorId="1" shapeId="0" xr:uid="{00000000-0006-0000-0800-000040000000}">
      <text>
        <r>
          <rPr>
            <b/>
            <sz val="8"/>
            <color indexed="81"/>
            <rFont val="Tahoma"/>
            <family val="2"/>
          </rPr>
          <t>Gutz:</t>
        </r>
        <r>
          <rPr>
            <sz val="8"/>
            <color indexed="81"/>
            <rFont val="Tahoma"/>
            <family val="2"/>
          </rPr>
          <t xml:space="preserve">
</t>
        </r>
        <r>
          <rPr>
            <sz val="10"/>
            <color indexed="81"/>
            <rFont val="Tahoma"/>
            <family val="2"/>
          </rPr>
          <t xml:space="preserve">I19 is Solver's </t>
        </r>
        <r>
          <rPr>
            <b/>
            <sz val="10"/>
            <color indexed="81"/>
            <rFont val="Tahoma"/>
            <family val="2"/>
          </rPr>
          <t>Destination cell</t>
        </r>
        <r>
          <rPr>
            <sz val="10"/>
            <color indexed="81"/>
            <rFont val="Tahoma"/>
            <family val="2"/>
          </rPr>
          <t xml:space="preserve">, to be minimized by adjusting the variable cells (concentrations, pKas, etc., as explained in cell H18). The summation of the product of the three following parameters raised to a weighting exponent is used as the criteria of the quality of the fit:
Combined residuals = </t>
        </r>
        <r>
          <rPr>
            <sz val="12"/>
            <color indexed="81"/>
            <rFont val="Symbol"/>
            <family val="1"/>
            <charset val="2"/>
          </rPr>
          <t xml:space="preserve">S </t>
        </r>
        <r>
          <rPr>
            <sz val="12"/>
            <color indexed="81"/>
            <rFont val="Tahoma"/>
            <family val="2"/>
          </rPr>
          <t>(</t>
        </r>
        <r>
          <rPr>
            <sz val="10"/>
            <color indexed="81"/>
            <rFont val="Tahoma"/>
            <family val="2"/>
          </rPr>
          <t>|CH</t>
        </r>
        <r>
          <rPr>
            <vertAlign val="subscript"/>
            <sz val="12"/>
            <color indexed="81"/>
            <rFont val="Tahoma"/>
            <family val="2"/>
          </rPr>
          <t>Reg</t>
        </r>
        <r>
          <rPr>
            <sz val="10"/>
            <color indexed="81"/>
            <rFont val="Tahoma"/>
            <family val="2"/>
          </rPr>
          <t xml:space="preserve"> - CH</t>
        </r>
        <r>
          <rPr>
            <vertAlign val="subscript"/>
            <sz val="12"/>
            <color indexed="81"/>
            <rFont val="Tahoma"/>
            <family val="2"/>
          </rPr>
          <t>Calc</t>
        </r>
        <r>
          <rPr>
            <sz val="10"/>
            <color indexed="81"/>
            <rFont val="Tahoma"/>
            <family val="2"/>
          </rPr>
          <t>|</t>
        </r>
        <r>
          <rPr>
            <vertAlign val="superscript"/>
            <sz val="12"/>
            <color indexed="81"/>
            <rFont val="Tahoma"/>
            <family val="2"/>
          </rPr>
          <t xml:space="preserve">a </t>
        </r>
        <r>
          <rPr>
            <sz val="10"/>
            <color indexed="81"/>
            <rFont val="Tahoma"/>
            <family val="2"/>
          </rPr>
          <t>·|pH</t>
        </r>
        <r>
          <rPr>
            <vertAlign val="subscript"/>
            <sz val="12"/>
            <color indexed="81"/>
            <rFont val="Tahoma"/>
            <family val="2"/>
          </rPr>
          <t xml:space="preserve">Reg </t>
        </r>
        <r>
          <rPr>
            <sz val="10"/>
            <color indexed="81"/>
            <rFont val="Tahoma"/>
            <family val="2"/>
          </rPr>
          <t>- pH|</t>
        </r>
        <r>
          <rPr>
            <vertAlign val="superscript"/>
            <sz val="12"/>
            <color indexed="81"/>
            <rFont val="Tahoma"/>
            <family val="2"/>
          </rPr>
          <t xml:space="preserve">b </t>
        </r>
        <r>
          <rPr>
            <sz val="10"/>
            <color indexed="81"/>
            <rFont val="Tahoma"/>
            <family val="2"/>
          </rPr>
          <t>·|dpH/dV|</t>
        </r>
        <r>
          <rPr>
            <vertAlign val="superscript"/>
            <sz val="12"/>
            <color indexed="81"/>
            <rFont val="Tahoma"/>
            <family val="2"/>
          </rPr>
          <t>c</t>
        </r>
        <r>
          <rPr>
            <sz val="12"/>
            <color indexed="81"/>
            <rFont val="Tahoma"/>
            <family val="2"/>
          </rPr>
          <t>)</t>
        </r>
        <r>
          <rPr>
            <sz val="10"/>
            <color indexed="81"/>
            <rFont val="Tahoma"/>
            <family val="2"/>
          </rPr>
          <t xml:space="preserve">
The exponents a, b e c control the relative weight of the CH and pH residuals and the dpH/dV slope (that allows to increase the weight of data close to inflections) and are user definable in cells I20, K20 and M20, 2, 0 and 0 being the defaults. More information about each term in cells H20, J20 and L20. The weighting scheme may be modified by changing the equations of columns E to H, starting at line 41. 
If Excel's Solver is not listed in Data / Analysis (or under Tools, in older Excel versions) refer to cell AP1 for instructions.
At the first usage, check "Min." option in the second line of the setup box and "fit only positive values" after the (empty) restrictions box. You may change other options later to see if there is any improvement in the regression. </t>
        </r>
      </text>
    </comment>
    <comment ref="H20" authorId="1" shapeId="0" xr:uid="{00000000-0006-0000-0800-000041000000}">
      <text>
        <r>
          <rPr>
            <b/>
            <sz val="8"/>
            <color indexed="81"/>
            <rFont val="Tahoma"/>
            <family val="2"/>
          </rPr>
          <t>Gutz:</t>
        </r>
        <r>
          <rPr>
            <sz val="8"/>
            <color indexed="81"/>
            <rFont val="Tahoma"/>
            <family val="2"/>
          </rPr>
          <t xml:space="preserve">
</t>
        </r>
        <r>
          <rPr>
            <sz val="10"/>
            <color indexed="81"/>
            <rFont val="Tahoma"/>
            <family val="2"/>
          </rPr>
          <t xml:space="preserve">Exponent </t>
        </r>
        <r>
          <rPr>
            <b/>
            <sz val="10"/>
            <color indexed="81"/>
            <rFont val="Tahoma"/>
            <family val="2"/>
          </rPr>
          <t>a</t>
        </r>
        <r>
          <rPr>
            <sz val="10"/>
            <color indexed="81"/>
            <rFont val="Tahoma"/>
            <family val="2"/>
          </rPr>
          <t xml:space="preserve"> is applied to the absolute value of the difference of CH</t>
        </r>
        <r>
          <rPr>
            <vertAlign val="subscript"/>
            <sz val="10"/>
            <color indexed="81"/>
            <rFont val="Tahoma"/>
            <family val="2"/>
          </rPr>
          <t>Reg</t>
        </r>
        <r>
          <rPr>
            <sz val="10"/>
            <color indexed="81"/>
            <rFont val="Tahoma"/>
            <family val="2"/>
          </rPr>
          <t>-CH</t>
        </r>
        <r>
          <rPr>
            <vertAlign val="subscript"/>
            <sz val="10"/>
            <color indexed="81"/>
            <rFont val="Tahoma"/>
            <family val="2"/>
          </rPr>
          <t>calc</t>
        </r>
        <r>
          <rPr>
            <sz val="10"/>
            <color indexed="81"/>
            <rFont val="Tahoma"/>
            <family val="2"/>
          </rPr>
          <t xml:space="preserve"> of each data point (column H beginning at line 41).
</t>
        </r>
        <r>
          <rPr>
            <b/>
            <sz val="10"/>
            <color indexed="81"/>
            <rFont val="Tahoma"/>
            <family val="2"/>
          </rPr>
          <t>2</t>
        </r>
        <r>
          <rPr>
            <sz val="10"/>
            <color indexed="81"/>
            <rFont val="Tahoma"/>
            <family val="2"/>
          </rPr>
          <t xml:space="preserve"> (two) is the normal value of </t>
        </r>
        <r>
          <rPr>
            <b/>
            <sz val="10"/>
            <color indexed="81"/>
            <rFont val="Tahoma"/>
            <family val="2"/>
          </rPr>
          <t>a</t>
        </r>
        <r>
          <rPr>
            <sz val="10"/>
            <color indexed="81"/>
            <rFont val="Tahoma"/>
            <family val="2"/>
          </rPr>
          <t xml:space="preserve"> because it provides the minimization of the sum of squared errors or residuals, SSR, during the iterative nonlinear regression.
1 (one) may be considered to reduce the effect of outliers and/or or to decrease the relative weight of CH</t>
        </r>
        <r>
          <rPr>
            <vertAlign val="subscript"/>
            <sz val="10"/>
            <color indexed="81"/>
            <rFont val="Tahoma"/>
            <family val="2"/>
          </rPr>
          <t>Reg</t>
        </r>
        <r>
          <rPr>
            <sz val="10"/>
            <color indexed="81"/>
            <rFont val="Tahoma"/>
            <family val="2"/>
          </rPr>
          <t>-CH</t>
        </r>
        <r>
          <rPr>
            <vertAlign val="subscript"/>
            <sz val="10"/>
            <color indexed="81"/>
            <rFont val="Tahoma"/>
            <family val="2"/>
          </rPr>
          <t>calc</t>
        </r>
        <r>
          <rPr>
            <sz val="10"/>
            <color indexed="81"/>
            <rFont val="Tahoma"/>
            <family val="2"/>
          </rPr>
          <t xml:space="preserve"> residuals against pH</t>
        </r>
        <r>
          <rPr>
            <vertAlign val="subscript"/>
            <sz val="10"/>
            <color indexed="81"/>
            <rFont val="Tahoma"/>
            <family val="2"/>
          </rPr>
          <t>Reg</t>
        </r>
        <r>
          <rPr>
            <sz val="10"/>
            <color indexed="81"/>
            <rFont val="Tahoma"/>
            <family val="2"/>
          </rPr>
          <t>-pH residuals and/or dpH/dV (see cells H19, J20 and L20). 
0 (zero) is NOT acceptable because all weighted residuals will become equal to 1, making the Solver lose track of the progress of the fitting (setting b=1 does not help because |pH</t>
        </r>
        <r>
          <rPr>
            <vertAlign val="subscript"/>
            <sz val="10"/>
            <color indexed="81"/>
            <rFont val="Tahoma"/>
            <family val="2"/>
          </rPr>
          <t>Reg</t>
        </r>
        <r>
          <rPr>
            <sz val="10"/>
            <color indexed="81"/>
            <rFont val="Tahoma"/>
            <family val="2"/>
          </rPr>
          <t xml:space="preserve"> - pH|</t>
        </r>
        <r>
          <rPr>
            <vertAlign val="superscript"/>
            <sz val="10"/>
            <color indexed="81"/>
            <rFont val="Tahoma"/>
            <family val="2"/>
          </rPr>
          <t>b</t>
        </r>
        <r>
          <rPr>
            <sz val="10"/>
            <color indexed="81"/>
            <rFont val="Tahoma"/>
            <family val="2"/>
          </rPr>
          <t xml:space="preserve"> is not updated during a regression but afterwards).
Examination of the plots of residuals of CH and pH may help to decide if a change of the default setting of a=2, b=0, and c=0 should be considered and/or if rejection of outliers from the data set may be justifiable.
</t>
        </r>
      </text>
    </comment>
    <comment ref="J20" authorId="1" shapeId="0" xr:uid="{00000000-0006-0000-0800-000042000000}">
      <text>
        <r>
          <rPr>
            <b/>
            <sz val="8"/>
            <color indexed="81"/>
            <rFont val="Tahoma"/>
            <family val="2"/>
          </rPr>
          <t>Gutz:</t>
        </r>
        <r>
          <rPr>
            <sz val="10"/>
            <color indexed="81"/>
            <rFont val="Tahoma"/>
            <family val="2"/>
          </rPr>
          <t xml:space="preserve">
This exponent can be changed from zero to 1 or even 2 to increase the relative weight of data for unbuffered regions close to the inflections (high |dpH/dVol|), forcing a better fit near the titration "end points" (and thus, the precision of the concentrations to be determined), at the price of larger deviations in other regions, if the parameters of the chosen model cannot perfectly describe the complete data set (sometimes obtained with a non-rigourously calibrated glass electrode, temperature or ionic strength variations, etc.).
c=0 is shoud be always used when pKas are being determined from high quality data.  The default value of c=0 corresponds to unitary weight for all data: |dpH/dVol|</t>
        </r>
        <r>
          <rPr>
            <vertAlign val="superscript"/>
            <sz val="12"/>
            <color indexed="81"/>
            <rFont val="Tahoma"/>
            <family val="2"/>
          </rPr>
          <t>0</t>
        </r>
        <r>
          <rPr>
            <sz val="10"/>
            <color indexed="81"/>
            <rFont val="Tahoma"/>
            <family val="2"/>
          </rPr>
          <t xml:space="preserve">=1. 
</t>
        </r>
      </text>
    </comment>
    <comment ref="L20" authorId="1" shapeId="0" xr:uid="{00000000-0006-0000-0800-000043000000}">
      <text>
        <r>
          <rPr>
            <b/>
            <sz val="8"/>
            <color indexed="81"/>
            <rFont val="Tahoma"/>
            <family val="2"/>
          </rPr>
          <t>Gutz:</t>
        </r>
        <r>
          <rPr>
            <sz val="10"/>
            <color indexed="81"/>
            <rFont val="Tahoma"/>
            <family val="2"/>
          </rPr>
          <t xml:space="preserve">
The analysis of a titration data set always starts with c = 0 because no calculated pH values with regression-adjusted parameters (pHreg) is available. With the exponent c set to 0, the weighting of the data is ignored since any |pHReg-pH|</t>
        </r>
        <r>
          <rPr>
            <b/>
            <vertAlign val="superscript"/>
            <sz val="10"/>
            <color indexed="81"/>
            <rFont val="Tahoma"/>
            <family val="2"/>
          </rPr>
          <t>c</t>
        </r>
        <r>
          <rPr>
            <sz val="10"/>
            <color indexed="81"/>
            <rFont val="Tahoma"/>
            <family val="2"/>
          </rPr>
          <t xml:space="preserve"> = 1.
If, after adjusting the parameters with the Solver and clicking on E22, the resulting residual pH graph seems unsatisfactory, one can try to improve it using </t>
        </r>
        <r>
          <rPr>
            <b/>
            <sz val="10"/>
            <color indexed="81"/>
            <rFont val="Tahoma"/>
            <family val="2"/>
          </rPr>
          <t>c</t>
        </r>
        <r>
          <rPr>
            <sz val="10"/>
            <color indexed="81"/>
            <rFont val="Tahoma"/>
            <family val="2"/>
          </rPr>
          <t xml:space="preserve"> &gt; 0 (e.g., </t>
        </r>
        <r>
          <rPr>
            <b/>
            <sz val="10"/>
            <color indexed="81"/>
            <rFont val="Tahoma"/>
            <family val="2"/>
          </rPr>
          <t>a</t>
        </r>
        <r>
          <rPr>
            <sz val="10"/>
            <color indexed="81"/>
            <rFont val="Tahoma"/>
            <family val="2"/>
          </rPr>
          <t xml:space="preserve"> = 2, </t>
        </r>
        <r>
          <rPr>
            <b/>
            <sz val="10"/>
            <color indexed="81"/>
            <rFont val="Tahoma"/>
            <family val="2"/>
          </rPr>
          <t>b</t>
        </r>
        <r>
          <rPr>
            <sz val="10"/>
            <color indexed="81"/>
            <rFont val="Tahoma"/>
            <family val="2"/>
          </rPr>
          <t xml:space="preserve"> = 1 and </t>
        </r>
        <r>
          <rPr>
            <b/>
            <sz val="10"/>
            <color indexed="81"/>
            <rFont val="Tahoma"/>
            <family val="2"/>
          </rPr>
          <t>c</t>
        </r>
        <r>
          <rPr>
            <sz val="10"/>
            <color indexed="81"/>
            <rFont val="Tahoma"/>
            <family val="2"/>
          </rPr>
          <t xml:space="preserve"> = 1). Repeated adjustment with the Solver followed by a click on E22 may result in an oscillation in the magnitude of the pH residues (alternately improving and worsening the standard deviation, O34). This is because pH residues (cells from F41 onwards) are recalculated (by clicking on E22) only between adjustments and not during Solver iterations (unlike CH and dpH residues). Using </t>
        </r>
        <r>
          <rPr>
            <b/>
            <sz val="10"/>
            <color indexed="81"/>
            <rFont val="Tahoma"/>
            <family val="2"/>
          </rPr>
          <t>c</t>
        </r>
        <r>
          <rPr>
            <sz val="10"/>
            <color indexed="81"/>
            <rFont val="Tahoma"/>
            <family val="2"/>
          </rPr>
          <t xml:space="preserve"> &lt;1 is a possibility to be considered in such situations.</t>
        </r>
      </text>
    </comment>
    <comment ref="S20" authorId="0" shapeId="0" xr:uid="{00000000-0006-0000-0800-000044000000}">
      <text>
        <r>
          <rPr>
            <b/>
            <sz val="9"/>
            <color indexed="81"/>
            <rFont val="Segoe UI"/>
            <family val="2"/>
          </rPr>
          <t>Gutz:</t>
        </r>
        <r>
          <rPr>
            <sz val="9"/>
            <color indexed="81"/>
            <rFont val="Segoe UI"/>
            <family val="2"/>
          </rPr>
          <t xml:space="preserve">
</t>
        </r>
        <r>
          <rPr>
            <sz val="10"/>
            <color indexed="81"/>
            <rFont val="Tahoma"/>
            <family val="2"/>
          </rPr>
          <t>Summation of all contributions, with greater uncertainty when the sample was diluted (F16&gt;0) and ist original pH is not available; thus, the values of [H</t>
        </r>
        <r>
          <rPr>
            <vertAlign val="superscript"/>
            <sz val="10"/>
            <color indexed="81"/>
            <rFont val="Tahoma"/>
            <family val="2"/>
          </rPr>
          <t>+</t>
        </r>
        <r>
          <rPr>
            <sz val="10"/>
            <color indexed="81"/>
            <rFont val="Tahoma"/>
            <family val="2"/>
          </rPr>
          <t>] e [OH</t>
        </r>
        <r>
          <rPr>
            <vertAlign val="superscript"/>
            <sz val="10"/>
            <color indexed="81"/>
            <rFont val="Tahoma"/>
            <family val="2"/>
          </rPr>
          <t>-</t>
        </r>
        <r>
          <rPr>
            <sz val="10"/>
            <color indexed="81"/>
            <rFont val="Tahoma"/>
            <family val="2"/>
          </rPr>
          <t xml:space="preserve">] fitted to the titrand (sample + water), corrected for the dilution factos L41 are used instead. </t>
        </r>
      </text>
    </comment>
    <comment ref="S21" authorId="0" shapeId="0" xr:uid="{00000000-0006-0000-0800-000045000000}">
      <text>
        <r>
          <rPr>
            <b/>
            <sz val="8"/>
            <color indexed="81"/>
            <rFont val="Tahoma"/>
            <family val="2"/>
          </rPr>
          <t>Gutz:</t>
        </r>
        <r>
          <rPr>
            <sz val="10"/>
            <color indexed="81"/>
            <rFont val="Tahoma"/>
            <family val="2"/>
          </rPr>
          <t xml:space="preserve">
Data displayed in cells S22 to S26 refer to the titrand, after dilution, if any (see F16), but before addition of titrant. The corresponding values for the entire titration are shown in columns AT, AU, etc. starting at line 41. 
After each cycle of concentration fitting of acids and bases by non-linear regression with Solver, please click on the button "Calculate / Update</t>
        </r>
        <r>
          <rPr>
            <sz val="10"/>
            <color indexed="81"/>
            <rFont val="Bookman Old Style"/>
            <family val="1"/>
          </rPr>
          <t xml:space="preserve"> I</t>
        </r>
        <r>
          <rPr>
            <sz val="10"/>
            <color indexed="81"/>
            <rFont val="Tahoma"/>
            <family val="2"/>
          </rPr>
          <t xml:space="preserve">" (Q25 or C20) to update of this data. </t>
        </r>
      </text>
    </comment>
    <comment ref="T21" authorId="0" shapeId="0" xr:uid="{00000000-0006-0000-0800-000046000000}">
      <text>
        <r>
          <rPr>
            <b/>
            <sz val="8"/>
            <color indexed="81"/>
            <rFont val="Tahoma"/>
            <family val="2"/>
          </rPr>
          <t>Gutz:</t>
        </r>
        <r>
          <rPr>
            <sz val="8"/>
            <color indexed="81"/>
            <rFont val="Tahoma"/>
            <family val="2"/>
          </rPr>
          <t xml:space="preserve">
</t>
        </r>
        <r>
          <rPr>
            <sz val="10"/>
            <color indexed="81"/>
            <rFont val="Tahoma"/>
            <family val="2"/>
          </rPr>
          <t>Calculations in this column are made by clicking on G17 "Find titrant pH", Q25 or C22 and depend of the known or fitted concentrations of acids, bases and electrolytes in the titrant.</t>
        </r>
      </text>
    </comment>
    <comment ref="Q22" authorId="4" shapeId="0" xr:uid="{00000000-0006-0000-0800-000047000000}">
      <text>
        <r>
          <rPr>
            <b/>
            <sz val="8"/>
            <color indexed="81"/>
            <rFont val="Tahoma"/>
            <family val="2"/>
          </rPr>
          <t>Gutz:</t>
        </r>
        <r>
          <rPr>
            <sz val="8"/>
            <color indexed="81"/>
            <rFont val="Tahoma"/>
            <family val="2"/>
          </rPr>
          <t xml:space="preserve">
</t>
        </r>
        <r>
          <rPr>
            <sz val="10"/>
            <color indexed="81"/>
            <rFont val="Tahoma"/>
            <family val="2"/>
          </rPr>
          <t>By clicking on the button "Set I = 0" (A22 or Q23), the correction of the effect of I on the activity coefficients is switched off. 
By clicking on the button "Update I" (C22 or Q25) the correction is activated and I is updated from  AR (begining at AR41), based on  the last regression results.</t>
        </r>
      </text>
    </comment>
    <comment ref="R23" authorId="0" shapeId="0" xr:uid="{00000000-0006-0000-0800-000048000000}">
      <text>
        <r>
          <rPr>
            <b/>
            <sz val="8"/>
            <color indexed="81"/>
            <rFont val="Tahoma"/>
            <family val="2"/>
          </rPr>
          <t>Gutz:</t>
        </r>
        <r>
          <rPr>
            <sz val="8"/>
            <color indexed="81"/>
            <rFont val="Tahoma"/>
            <family val="2"/>
          </rPr>
          <t xml:space="preserve">
</t>
        </r>
        <r>
          <rPr>
            <sz val="10"/>
            <color indexed="81"/>
            <rFont val="Tahoma"/>
            <family val="2"/>
          </rPr>
          <t>By clicking on "Calculate / Update I" (Q25) the activity coefficient of H</t>
        </r>
        <r>
          <rPr>
            <vertAlign val="superscript"/>
            <sz val="10"/>
            <color indexed="81"/>
            <rFont val="Tahoma"/>
            <family val="2"/>
          </rPr>
          <t>+</t>
        </r>
        <r>
          <rPr>
            <sz val="10"/>
            <color indexed="81"/>
            <rFont val="Tahoma"/>
            <family val="2"/>
          </rPr>
          <t xml:space="preserve"> in the Titrand and the Titrant solutions (before the first addition of titrant) are estimated with the Davies equation. Read more in cells P15, O16 and O17.
For the activity coefficients and I values during the  titration, refer to columns AT and AU begining at line 41.  </t>
        </r>
      </text>
    </comment>
    <comment ref="N27" authorId="0" shapeId="0" xr:uid="{00000000-0006-0000-0800-000049000000}">
      <text>
        <r>
          <rPr>
            <b/>
            <sz val="9"/>
            <color indexed="81"/>
            <rFont val="Segoe UI"/>
            <family val="2"/>
          </rPr>
          <t>Gutz:</t>
        </r>
        <r>
          <rPr>
            <sz val="9"/>
            <color indexed="81"/>
            <rFont val="Segoe UI"/>
            <family val="2"/>
          </rPr>
          <t xml:space="preserve">
</t>
        </r>
        <r>
          <rPr>
            <sz val="10"/>
            <color indexed="81"/>
            <rFont val="Segoe UI"/>
            <family val="2"/>
          </rPr>
          <t>Relative standard deviation of the residuals in % of the total CH fitted in I18.</t>
        </r>
      </text>
    </comment>
    <comment ref="E38" authorId="0" shapeId="0" xr:uid="{00000000-0006-0000-0800-00004A000000}">
      <text>
        <r>
          <rPr>
            <b/>
            <sz val="9"/>
            <color indexed="81"/>
            <rFont val="Segoe UI"/>
            <family val="2"/>
          </rPr>
          <t>Gutz:</t>
        </r>
        <r>
          <rPr>
            <sz val="9"/>
            <color indexed="81"/>
            <rFont val="Segoe UI"/>
            <family val="2"/>
          </rPr>
          <t xml:space="preserve">
</t>
        </r>
        <r>
          <rPr>
            <sz val="10"/>
            <color indexed="81"/>
            <rFont val="Segoe UI"/>
            <family val="2"/>
          </rPr>
          <t>For more than 160 data pairs, contact the author.
For short data sets, calculations may be speeded up by reducing accordingly the upper limits in the equations of cells I19, O24 to O26 and O32 to O34 (all equations in unused bottom lines of columns D to AX may also be deleted).</t>
        </r>
      </text>
    </comment>
    <comment ref="A39" authorId="1" shapeId="0" xr:uid="{00000000-0006-0000-0800-00004B000000}">
      <text>
        <r>
          <rPr>
            <b/>
            <sz val="8"/>
            <color indexed="81"/>
            <rFont val="Tahoma"/>
            <family val="2"/>
          </rPr>
          <t>Gutz:</t>
        </r>
        <r>
          <rPr>
            <sz val="8"/>
            <color indexed="81"/>
            <rFont val="Tahoma"/>
            <family val="2"/>
          </rPr>
          <t xml:space="preserve">
</t>
        </r>
        <r>
          <rPr>
            <sz val="10"/>
            <color indexed="81"/>
            <rFont val="Tahoma"/>
            <family val="2"/>
          </rPr>
          <t xml:space="preserve">Click on the Clear data button (line 20) and type  or paste experimental pH vs. Volume data from real titrations into columns A and B. Alternatively copy real or simulated data by clicking on a button of line 20.
An update of cells B15 to F16 (and S12 to T13 if ther are extra electrolytes in the solutions) may be necessary.
</t>
        </r>
      </text>
    </comment>
    <comment ref="B39" authorId="1" shapeId="0" xr:uid="{00000000-0006-0000-0800-00004C000000}">
      <text>
        <r>
          <rPr>
            <b/>
            <sz val="8"/>
            <color indexed="81"/>
            <rFont val="Tahoma"/>
            <family val="2"/>
          </rPr>
          <t>Gutz:</t>
        </r>
        <r>
          <rPr>
            <sz val="8"/>
            <color indexed="81"/>
            <rFont val="Tahoma"/>
            <family val="2"/>
          </rPr>
          <t xml:space="preserve">
</t>
        </r>
        <r>
          <rPr>
            <sz val="10"/>
            <color indexed="81"/>
            <rFont val="Tahoma"/>
            <family val="2"/>
          </rPr>
          <t xml:space="preserve">Click on the Clear Data button (line 20) and type  or paste experimental pH vs. Volume data from real titrations into columns A and B. Alternatively copy real or simulated data already available by clicking on the corresponding button at line 20.
An update of cells B15 to F16 (and S12 to T13 if ther are extra electrolytes in the solutions) may be necessary.
Outliers and dubious data can be (reversibly) rejected from the regression by checking the column AX of the corresponding line.
</t>
        </r>
      </text>
    </comment>
    <comment ref="C39" authorId="1" shapeId="0" xr:uid="{00000000-0006-0000-0800-00004D000000}">
      <text>
        <r>
          <rPr>
            <b/>
            <sz val="8"/>
            <color indexed="81"/>
            <rFont val="Tahoma"/>
            <family val="2"/>
          </rPr>
          <t>Gutz:</t>
        </r>
        <r>
          <rPr>
            <sz val="8"/>
            <color indexed="81"/>
            <rFont val="Tahoma"/>
            <family val="2"/>
          </rPr>
          <t xml:space="preserve">
</t>
        </r>
        <r>
          <rPr>
            <sz val="10"/>
            <color indexed="81"/>
            <rFont val="Tahoma"/>
            <family val="2"/>
          </rPr>
          <t>Click on button at cell E22 to calculate this column of pH with the fitted parameters, to overlay the fitted curve on the raw data graph, and to plot the residuals of pH</t>
        </r>
        <r>
          <rPr>
            <vertAlign val="subscript"/>
            <sz val="10"/>
            <color indexed="81"/>
            <rFont val="Tahoma"/>
            <family val="2"/>
          </rPr>
          <t>Reg</t>
        </r>
        <r>
          <rPr>
            <sz val="10"/>
            <color indexed="81"/>
            <rFont val="Tahoma"/>
            <family val="2"/>
          </rPr>
          <t xml:space="preserve"> - pH vs. Vol.</t>
        </r>
      </text>
    </comment>
    <comment ref="D39" authorId="1" shapeId="0" xr:uid="{00000000-0006-0000-0800-00004E000000}">
      <text>
        <r>
          <rPr>
            <b/>
            <sz val="8"/>
            <color indexed="81"/>
            <rFont val="Tahoma"/>
            <family val="2"/>
          </rPr>
          <t>Gutz:</t>
        </r>
        <r>
          <rPr>
            <sz val="8"/>
            <color indexed="81"/>
            <rFont val="Tahoma"/>
            <family val="2"/>
          </rPr>
          <t xml:space="preserve">
</t>
        </r>
        <r>
          <rPr>
            <sz val="10"/>
            <color indexed="81"/>
            <rFont val="Tahoma"/>
            <family val="2"/>
          </rPr>
          <t>Free hydrated proton concentration (or activity if not corrected by clicking on buttons at cells C22 and E22).</t>
        </r>
      </text>
    </comment>
    <comment ref="F39" authorId="1" shapeId="0" xr:uid="{00000000-0006-0000-0800-00004F000000}">
      <text>
        <r>
          <rPr>
            <b/>
            <sz val="8"/>
            <color indexed="81"/>
            <rFont val="Tahoma"/>
            <family val="2"/>
          </rPr>
          <t>Gutz:</t>
        </r>
        <r>
          <rPr>
            <sz val="8"/>
            <color indexed="81"/>
            <rFont val="Tahoma"/>
            <family val="2"/>
          </rPr>
          <t xml:space="preserve">
</t>
        </r>
        <r>
          <rPr>
            <sz val="10"/>
            <color indexed="81"/>
            <rFont val="Tahoma"/>
            <family val="2"/>
          </rPr>
          <t xml:space="preserve">3rd parameter available for minimization during regression, with weight defined by the exponent </t>
        </r>
        <r>
          <rPr>
            <b/>
            <sz val="10"/>
            <color indexed="81"/>
            <rFont val="Tahoma"/>
            <family val="2"/>
          </rPr>
          <t>c</t>
        </r>
        <r>
          <rPr>
            <sz val="10"/>
            <color indexed="81"/>
            <rFont val="Tahoma"/>
            <family val="2"/>
          </rPr>
          <t xml:space="preserve"> in cell M20.
It consists of the difference between the measured (or simulated) pH (column B) and the pH calculated by using the regression fitted acid/base concentrations. 
pHreg can be updated after each regression with Solver by clicking on button at cell E21. The corresponding graphic of residues is updated as well. This parameter can be ignored by setting c=0 in cell M20, or enhanced, by choosing exponent 2 instead of 1.
</t>
        </r>
      </text>
    </comment>
    <comment ref="G39" authorId="1" shapeId="0" xr:uid="{00000000-0006-0000-0800-000050000000}">
      <text>
        <r>
          <rPr>
            <b/>
            <sz val="8"/>
            <color indexed="81"/>
            <rFont val="Tahoma"/>
            <family val="2"/>
          </rPr>
          <t>Gutz:</t>
        </r>
        <r>
          <rPr>
            <sz val="8"/>
            <color indexed="81"/>
            <rFont val="Tahoma"/>
            <family val="2"/>
          </rPr>
          <t xml:space="preserve">
</t>
        </r>
        <r>
          <rPr>
            <sz val="10"/>
            <color indexed="81"/>
            <rFont val="Tahoma"/>
            <family val="2"/>
          </rPr>
          <t>By default, squared values of the residuals given in column H are minimized during Solver's fitting of the variable cells. See cells H20 to M20 about inclusion of pHReg-pH and dpH/dV in the data weighting scheme.</t>
        </r>
      </text>
    </comment>
    <comment ref="H39" authorId="1" shapeId="0" xr:uid="{00000000-0006-0000-0800-000051000000}">
      <text>
        <r>
          <rPr>
            <b/>
            <sz val="8"/>
            <color indexed="81"/>
            <rFont val="Tahoma"/>
            <family val="2"/>
          </rPr>
          <t>Gutz:</t>
        </r>
        <r>
          <rPr>
            <sz val="8"/>
            <color indexed="81"/>
            <rFont val="Tahoma"/>
            <family val="2"/>
          </rPr>
          <t xml:space="preserve">
</t>
        </r>
        <r>
          <rPr>
            <sz val="10"/>
            <color indexed="81"/>
            <rFont val="Tahoma"/>
            <family val="2"/>
          </rPr>
          <t>Residue (difference) of the total H</t>
        </r>
        <r>
          <rPr>
            <vertAlign val="superscript"/>
            <sz val="10"/>
            <color indexed="81"/>
            <rFont val="Tahoma"/>
            <family val="2"/>
          </rPr>
          <t>+</t>
        </r>
        <r>
          <rPr>
            <sz val="10"/>
            <color indexed="81"/>
            <rFont val="Tahoma"/>
            <family val="2"/>
          </rPr>
          <t xml:space="preserve"> concentration fitted with the Solver (column H) and  the calculated one by the general equation (column I).</t>
        </r>
      </text>
    </comment>
    <comment ref="I39" authorId="1" shapeId="0" xr:uid="{00000000-0006-0000-0800-000052000000}">
      <text>
        <r>
          <rPr>
            <b/>
            <sz val="8"/>
            <color indexed="81"/>
            <rFont val="Tahoma"/>
            <family val="2"/>
          </rPr>
          <t>Gutz:</t>
        </r>
        <r>
          <rPr>
            <sz val="8"/>
            <color indexed="81"/>
            <rFont val="Tahoma"/>
            <family val="2"/>
          </rPr>
          <t xml:space="preserve">
</t>
        </r>
        <r>
          <rPr>
            <sz val="10"/>
            <color indexed="81"/>
            <rFont val="Tahoma"/>
            <family val="2"/>
          </rPr>
          <t>Value of the H</t>
        </r>
        <r>
          <rPr>
            <vertAlign val="superscript"/>
            <sz val="10"/>
            <color indexed="81"/>
            <rFont val="Tahoma"/>
            <family val="2"/>
          </rPr>
          <t>+</t>
        </r>
        <r>
          <rPr>
            <sz val="10"/>
            <color indexed="81"/>
            <rFont val="Tahoma"/>
            <family val="2"/>
          </rPr>
          <t xml:space="preserve"> concentration in the titrand + titrant solution obtained by using the variable cells  fitted by the Solver.</t>
        </r>
      </text>
    </comment>
    <comment ref="J39" authorId="1" shapeId="0" xr:uid="{00000000-0006-0000-0800-000053000000}">
      <text>
        <r>
          <rPr>
            <b/>
            <sz val="8"/>
            <color indexed="81"/>
            <rFont val="Tahoma"/>
            <family val="2"/>
          </rPr>
          <t>Gutz:</t>
        </r>
        <r>
          <rPr>
            <sz val="8"/>
            <color indexed="81"/>
            <rFont val="Tahoma"/>
            <family val="2"/>
          </rPr>
          <t xml:space="preserve">
</t>
        </r>
        <r>
          <rPr>
            <sz val="10"/>
            <color indexed="81"/>
            <rFont val="Tahoma"/>
            <family val="2"/>
          </rPr>
          <t>Total concentration of H</t>
        </r>
        <r>
          <rPr>
            <vertAlign val="superscript"/>
            <sz val="10"/>
            <color indexed="81"/>
            <rFont val="Tahoma"/>
            <family val="2"/>
          </rPr>
          <t>+</t>
        </r>
        <r>
          <rPr>
            <sz val="10"/>
            <color indexed="81"/>
            <rFont val="Tahoma"/>
            <family val="2"/>
          </rPr>
          <t xml:space="preserve"> required to satisfy all protonation equilibria in the titrand + titrant solution  at the pH of column B, using the general equation, the concentrations of line 11 and the pKas given or under refinement.</t>
        </r>
      </text>
    </comment>
    <comment ref="K39" authorId="1" shapeId="0" xr:uid="{00000000-0006-0000-0800-000054000000}">
      <text>
        <r>
          <rPr>
            <b/>
            <sz val="10"/>
            <color indexed="81"/>
            <rFont val="Tahoma"/>
            <family val="2"/>
          </rPr>
          <t>Gutz:</t>
        </r>
        <r>
          <rPr>
            <sz val="10"/>
            <color indexed="81"/>
            <rFont val="Tahoma"/>
            <family val="2"/>
          </rPr>
          <t xml:space="preserve">
Dilution factor of the titrant when added to the sample (+water). For example, when the added titrant equals the volume of the sample (+water), the factor is 0.5
</t>
        </r>
      </text>
    </comment>
    <comment ref="L39" authorId="1" shapeId="0" xr:uid="{00000000-0006-0000-0800-000055000000}">
      <text>
        <r>
          <rPr>
            <b/>
            <sz val="8"/>
            <color indexed="81"/>
            <rFont val="Tahoma"/>
            <family val="2"/>
          </rPr>
          <t>Gutz:</t>
        </r>
        <r>
          <rPr>
            <sz val="8"/>
            <color indexed="81"/>
            <rFont val="Tahoma"/>
            <family val="2"/>
          </rPr>
          <t xml:space="preserve">
</t>
        </r>
        <r>
          <rPr>
            <sz val="10"/>
            <color indexed="81"/>
            <rFont val="Tahoma"/>
            <family val="2"/>
          </rPr>
          <t>Dilution factor of the sample (plus dilution water F16, if any) that results from the addition of titrant at each point of the titration.</t>
        </r>
      </text>
    </comment>
    <comment ref="M39" authorId="1" shapeId="0" xr:uid="{00000000-0006-0000-0800-000056000000}">
      <text>
        <r>
          <rPr>
            <b/>
            <sz val="8"/>
            <color indexed="81"/>
            <rFont val="Tahoma"/>
            <family val="2"/>
          </rPr>
          <t>Gutz:</t>
        </r>
        <r>
          <rPr>
            <sz val="8"/>
            <color indexed="81"/>
            <rFont val="Tahoma"/>
            <family val="2"/>
          </rPr>
          <t xml:space="preserve">
</t>
        </r>
        <r>
          <rPr>
            <sz val="12"/>
            <color indexed="81"/>
            <rFont val="Symbol"/>
            <family val="1"/>
            <charset val="2"/>
          </rPr>
          <t>Sb</t>
        </r>
        <r>
          <rPr>
            <sz val="10"/>
            <color indexed="81"/>
            <rFont val="Tahoma"/>
            <family val="2"/>
          </rPr>
          <t>p</t>
        </r>
        <r>
          <rPr>
            <vertAlign val="subscript"/>
            <sz val="12"/>
            <color indexed="81"/>
            <rFont val="Tahoma"/>
            <family val="2"/>
          </rPr>
          <t xml:space="preserve">i </t>
        </r>
        <r>
          <rPr>
            <sz val="10"/>
            <color indexed="81"/>
            <rFont val="Tahoma"/>
            <family val="2"/>
          </rPr>
          <t>[H]</t>
        </r>
        <r>
          <rPr>
            <vertAlign val="superscript"/>
            <sz val="12"/>
            <color indexed="81"/>
            <rFont val="Tahoma"/>
            <family val="2"/>
          </rPr>
          <t>i</t>
        </r>
        <r>
          <rPr>
            <sz val="10"/>
            <color indexed="81"/>
            <rFont val="Tahoma"/>
            <family val="2"/>
          </rPr>
          <t>, the denominator of the expressions for the calculation of the average protonation number, h, and the species distribution coefficients.</t>
        </r>
      </text>
    </comment>
    <comment ref="W39" authorId="1" shapeId="0" xr:uid="{00000000-0006-0000-0800-000057000000}">
      <text>
        <r>
          <rPr>
            <b/>
            <sz val="8"/>
            <color indexed="81"/>
            <rFont val="Tahoma"/>
            <family val="2"/>
          </rPr>
          <t>Gutz:</t>
        </r>
        <r>
          <rPr>
            <sz val="8"/>
            <color indexed="81"/>
            <rFont val="Tahoma"/>
            <family val="2"/>
          </rPr>
          <t xml:space="preserve">
</t>
        </r>
        <r>
          <rPr>
            <sz val="10"/>
            <color indexed="81"/>
            <rFont val="Tahoma"/>
            <family val="2"/>
          </rPr>
          <t xml:space="preserve">Mean proton number, </t>
        </r>
        <r>
          <rPr>
            <strike/>
            <sz val="10"/>
            <color indexed="81"/>
            <rFont val="Tahoma"/>
            <family val="2"/>
          </rPr>
          <t>h</t>
        </r>
        <r>
          <rPr>
            <sz val="10"/>
            <color indexed="81"/>
            <rFont val="Tahoma"/>
            <family val="2"/>
          </rPr>
          <t xml:space="preserve">,  associated with a  base B at given pH. 
Consider HiB as partially dissociated at a given pH; </t>
        </r>
        <r>
          <rPr>
            <strike/>
            <sz val="10"/>
            <color indexed="81"/>
            <rFont val="Tahoma"/>
            <family val="2"/>
          </rPr>
          <t>h</t>
        </r>
        <r>
          <rPr>
            <sz val="10"/>
            <color indexed="81"/>
            <rFont val="Tahoma"/>
            <family val="2"/>
          </rPr>
          <t xml:space="preserve"> is the sum of the molar fraction times</t>
        </r>
        <r>
          <rPr>
            <b/>
            <sz val="10"/>
            <color indexed="81"/>
            <rFont val="Tahoma"/>
            <family val="2"/>
          </rPr>
          <t xml:space="preserve"> i</t>
        </r>
        <r>
          <rPr>
            <sz val="10"/>
            <color indexed="81"/>
            <rFont val="Tahoma"/>
            <family val="2"/>
          </rPr>
          <t xml:space="preserve"> of each species.</t>
        </r>
      </text>
    </comment>
    <comment ref="AQ39" authorId="4" shapeId="0" xr:uid="{00000000-0006-0000-0800-000058000000}">
      <text>
        <r>
          <rPr>
            <b/>
            <sz val="8"/>
            <color indexed="81"/>
            <rFont val="Tahoma"/>
            <family val="2"/>
          </rPr>
          <t>Gutz:</t>
        </r>
        <r>
          <rPr>
            <sz val="8"/>
            <color indexed="81"/>
            <rFont val="Tahoma"/>
            <family val="2"/>
          </rPr>
          <t xml:space="preserve">
</t>
        </r>
        <r>
          <rPr>
            <sz val="10"/>
            <color indexed="81"/>
            <rFont val="Tahoma"/>
            <family val="2"/>
          </rPr>
          <t xml:space="preserve">Partial ionic strength </t>
        </r>
        <r>
          <rPr>
            <b/>
            <sz val="10"/>
            <color indexed="81"/>
            <rFont val="Tahoma"/>
            <family val="2"/>
          </rPr>
          <t>I</t>
        </r>
        <r>
          <rPr>
            <sz val="10"/>
            <color indexed="81"/>
            <rFont val="Tahoma"/>
            <family val="2"/>
          </rPr>
          <t xml:space="preserve"> includes the contribution from ionic species of all protonation equilibria as well as the concentrations of dissociated H</t>
        </r>
        <r>
          <rPr>
            <vertAlign val="superscript"/>
            <sz val="10"/>
            <color indexed="81"/>
            <rFont val="Tahoma"/>
            <family val="2"/>
          </rPr>
          <t>+</t>
        </r>
        <r>
          <rPr>
            <sz val="10"/>
            <color indexed="81"/>
            <rFont val="Tahoma"/>
            <family val="2"/>
          </rPr>
          <t xml:space="preserve"> and OH</t>
        </r>
        <r>
          <rPr>
            <vertAlign val="superscript"/>
            <sz val="10"/>
            <color indexed="81"/>
            <rFont val="Tahoma"/>
            <family val="2"/>
          </rPr>
          <t>-</t>
        </r>
        <r>
          <rPr>
            <sz val="10"/>
            <color indexed="81"/>
            <rFont val="Tahoma"/>
            <family val="2"/>
          </rPr>
          <t xml:space="preserve">. Counterions and other strong electrolytes indicated in S12 to T13 are added in the next column.
</t>
        </r>
      </text>
    </comment>
    <comment ref="AR39" authorId="4" shapeId="0" xr:uid="{00000000-0006-0000-0800-000059000000}">
      <text>
        <r>
          <rPr>
            <b/>
            <sz val="8"/>
            <color indexed="81"/>
            <rFont val="Tahoma"/>
            <family val="2"/>
          </rPr>
          <t>Gutz:</t>
        </r>
        <r>
          <rPr>
            <sz val="8"/>
            <color indexed="81"/>
            <rFont val="Tahoma"/>
            <family val="2"/>
          </rPr>
          <t xml:space="preserve">
</t>
        </r>
        <r>
          <rPr>
            <sz val="10"/>
            <color indexed="81"/>
            <rFont val="Tahoma"/>
            <family val="2"/>
          </rPr>
          <t xml:space="preserve">The total ionic strength </t>
        </r>
        <r>
          <rPr>
            <b/>
            <sz val="10"/>
            <color indexed="81"/>
            <rFont val="Tahoma"/>
            <family val="2"/>
          </rPr>
          <t>I</t>
        </r>
        <r>
          <rPr>
            <sz val="10"/>
            <color indexed="81"/>
            <rFont val="Tahoma"/>
            <family val="2"/>
          </rPr>
          <t xml:space="preserve"> corresponds to </t>
        </r>
        <r>
          <rPr>
            <b/>
            <sz val="10"/>
            <color indexed="81"/>
            <rFont val="Tahoma"/>
            <family val="2"/>
          </rPr>
          <t>I</t>
        </r>
        <r>
          <rPr>
            <sz val="10"/>
            <color indexed="81"/>
            <rFont val="Tahoma"/>
            <family val="2"/>
          </rPr>
          <t xml:space="preserve"> partial (column AQ) plus the minimum concentration of counterions needed for electroneutrality of acids and bases in the sample and titrant plus contribution of other strong electrolytes indicated in S12 to T13, if any.</t>
        </r>
      </text>
    </comment>
    <comment ref="AT39" authorId="4" shapeId="0" xr:uid="{00000000-0006-0000-0800-00005A000000}">
      <text>
        <r>
          <rPr>
            <b/>
            <sz val="8"/>
            <color indexed="81"/>
            <rFont val="Tahoma"/>
            <family val="2"/>
          </rPr>
          <t>Gutz:</t>
        </r>
        <r>
          <rPr>
            <sz val="8"/>
            <color indexed="81"/>
            <rFont val="Tahoma"/>
            <family val="2"/>
          </rPr>
          <t xml:space="preserve">
</t>
        </r>
        <r>
          <rPr>
            <sz val="10"/>
            <color indexed="81"/>
            <rFont val="Tahoma"/>
            <family val="2"/>
          </rPr>
          <t>By clicking on the button "Set I = 0" (A22 or Q23), the correction of the effect of I on the activity coefficients is switched off. 
By clicking on the button "Update I" (C22 or Q25) the correction is activated and I is updated from column AR, based on  the last regression results.</t>
        </r>
      </text>
    </comment>
    <comment ref="AU39" authorId="0" shapeId="0" xr:uid="{00000000-0006-0000-0800-00005B000000}">
      <text>
        <r>
          <rPr>
            <b/>
            <sz val="8"/>
            <color indexed="81"/>
            <rFont val="Tahoma"/>
            <family val="2"/>
          </rPr>
          <t>Gutz:</t>
        </r>
        <r>
          <rPr>
            <sz val="8"/>
            <color indexed="81"/>
            <rFont val="Tahoma"/>
            <family val="2"/>
          </rPr>
          <t xml:space="preserve">
</t>
        </r>
        <r>
          <rPr>
            <sz val="10"/>
            <color indexed="81"/>
            <rFont val="Tahoma"/>
            <family val="2"/>
          </rPr>
          <t>Activity coefficient estimated made with the Davies equation at ionic strength I. Uncertainties are discussed in cells A23, D26 and  K15 of pH_calc</t>
        </r>
      </text>
    </comment>
    <comment ref="AX39" authorId="0" shapeId="0" xr:uid="{00000000-0006-0000-0800-00005C000000}">
      <text>
        <r>
          <rPr>
            <b/>
            <sz val="9"/>
            <color indexed="81"/>
            <rFont val="Segoe UI"/>
            <family val="2"/>
          </rPr>
          <t>Gutz:</t>
        </r>
        <r>
          <rPr>
            <sz val="9"/>
            <color indexed="81"/>
            <rFont val="Segoe UI"/>
            <family val="2"/>
          </rPr>
          <t xml:space="preserve">
O</t>
        </r>
        <r>
          <rPr>
            <sz val="10"/>
            <color indexed="81"/>
            <rFont val="Segoe UI"/>
            <family val="2"/>
          </rPr>
          <t>utliers and dubious data can be reversibly ommited from the regression by marking with na X the corresponding cells in column AX.</t>
        </r>
      </text>
    </comment>
    <comment ref="D41" authorId="1" shapeId="0" xr:uid="{00000000-0006-0000-0800-00005D000000}">
      <text>
        <r>
          <rPr>
            <b/>
            <sz val="8"/>
            <color indexed="81"/>
            <rFont val="Tahoma"/>
            <family val="2"/>
          </rPr>
          <t>Gutz:</t>
        </r>
        <r>
          <rPr>
            <sz val="8"/>
            <color indexed="81"/>
            <rFont val="Tahoma"/>
            <family val="2"/>
          </rPr>
          <t xml:space="preserve">
</t>
        </r>
        <r>
          <rPr>
            <sz val="10"/>
            <color indexed="81"/>
            <rFont val="Tahoma"/>
            <family val="2"/>
          </rPr>
          <t>Do NOT write in this colored region! You will corrupt the equations.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Gutz</author>
  </authors>
  <commentList>
    <comment ref="B1" authorId="0" shapeId="0" xr:uid="{00000000-0006-0000-0900-000001000000}">
      <text>
        <r>
          <rPr>
            <b/>
            <sz val="9"/>
            <color indexed="81"/>
            <rFont val="Segoe UI"/>
            <family val="2"/>
          </rPr>
          <t>Gutz:</t>
        </r>
        <r>
          <rPr>
            <sz val="9"/>
            <color indexed="81"/>
            <rFont val="Segoe UI"/>
            <family val="2"/>
          </rPr>
          <t xml:space="preserve">
</t>
        </r>
        <r>
          <rPr>
            <sz val="10"/>
            <color indexed="81"/>
            <rFont val="Segoe UI"/>
            <family val="2"/>
          </rPr>
          <t xml:space="preserve">Copy the results of interest to this spreadsheet as they are obtained and add identification and observations, like a logbook.
The most recent result will be inserted in the first lines and the former ones will be shifted down.
When saving the program, give a name to assist in future location, eg, CurTiPot_citric_juides.xlsm.
In order to compact the information and facilitate comparisons, only the essential cells are copied and the data columns (real or simulated) are transposed in rows (for back-conversion into columns use the commands: mark, Copy and Paste Special, checking Values and Transpose).
To remove a result, start by deleting the figures (check and delete) and then delete the corresponding lines (check the entire lines, click on the right button of the mouse and choose Delete).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Gutz</author>
    <author>Ivano Gebhardt Rolf Gutz</author>
  </authors>
  <commentList>
    <comment ref="O3" authorId="0" shapeId="0" xr:uid="{00000000-0006-0000-0A00-000001000000}">
      <text>
        <r>
          <rPr>
            <b/>
            <sz val="8"/>
            <color indexed="81"/>
            <rFont val="Tahoma"/>
            <family val="2"/>
          </rPr>
          <t>Gutz:</t>
        </r>
        <r>
          <rPr>
            <sz val="8"/>
            <color indexed="81"/>
            <rFont val="Tahoma"/>
            <family val="2"/>
          </rPr>
          <t xml:space="preserve">
</t>
        </r>
        <r>
          <rPr>
            <sz val="10"/>
            <color indexed="81"/>
            <rFont val="Tahoma"/>
            <family val="2"/>
          </rPr>
          <t>Uncheck and check a curve again to update it.</t>
        </r>
      </text>
    </comment>
    <comment ref="L4" authorId="1" shapeId="0" xr:uid="{00000000-0006-0000-0A00-000002000000}">
      <text>
        <r>
          <rPr>
            <b/>
            <sz val="10"/>
            <color indexed="81"/>
            <rFont val="Tahoma"/>
            <family val="2"/>
          </rPr>
          <t>Gutz:</t>
        </r>
        <r>
          <rPr>
            <sz val="10"/>
            <color indexed="81"/>
            <rFont val="Tahoma"/>
            <family val="2"/>
          </rPr>
          <t xml:space="preserve">
Click twice on the volume or pH scale to redefine it.
Use Ctrl+Z (as many times as needed) to undo scale expansion</t>
        </r>
      </text>
    </comment>
    <comment ref="O4" authorId="1" shapeId="0" xr:uid="{00000000-0006-0000-0A00-000003000000}">
      <text>
        <r>
          <rPr>
            <b/>
            <sz val="8"/>
            <color indexed="81"/>
            <rFont val="Tahoma"/>
            <family val="2"/>
          </rPr>
          <t>Gutz:</t>
        </r>
        <r>
          <rPr>
            <sz val="8"/>
            <color indexed="81"/>
            <rFont val="Tahoma"/>
            <family val="2"/>
          </rPr>
          <t xml:space="preserve">
</t>
        </r>
        <r>
          <rPr>
            <sz val="10"/>
            <color indexed="81"/>
            <rFont val="Tahoma"/>
            <family val="2"/>
          </rPr>
          <t>Click once on the graphic area, hover the mouse on any data point to readout its ID and coordinates.</t>
        </r>
      </text>
    </comment>
    <comment ref="L5" authorId="1" shapeId="0" xr:uid="{00000000-0006-0000-0A00-000004000000}">
      <text>
        <r>
          <rPr>
            <b/>
            <sz val="8"/>
            <color indexed="81"/>
            <rFont val="Tahoma"/>
            <family val="2"/>
          </rPr>
          <t>Gutz:</t>
        </r>
        <r>
          <rPr>
            <sz val="8"/>
            <color indexed="81"/>
            <rFont val="Tahoma"/>
            <family val="2"/>
          </rPr>
          <t xml:space="preserve">
</t>
        </r>
        <r>
          <rPr>
            <sz val="10"/>
            <color indexed="81"/>
            <rFont val="Tahoma"/>
            <family val="2"/>
          </rPr>
          <t>To copy graphics with one or more curves and paste them into other documents (e.g.: Word or Excel) without links to the original:
- Fill out the header of the graphic;
- Click in the box of the graphic near the margins, to select it;
- (only for Excel older than version 12 from 2007: replot at least one curve - uncheck / check again);
- Press Ctrl+C and wait processing; 
- Switch to the Word (Excel) document; 
- Select Insert/Paste Special/Picture (enhanced metafile).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Gutz</author>
    <author>GPQAI-51</author>
    <author>gtz</author>
  </authors>
  <commentList>
    <comment ref="A2" authorId="0" shapeId="0" xr:uid="{00000000-0006-0000-0B00-000001000000}">
      <text>
        <r>
          <rPr>
            <b/>
            <sz val="9"/>
            <color indexed="81"/>
            <rFont val="Segoe UI"/>
            <family val="2"/>
          </rPr>
          <t>Gutz:</t>
        </r>
        <r>
          <rPr>
            <sz val="9"/>
            <color indexed="81"/>
            <rFont val="Segoe UI"/>
            <family val="2"/>
          </rPr>
          <t xml:space="preserve">
</t>
        </r>
        <r>
          <rPr>
            <sz val="10"/>
            <color indexed="81"/>
            <rFont val="Tahoma"/>
            <family val="2"/>
          </rPr>
          <t xml:space="preserve">The pKa values change with temperature and concentration. The effect of concentration is corrected by CurTiPot as explained in line 17, but the user must provide de temperature correction if other than the indicated ones (in column </t>
        </r>
        <r>
          <rPr>
            <b/>
            <sz val="10"/>
            <color indexed="81"/>
            <rFont val="Tahoma"/>
            <family val="2"/>
          </rPr>
          <t>K</t>
        </r>
        <r>
          <rPr>
            <sz val="10"/>
            <color indexed="81"/>
            <rFont val="Tahoma"/>
            <family val="2"/>
          </rPr>
          <t xml:space="preserve">). e.g., by using an online calculator for some common acids and bases:
http://www.reachdevices.com/Protein/BiologicalBuffers.html
For other ones, if the enthalpy of the dissociation reaction is available, the van't Hoff's equation may be used. </t>
        </r>
      </text>
    </comment>
    <comment ref="A3" authorId="0" shapeId="0" xr:uid="{00000000-0006-0000-0B00-000002000000}">
      <text>
        <r>
          <rPr>
            <b/>
            <sz val="8"/>
            <color indexed="81"/>
            <rFont val="Tahoma"/>
            <family val="2"/>
          </rPr>
          <t>Gutz:</t>
        </r>
        <r>
          <rPr>
            <sz val="8"/>
            <color indexed="81"/>
            <rFont val="Tahoma"/>
            <family val="2"/>
          </rPr>
          <t xml:space="preserve">
</t>
        </r>
        <r>
          <rPr>
            <sz val="10"/>
            <color indexed="81"/>
            <rFont val="Tahoma"/>
            <family val="2"/>
          </rPr>
          <t>Gray or red numbers denote knowingly uncertain pKas; the number of decimal places is indicative of precision, but  values may be wrong or inaccurate; for many systems, the "constants" vary from  author to author or depend of the  experimental technique used to study the equilibria. For other systems, no reliable determination is available.</t>
        </r>
      </text>
    </comment>
    <comment ref="A5" authorId="0" shapeId="0" xr:uid="{00000000-0006-0000-0B00-000003000000}">
      <text>
        <r>
          <rPr>
            <b/>
            <sz val="8"/>
            <color indexed="81"/>
            <rFont val="Tahoma"/>
            <family val="2"/>
          </rPr>
          <t>Gutz:</t>
        </r>
        <r>
          <rPr>
            <sz val="8"/>
            <color indexed="81"/>
            <rFont val="Tahoma"/>
            <family val="2"/>
          </rPr>
          <t xml:space="preserve">
</t>
        </r>
        <r>
          <rPr>
            <sz val="10"/>
            <color indexed="81"/>
            <rFont val="Tahoma"/>
            <family val="2"/>
          </rPr>
          <t>Some extensive compilations of equilibrium constants present protonation constants (or their logarithms) instead of dissociation constants. The conversion is straightforward as shown in cells L15-R18.</t>
        </r>
      </text>
    </comment>
    <comment ref="H6" authorId="1" shapeId="0" xr:uid="{00000000-0006-0000-0B00-000004000000}">
      <text>
        <r>
          <rPr>
            <b/>
            <sz val="8"/>
            <color indexed="81"/>
            <rFont val="Tahoma"/>
            <family val="2"/>
          </rPr>
          <t>Gutz</t>
        </r>
        <r>
          <rPr>
            <sz val="8"/>
            <color indexed="81"/>
            <rFont val="Tahoma"/>
            <family val="2"/>
          </rPr>
          <t xml:space="preserve">
</t>
        </r>
        <r>
          <rPr>
            <sz val="10"/>
            <color indexed="81"/>
            <rFont val="Tahoma"/>
            <family val="2"/>
          </rPr>
          <t xml:space="preserve">A </t>
        </r>
        <r>
          <rPr>
            <u/>
            <sz val="10"/>
            <color indexed="81"/>
            <rFont val="Tahoma"/>
            <family val="2"/>
          </rPr>
          <t>free</t>
        </r>
        <r>
          <rPr>
            <sz val="10"/>
            <color indexed="81"/>
            <rFont val="Tahoma"/>
            <family val="2"/>
          </rPr>
          <t xml:space="preserve"> subset of this Database, MiniSC-Database, with &gt;2900 protonation constants (mostly at 25ºC and I=0.1 mol/L) can be downloaded from the site http://www.acadsoft.co.uk/scdbase/scdbase.htm  
You may use Excel (instead of the software) to open the file Ligef32m.dbf (inside the Minquery folder of SCDBase), search for a base (or acid) by name; if you find it and the column COUNT_H shows a 1, pKas are available; subtract one from the spreadsheet </t>
        </r>
        <r>
          <rPr>
            <u/>
            <sz val="10"/>
            <color indexed="81"/>
            <rFont val="Tahoma"/>
            <family val="2"/>
          </rPr>
          <t>line counter number</t>
        </r>
        <r>
          <rPr>
            <sz val="10"/>
            <color indexed="81"/>
            <rFont val="Tahoma"/>
            <family val="2"/>
          </rPr>
          <t xml:space="preserve"> (leftmost column)  and you have the Ligand ID number (=line counter number - 1). 
Open the data file EXPT32M.DBF with Excel; look for the Ligand ID number in column A (named LIGAND_ID); chose the line with a 0 in column B (named METALNUM); find logKp1 in column F; logKp2 in G; skip H; logKp3 in I, etc. 
To convert logKp into pKa, read cell M12.</t>
        </r>
      </text>
    </comment>
    <comment ref="G9" authorId="1" shapeId="0" xr:uid="{00000000-0006-0000-0B00-000005000000}">
      <text>
        <r>
          <rPr>
            <b/>
            <sz val="8"/>
            <color indexed="81"/>
            <rFont val="Tahoma"/>
            <family val="2"/>
          </rPr>
          <t xml:space="preserve">Gutz:
</t>
        </r>
        <r>
          <rPr>
            <sz val="10"/>
            <color indexed="81"/>
            <rFont val="Tahoma"/>
            <family val="2"/>
          </rPr>
          <t>The pKa's output by Chemicalize are obtained by calculation  and may depart from real ones. Check tem against experimentally determined ones whenever available.</t>
        </r>
        <r>
          <rPr>
            <b/>
            <sz val="8"/>
            <color indexed="81"/>
            <rFont val="Tahoma"/>
            <family val="2"/>
          </rPr>
          <t xml:space="preserve">
</t>
        </r>
        <r>
          <rPr>
            <sz val="10"/>
            <color indexed="81"/>
            <rFont val="Tahoma"/>
            <family val="2"/>
          </rPr>
          <t>Fill out the name of the acid or base (or the CAS # or SMILES);Click Properties Viewer.
 On the results page, click Manage calculations; click pKa. The pKa values will appear together with the structural formula of the molecule (in a box at the right).</t>
        </r>
      </text>
    </comment>
    <comment ref="L15" authorId="0" shapeId="0" xr:uid="{00000000-0006-0000-0B00-000006000000}">
      <text>
        <r>
          <rPr>
            <b/>
            <sz val="8"/>
            <color indexed="81"/>
            <rFont val="Tahoma"/>
            <family val="2"/>
          </rPr>
          <t>Gutz:</t>
        </r>
        <r>
          <rPr>
            <sz val="8"/>
            <color indexed="81"/>
            <rFont val="Tahoma"/>
            <family val="2"/>
          </rPr>
          <t xml:space="preserve">
</t>
        </r>
        <r>
          <rPr>
            <sz val="10"/>
            <color indexed="81"/>
            <rFont val="Tahoma"/>
            <family val="2"/>
          </rPr>
          <t xml:space="preserve">Protonation constants, Kp, (or global protonation constants, </t>
        </r>
        <r>
          <rPr>
            <sz val="10"/>
            <color indexed="81"/>
            <rFont val="Symbol"/>
            <family val="1"/>
            <charset val="2"/>
          </rPr>
          <t>b</t>
        </r>
        <r>
          <rPr>
            <sz val="10"/>
            <color indexed="81"/>
            <rFont val="Tahoma"/>
            <family val="2"/>
          </rPr>
          <t>p) are preferred in the most extensive compilations of equilibrium constants, e.g., Critical Stability Constants, Vol. 1–4 because the equations become unified with those used for metal-ligand-proton equilibria, based on formation (instead of dissociation) constants.
Note that pKa = logKp for a monoprotic acid (because Kp = 1/Kd or pKd = 1/logKd ) and, for multiprotic systems, the first logKp is the last pKa.
The index n in Kpn  is the maximum number protons accepted by the most deprotonated form of a (conjugated) base.</t>
        </r>
      </text>
    </comment>
    <comment ref="E16" authorId="2" shapeId="0" xr:uid="{00000000-0006-0000-0B00-000007000000}">
      <text>
        <r>
          <rPr>
            <b/>
            <sz val="9"/>
            <color indexed="81"/>
            <rFont val="Tahoma"/>
            <family val="2"/>
          </rPr>
          <t>Gutz:</t>
        </r>
        <r>
          <rPr>
            <sz val="9"/>
            <color indexed="81"/>
            <rFont val="Tahoma"/>
            <family val="2"/>
          </rPr>
          <t xml:space="preserve">
</t>
        </r>
        <r>
          <rPr>
            <sz val="10"/>
            <color indexed="81"/>
            <rFont val="Tahoma"/>
            <family val="2"/>
          </rPr>
          <t>There are a few examples of visual indicators in this database, starting at line 255, for use with the Titration module. 
More examples:
http://en.wikipedia.org/wiki/PH_indicator
http://antoine.frostburg.edu/chem/senese/101/acidbase/indicators.shtml
Books:
I. M. Kolthoff, Acid Base Indicators, MacMillan, NY, 1937 
https://archive.org/details/acidbaseindicato030701mbp free download:
https://ia600508.us.archive.org/3/items/acidbaseindicato030701mbp/acidbaseindicato030701mbp.pdf
R . W . Sabnis, Handbook of Acid-Base Indicators
CRC Press 2007Print ISBN: 978-0-8493-8218-5; eBook ISBN: 978-0-8493-8219-2
http://www.crcnetbase.com/isbn/9780849382185</t>
        </r>
      </text>
    </comment>
    <comment ref="E17" authorId="1" shapeId="0" xr:uid="{00000000-0006-0000-0B00-000008000000}">
      <text>
        <r>
          <rPr>
            <b/>
            <sz val="8"/>
            <color indexed="81"/>
            <rFont val="Tahoma"/>
            <family val="2"/>
          </rPr>
          <t>Gutz:</t>
        </r>
        <r>
          <rPr>
            <sz val="8"/>
            <color indexed="81"/>
            <rFont val="Tahoma"/>
            <family val="2"/>
          </rPr>
          <t xml:space="preserve">
</t>
        </r>
        <r>
          <rPr>
            <sz val="10"/>
            <color indexed="81"/>
            <rFont val="Tahoma"/>
            <family val="2"/>
          </rPr>
          <t>Activity coefficient estimation: an appreciation of 20 equations:  Ionic St_effects.pdf in the package: http://www.iupac.org/projects/2000/Aq_Solutions.zip</t>
        </r>
      </text>
    </comment>
    <comment ref="D19" authorId="0" shapeId="0" xr:uid="{00000000-0006-0000-0B00-000009000000}">
      <text>
        <r>
          <rPr>
            <b/>
            <sz val="8"/>
            <color indexed="81"/>
            <rFont val="Tahoma"/>
            <family val="2"/>
          </rPr>
          <t>Gutz:</t>
        </r>
        <r>
          <rPr>
            <sz val="8"/>
            <color indexed="81"/>
            <rFont val="Tahoma"/>
            <family val="2"/>
          </rPr>
          <t xml:space="preserve">
</t>
        </r>
        <r>
          <rPr>
            <sz val="10"/>
            <color indexed="81"/>
            <rFont val="Tahoma"/>
            <family val="2"/>
          </rPr>
          <t>Charge of the most deprotonated (dissociated) form of the (conjugated) base considered in the equilibria of an acid-base system for the constants given.</t>
        </r>
      </text>
    </comment>
    <comment ref="K19" authorId="0" shapeId="0" xr:uid="{00000000-0006-0000-0B00-00000A000000}">
      <text>
        <r>
          <rPr>
            <b/>
            <sz val="9"/>
            <color indexed="81"/>
            <rFont val="Segoe UI"/>
            <family val="2"/>
          </rPr>
          <t>Gutz:</t>
        </r>
        <r>
          <rPr>
            <sz val="9"/>
            <color indexed="81"/>
            <rFont val="Segoe UI"/>
            <family val="2"/>
          </rPr>
          <t xml:space="preserve">
</t>
        </r>
        <r>
          <rPr>
            <sz val="10"/>
            <color indexed="81"/>
            <rFont val="Tahoma"/>
            <family val="2"/>
          </rPr>
          <t xml:space="preserve">The pKa values change with temperature. To estimate the pKas at temperatures other than the indicated ones an online calculator can be used for some common acids and bases:
http://www.reachdevices.com/Protein/BiologicalBuffers.html
For other ones, if the enthalpy of the dissociation reaction is available, the van't Hoff's equation may be used. </t>
        </r>
      </text>
    </comment>
    <comment ref="L19" authorId="0" shapeId="0" xr:uid="{00000000-0006-0000-0B00-00000B000000}">
      <text>
        <r>
          <rPr>
            <b/>
            <sz val="8"/>
            <color indexed="81"/>
            <rFont val="Tahoma"/>
            <family val="2"/>
          </rPr>
          <t>Gutz:</t>
        </r>
        <r>
          <rPr>
            <sz val="8"/>
            <color indexed="81"/>
            <rFont val="Tahoma"/>
            <family val="2"/>
          </rPr>
          <t xml:space="preserve">
</t>
        </r>
        <r>
          <rPr>
            <sz val="10"/>
            <color indexed="81"/>
            <rFont val="Tahoma"/>
            <family val="2"/>
          </rPr>
          <t>The ionic strength, I, is a determining parameter in the equations used for the estimation of the ions activity coefficients (</t>
        </r>
        <r>
          <rPr>
            <sz val="12"/>
            <color indexed="81"/>
            <rFont val="Symbol"/>
            <family val="1"/>
            <charset val="2"/>
          </rPr>
          <t>g</t>
        </r>
        <r>
          <rPr>
            <vertAlign val="subscript"/>
            <sz val="12"/>
            <color indexed="81"/>
            <rFont val="Tahoma"/>
            <family val="2"/>
          </rPr>
          <t>i</t>
        </r>
        <r>
          <rPr>
            <sz val="10"/>
            <color indexed="81"/>
            <rFont val="Tahoma"/>
            <family val="2"/>
          </rPr>
          <t>) that affect the pKas and thus the cistribution curves. It consists of half of the summation of the concentration of each ion times the square of its charge: 
I = 0.5</t>
        </r>
        <r>
          <rPr>
            <sz val="12"/>
            <color indexed="81"/>
            <rFont val="Symbol"/>
            <family val="1"/>
            <charset val="2"/>
          </rPr>
          <t>S</t>
        </r>
        <r>
          <rPr>
            <sz val="10"/>
            <color indexed="81"/>
            <rFont val="Tahoma"/>
            <family val="2"/>
          </rPr>
          <t>c</t>
        </r>
        <r>
          <rPr>
            <vertAlign val="subscript"/>
            <sz val="10"/>
            <color indexed="81"/>
            <rFont val="Tahoma"/>
            <family val="2"/>
          </rPr>
          <t>i</t>
        </r>
        <r>
          <rPr>
            <sz val="10"/>
            <color indexed="81"/>
            <rFont val="Tahoma"/>
            <family val="2"/>
          </rPr>
          <t>z</t>
        </r>
        <r>
          <rPr>
            <vertAlign val="subscript"/>
            <sz val="10"/>
            <color indexed="81"/>
            <rFont val="Tahoma"/>
            <family val="2"/>
          </rPr>
          <t>i</t>
        </r>
        <r>
          <rPr>
            <vertAlign val="superscript"/>
            <sz val="10"/>
            <color indexed="81"/>
            <rFont val="Tahoma"/>
            <family val="2"/>
          </rPr>
          <t>2</t>
        </r>
        <r>
          <rPr>
            <sz val="10"/>
            <color indexed="81"/>
            <rFont val="Tahoma"/>
            <family val="2"/>
          </rPr>
          <t xml:space="preserve">
The amount of electrostatic interaction between ions in solution is related to the ionic strength, I, a parameter used in the Debye Hückel equation for estimation of activity coefficients and extended versions of this equation, suitable for work at I&gt;0.01 mol/L, where the effective hydrated ion size of the species also becomes relevant. 
As a general trend, the activity coefficient decreases with the increase of I (due to ion-ion interactions like the formation of ion pairs) down to a minimum in the region of I = 0.3 to 0.7 mol/L. At such high values of I, the association constants of each with all other major ions need to be feed to the equations or empirically fitted, to reduce uncertainty in estimates. The Davies equation, based on the average behavior of the ions and used here to deal with in complex mixtures for witch such constants are not readily available, renders estimates with greater uncertainty. See comments in the cells A23 and  K15 of the pH tab for more information.</t>
        </r>
      </text>
    </comment>
    <comment ref="N19" authorId="0" shapeId="0" xr:uid="{00000000-0006-0000-0B00-00000C000000}">
      <text>
        <r>
          <rPr>
            <b/>
            <sz val="8"/>
            <color indexed="81"/>
            <rFont val="Tahoma"/>
            <family val="2"/>
          </rPr>
          <t>Gutz:</t>
        </r>
        <r>
          <rPr>
            <sz val="8"/>
            <color indexed="81"/>
            <rFont val="Tahoma"/>
            <family val="2"/>
          </rPr>
          <t xml:space="preserve">
</t>
        </r>
        <r>
          <rPr>
            <sz val="10"/>
            <color indexed="81"/>
            <rFont val="Tahoma"/>
            <family val="2"/>
          </rPr>
          <t>Molecular weight calculator Java Applet:
http://www.ch.cam.ac.uk/magnus/MolWeight.html</t>
        </r>
      </text>
    </comment>
    <comment ref="E20" authorId="0" shapeId="0" xr:uid="{00000000-0006-0000-0B00-00000D000000}">
      <text>
        <r>
          <rPr>
            <b/>
            <sz val="8"/>
            <color indexed="81"/>
            <rFont val="Tahoma"/>
            <family val="2"/>
          </rPr>
          <t>Gutz:</t>
        </r>
        <r>
          <rPr>
            <sz val="8"/>
            <color indexed="81"/>
            <rFont val="Tahoma"/>
            <family val="2"/>
          </rPr>
          <t xml:space="preserve">
</t>
        </r>
        <r>
          <rPr>
            <sz val="10"/>
            <color indexed="81"/>
            <rFont val="Tahoma"/>
            <family val="2"/>
          </rPr>
          <t>Uncertain pKa values are displayed in gray; 
very uncertain values, in red.</t>
        </r>
      </text>
    </comment>
    <comment ref="M20" authorId="0" shapeId="0" xr:uid="{00000000-0006-0000-0B00-00000E000000}">
      <text>
        <r>
          <rPr>
            <b/>
            <sz val="8"/>
            <color indexed="81"/>
            <rFont val="Tahoma"/>
            <family val="2"/>
          </rPr>
          <t>Gutz:</t>
        </r>
        <r>
          <rPr>
            <sz val="8"/>
            <color indexed="81"/>
            <rFont val="Tahoma"/>
            <family val="2"/>
          </rPr>
          <t xml:space="preserve">
</t>
        </r>
        <r>
          <rPr>
            <sz val="10"/>
            <color indexed="81"/>
            <rFont val="Tahoma"/>
            <family val="2"/>
          </rPr>
          <t xml:space="preserve">The structural formula of most of the acids and bases listed here can be found in the Wikipedia,
</t>
        </r>
        <r>
          <rPr>
            <sz val="10"/>
            <color indexed="12"/>
            <rFont val="Tahoma"/>
            <family val="2"/>
          </rPr>
          <t>en.wikipedia.org</t>
        </r>
      </text>
    </comment>
    <comment ref="C24" authorId="0" shapeId="0" xr:uid="{00000000-0006-0000-0B00-00000F000000}">
      <text>
        <r>
          <rPr>
            <b/>
            <sz val="8"/>
            <color indexed="81"/>
            <rFont val="Tahoma"/>
            <family val="2"/>
          </rPr>
          <t>Gutz:</t>
        </r>
        <r>
          <rPr>
            <sz val="8"/>
            <color indexed="81"/>
            <rFont val="Tahoma"/>
            <family val="2"/>
          </rPr>
          <t xml:space="preserve">
</t>
        </r>
        <r>
          <rPr>
            <sz val="10"/>
            <color indexed="81"/>
            <rFont val="Tahoma"/>
            <family val="2"/>
          </rPr>
          <t>Aqueous solutions exposed to air or stored in (gas permeable) plastic flasks are always contaminated with CO</t>
        </r>
        <r>
          <rPr>
            <vertAlign val="subscript"/>
            <sz val="12"/>
            <color indexed="81"/>
            <rFont val="Tahoma"/>
            <family val="2"/>
          </rPr>
          <t>2</t>
        </r>
        <r>
          <rPr>
            <sz val="10"/>
            <color indexed="81"/>
            <rFont val="Tahoma"/>
            <family val="2"/>
          </rPr>
          <t>. Thus, it is advisable to include the carbonic acid system in simulations and regressions.
The pKa</t>
        </r>
        <r>
          <rPr>
            <vertAlign val="subscript"/>
            <sz val="12"/>
            <color indexed="81"/>
            <rFont val="Tahoma"/>
            <family val="2"/>
          </rPr>
          <t>1</t>
        </r>
        <r>
          <rPr>
            <sz val="10"/>
            <color indexed="81"/>
            <rFont val="Tahoma"/>
            <family val="2"/>
          </rPr>
          <t xml:space="preserve"> for H</t>
        </r>
        <r>
          <rPr>
            <vertAlign val="subscript"/>
            <sz val="12"/>
            <color indexed="81"/>
            <rFont val="Tahoma"/>
            <family val="2"/>
          </rPr>
          <t>2</t>
        </r>
        <r>
          <rPr>
            <sz val="10"/>
            <color indexed="81"/>
            <rFont val="Tahoma"/>
            <family val="2"/>
          </rPr>
          <t>CO</t>
        </r>
        <r>
          <rPr>
            <vertAlign val="subscript"/>
            <sz val="12"/>
            <color indexed="81"/>
            <rFont val="Tahoma"/>
            <family val="2"/>
          </rPr>
          <t>3</t>
        </r>
        <r>
          <rPr>
            <sz val="10"/>
            <color indexed="81"/>
            <rFont val="Tahoma"/>
            <family val="2"/>
          </rPr>
          <t xml:space="preserve"> is apparent. 
By considering the fraction of dissolved CO</t>
        </r>
        <r>
          <rPr>
            <vertAlign val="subscript"/>
            <sz val="12"/>
            <color indexed="81"/>
            <rFont val="Tahoma"/>
            <family val="2"/>
          </rPr>
          <t>2</t>
        </r>
        <r>
          <rPr>
            <sz val="10"/>
            <color indexed="81"/>
            <rFont val="Tahoma"/>
            <family val="2"/>
          </rPr>
          <t xml:space="preserve">  converted to H</t>
        </r>
        <r>
          <rPr>
            <vertAlign val="subscript"/>
            <sz val="12"/>
            <color indexed="81"/>
            <rFont val="Tahoma"/>
            <family val="2"/>
          </rPr>
          <t>2</t>
        </r>
        <r>
          <rPr>
            <sz val="10"/>
            <color indexed="81"/>
            <rFont val="Tahoma"/>
            <family val="2"/>
          </rPr>
          <t>CO</t>
        </r>
        <r>
          <rPr>
            <vertAlign val="subscript"/>
            <sz val="12"/>
            <color indexed="81"/>
            <rFont val="Tahoma"/>
            <family val="2"/>
          </rPr>
          <t>3</t>
        </r>
        <r>
          <rPr>
            <sz val="10"/>
            <color indexed="81"/>
            <rFont val="Tahoma"/>
            <family val="2"/>
          </rPr>
          <t xml:space="preserve"> (most of it remains as CO</t>
        </r>
        <r>
          <rPr>
            <vertAlign val="subscript"/>
            <sz val="12"/>
            <color indexed="81"/>
            <rFont val="Tahoma"/>
            <family val="2"/>
          </rPr>
          <t>2</t>
        </r>
        <r>
          <rPr>
            <sz val="10"/>
            <color indexed="81"/>
            <rFont val="Tahoma"/>
            <family val="2"/>
          </rPr>
          <t>(aq)) a "true" pKa of 3.58 is found.</t>
        </r>
      </text>
    </comment>
    <comment ref="E24" authorId="0" shapeId="0" xr:uid="{00000000-0006-0000-0B00-000010000000}">
      <text>
        <r>
          <rPr>
            <b/>
            <sz val="8"/>
            <color indexed="81"/>
            <rFont val="Tahoma"/>
            <family val="2"/>
          </rPr>
          <t>Gutz:</t>
        </r>
        <r>
          <rPr>
            <sz val="8"/>
            <color indexed="81"/>
            <rFont val="Tahoma"/>
            <family val="2"/>
          </rPr>
          <t xml:space="preserve">
</t>
        </r>
        <r>
          <rPr>
            <sz val="10"/>
            <color indexed="81"/>
            <rFont val="Tahoma"/>
            <family val="2"/>
          </rPr>
          <t>This is the apparent pKa. By considering that only a part of the dissolved CO2 is converted in H2CO3 and part remains as CO2(aq), the "true" pKa would be 3.58</t>
        </r>
      </text>
    </comment>
    <comment ref="E26" authorId="2" shapeId="0" xr:uid="{00000000-0006-0000-0B00-000011000000}">
      <text>
        <r>
          <rPr>
            <b/>
            <sz val="9"/>
            <color indexed="81"/>
            <rFont val="Tahoma"/>
            <family val="2"/>
          </rPr>
          <t>Gutz:</t>
        </r>
        <r>
          <rPr>
            <sz val="9"/>
            <color indexed="81"/>
            <rFont val="Tahoma"/>
            <family val="2"/>
          </rPr>
          <t xml:space="preserve">
</t>
        </r>
        <r>
          <rPr>
            <sz val="10"/>
            <color indexed="81"/>
            <rFont val="Tahoma"/>
            <family val="2"/>
          </rPr>
          <t>pKa values converted from I=0,1 mol/L to I=0 by using the Davies equation.</t>
        </r>
      </text>
    </comment>
    <comment ref="L26" authorId="2" shapeId="0" xr:uid="{00000000-0006-0000-0B00-000012000000}">
      <text>
        <r>
          <rPr>
            <b/>
            <sz val="9"/>
            <color indexed="81"/>
            <rFont val="Tahoma"/>
            <family val="2"/>
          </rPr>
          <t>Gutz:</t>
        </r>
        <r>
          <rPr>
            <sz val="9"/>
            <color indexed="81"/>
            <rFont val="Tahoma"/>
            <family val="2"/>
          </rPr>
          <t xml:space="preserve">
</t>
        </r>
        <r>
          <rPr>
            <sz val="10"/>
            <color indexed="81"/>
            <rFont val="Tahoma"/>
            <family val="2"/>
          </rPr>
          <t>pKa values converted from I=0,1 mol/L to I=0 by using the Davies equation.</t>
        </r>
      </text>
    </comment>
    <comment ref="E27" authorId="0" shapeId="0" xr:uid="{00000000-0006-0000-0B00-000013000000}">
      <text>
        <r>
          <rPr>
            <b/>
            <sz val="8"/>
            <color indexed="81"/>
            <rFont val="Tahoma"/>
            <family val="2"/>
          </rPr>
          <t>Gutz:</t>
        </r>
        <r>
          <rPr>
            <sz val="8"/>
            <color indexed="81"/>
            <rFont val="Tahoma"/>
            <family val="2"/>
          </rPr>
          <t xml:space="preserve">
</t>
        </r>
        <r>
          <rPr>
            <sz val="10"/>
            <color indexed="81"/>
            <rFont val="Tahoma"/>
            <family val="2"/>
          </rPr>
          <t>Very uncertain pKa value, but still so low that it does not impair that accuracy of calculations in the usual pH range.</t>
        </r>
      </text>
    </comment>
    <comment ref="L53" authorId="2" shapeId="0" xr:uid="{00000000-0006-0000-0B00-000014000000}">
      <text>
        <r>
          <rPr>
            <b/>
            <sz val="9"/>
            <color indexed="81"/>
            <rFont val="Tahoma"/>
            <family val="2"/>
          </rPr>
          <t>Gutz:</t>
        </r>
        <r>
          <rPr>
            <sz val="9"/>
            <color indexed="81"/>
            <rFont val="Tahoma"/>
            <family val="2"/>
          </rPr>
          <t xml:space="preserve">
</t>
        </r>
        <r>
          <rPr>
            <sz val="10"/>
            <color indexed="81"/>
            <rFont val="Tahoma"/>
            <family val="2"/>
          </rPr>
          <t>pKa values converted from I=0,1 mol/L to I=0 by using the Davies equation.</t>
        </r>
      </text>
    </comment>
    <comment ref="C62" authorId="0" shapeId="0" xr:uid="{00000000-0006-0000-0B00-000015000000}">
      <text>
        <r>
          <rPr>
            <b/>
            <sz val="9"/>
            <color indexed="81"/>
            <rFont val="Segoe UI"/>
            <family val="2"/>
          </rPr>
          <t>Gutz:</t>
        </r>
        <r>
          <rPr>
            <sz val="9"/>
            <color indexed="81"/>
            <rFont val="Segoe UI"/>
            <family val="2"/>
          </rPr>
          <t xml:space="preserve">
Dissolution of sodium tetraborate (Na2B4O7·10H2O or Na2[B4O5(OH)4]·8H2O, 381.38) in water results in 2H3BO3 + 2H2BO3-</t>
        </r>
      </text>
    </comment>
    <comment ref="C69" authorId="0" shapeId="0" xr:uid="{00000000-0006-0000-0B00-000016000000}">
      <text>
        <r>
          <rPr>
            <b/>
            <sz val="8"/>
            <color indexed="81"/>
            <rFont val="Tahoma"/>
            <family val="2"/>
          </rPr>
          <t>Gutz:</t>
        </r>
        <r>
          <rPr>
            <sz val="8"/>
            <color indexed="81"/>
            <rFont val="Tahoma"/>
            <family val="2"/>
          </rPr>
          <t xml:space="preserve">
</t>
        </r>
        <r>
          <rPr>
            <sz val="10"/>
            <color indexed="81"/>
            <rFont val="Tahoma"/>
            <family val="2"/>
          </rPr>
          <t>Aqueous solutions exposed to air or stored in (gas permeable) plastic flasks are always contaminated with CO</t>
        </r>
        <r>
          <rPr>
            <vertAlign val="subscript"/>
            <sz val="12"/>
            <color indexed="81"/>
            <rFont val="Tahoma"/>
            <family val="2"/>
          </rPr>
          <t>2</t>
        </r>
        <r>
          <rPr>
            <sz val="10"/>
            <color indexed="81"/>
            <rFont val="Tahoma"/>
            <family val="2"/>
          </rPr>
          <t>. Thus, it is advisable to include the carbonic acid system in simulations and regressions.
The pKa</t>
        </r>
        <r>
          <rPr>
            <vertAlign val="subscript"/>
            <sz val="12"/>
            <color indexed="81"/>
            <rFont val="Tahoma"/>
            <family val="2"/>
          </rPr>
          <t>1</t>
        </r>
        <r>
          <rPr>
            <sz val="10"/>
            <color indexed="81"/>
            <rFont val="Tahoma"/>
            <family val="2"/>
          </rPr>
          <t xml:space="preserve"> for H</t>
        </r>
        <r>
          <rPr>
            <vertAlign val="subscript"/>
            <sz val="12"/>
            <color indexed="81"/>
            <rFont val="Tahoma"/>
            <family val="2"/>
          </rPr>
          <t>2</t>
        </r>
        <r>
          <rPr>
            <sz val="10"/>
            <color indexed="81"/>
            <rFont val="Tahoma"/>
            <family val="2"/>
          </rPr>
          <t>CO</t>
        </r>
        <r>
          <rPr>
            <vertAlign val="subscript"/>
            <sz val="12"/>
            <color indexed="81"/>
            <rFont val="Tahoma"/>
            <family val="2"/>
          </rPr>
          <t>3</t>
        </r>
        <r>
          <rPr>
            <sz val="10"/>
            <color indexed="81"/>
            <rFont val="Tahoma"/>
            <family val="2"/>
          </rPr>
          <t xml:space="preserve"> is apparent. By considering the fraction of dissolved CO</t>
        </r>
        <r>
          <rPr>
            <vertAlign val="subscript"/>
            <sz val="12"/>
            <color indexed="81"/>
            <rFont val="Tahoma"/>
            <family val="2"/>
          </rPr>
          <t>2</t>
        </r>
        <r>
          <rPr>
            <sz val="10"/>
            <color indexed="81"/>
            <rFont val="Tahoma"/>
            <family val="2"/>
          </rPr>
          <t xml:space="preserve">  converted in H</t>
        </r>
        <r>
          <rPr>
            <vertAlign val="subscript"/>
            <sz val="12"/>
            <color indexed="81"/>
            <rFont val="Tahoma"/>
            <family val="2"/>
          </rPr>
          <t>2</t>
        </r>
        <r>
          <rPr>
            <sz val="10"/>
            <color indexed="81"/>
            <rFont val="Tahoma"/>
            <family val="2"/>
          </rPr>
          <t>CO</t>
        </r>
        <r>
          <rPr>
            <vertAlign val="subscript"/>
            <sz val="12"/>
            <color indexed="81"/>
            <rFont val="Tahoma"/>
            <family val="2"/>
          </rPr>
          <t>3</t>
        </r>
        <r>
          <rPr>
            <sz val="10"/>
            <color indexed="81"/>
            <rFont val="Tahoma"/>
            <family val="2"/>
          </rPr>
          <t xml:space="preserve"> (most of it remains as CO</t>
        </r>
        <r>
          <rPr>
            <vertAlign val="subscript"/>
            <sz val="12"/>
            <color indexed="81"/>
            <rFont val="Tahoma"/>
            <family val="2"/>
          </rPr>
          <t>2</t>
        </r>
        <r>
          <rPr>
            <sz val="10"/>
            <color indexed="81"/>
            <rFont val="Tahoma"/>
            <family val="2"/>
          </rPr>
          <t>(aq)) a "true" pKa of 3.58 is found.</t>
        </r>
      </text>
    </comment>
    <comment ref="E69" authorId="0" shapeId="0" xr:uid="{00000000-0006-0000-0B00-000017000000}">
      <text>
        <r>
          <rPr>
            <b/>
            <sz val="8"/>
            <color indexed="81"/>
            <rFont val="Tahoma"/>
            <family val="2"/>
          </rPr>
          <t>Gutz:</t>
        </r>
        <r>
          <rPr>
            <sz val="8"/>
            <color indexed="81"/>
            <rFont val="Tahoma"/>
            <family val="2"/>
          </rPr>
          <t xml:space="preserve">
</t>
        </r>
        <r>
          <rPr>
            <sz val="10"/>
            <color indexed="81"/>
            <rFont val="Tahoma"/>
            <family val="2"/>
          </rPr>
          <t>This is the aparent pKa. By considering that only a part of the dissolved CO2 is converted in H2CO3 and part remains as CO2(aq), the "true" pKa would be 3.58</t>
        </r>
      </text>
    </comment>
    <comment ref="L89" authorId="2" shapeId="0" xr:uid="{00000000-0006-0000-0B00-000018000000}">
      <text>
        <r>
          <rPr>
            <b/>
            <sz val="9"/>
            <color indexed="81"/>
            <rFont val="Tahoma"/>
            <family val="2"/>
          </rPr>
          <t>Gutz:</t>
        </r>
        <r>
          <rPr>
            <sz val="9"/>
            <color indexed="81"/>
            <rFont val="Tahoma"/>
            <family val="2"/>
          </rPr>
          <t xml:space="preserve">
</t>
        </r>
        <r>
          <rPr>
            <sz val="10"/>
            <color indexed="81"/>
            <rFont val="Tahoma"/>
            <family val="2"/>
          </rPr>
          <t>pKa values converted from I=0,1 mol/L to I=0 by using the Davies equation.</t>
        </r>
      </text>
    </comment>
    <comment ref="E114" authorId="2" shapeId="0" xr:uid="{00000000-0006-0000-0B00-000019000000}">
      <text>
        <r>
          <rPr>
            <b/>
            <sz val="9"/>
            <color indexed="81"/>
            <rFont val="Tahoma"/>
            <family val="2"/>
          </rPr>
          <t>Gutz:</t>
        </r>
        <r>
          <rPr>
            <sz val="9"/>
            <color indexed="81"/>
            <rFont val="Tahoma"/>
            <family val="2"/>
          </rPr>
          <t xml:space="preserve">
</t>
        </r>
        <r>
          <rPr>
            <sz val="10"/>
            <color indexed="81"/>
            <rFont val="Tahoma"/>
            <family val="2"/>
          </rPr>
          <t>pKa values converted from I=0,1 mol/L to I=0 by using the Davies equation.</t>
        </r>
      </text>
    </comment>
    <comment ref="L114" authorId="2" shapeId="0" xr:uid="{00000000-0006-0000-0B00-00001A000000}">
      <text>
        <r>
          <rPr>
            <b/>
            <sz val="9"/>
            <color indexed="81"/>
            <rFont val="Tahoma"/>
            <family val="2"/>
          </rPr>
          <t>Gutz:</t>
        </r>
        <r>
          <rPr>
            <sz val="9"/>
            <color indexed="81"/>
            <rFont val="Tahoma"/>
            <family val="2"/>
          </rPr>
          <t xml:space="preserve">
</t>
        </r>
        <r>
          <rPr>
            <sz val="10"/>
            <color indexed="81"/>
            <rFont val="Tahoma"/>
            <family val="2"/>
          </rPr>
          <t>pKa values converted from I=0,1 mol/L to I=0 by using the Davies equation.</t>
        </r>
      </text>
    </comment>
    <comment ref="L134" authorId="2" shapeId="0" xr:uid="{00000000-0006-0000-0B00-00001B000000}">
      <text>
        <r>
          <rPr>
            <b/>
            <sz val="9"/>
            <color indexed="81"/>
            <rFont val="Tahoma"/>
            <family val="2"/>
          </rPr>
          <t>Gutz:</t>
        </r>
        <r>
          <rPr>
            <sz val="9"/>
            <color indexed="81"/>
            <rFont val="Tahoma"/>
            <family val="2"/>
          </rPr>
          <t xml:space="preserve">
</t>
        </r>
        <r>
          <rPr>
            <sz val="10"/>
            <color indexed="81"/>
            <rFont val="Tahoma"/>
            <family val="2"/>
          </rPr>
          <t>pKa values converted from I=0,1 mol/L to I=0 by using the Davies equation.</t>
        </r>
      </text>
    </comment>
    <comment ref="E137" authorId="0" shapeId="0" xr:uid="{00000000-0006-0000-0B00-00001C000000}">
      <text>
        <r>
          <rPr>
            <b/>
            <sz val="8"/>
            <color indexed="81"/>
            <rFont val="Tahoma"/>
            <family val="2"/>
          </rPr>
          <t>Gutz:</t>
        </r>
        <r>
          <rPr>
            <sz val="8"/>
            <color indexed="81"/>
            <rFont val="Tahoma"/>
            <family val="2"/>
          </rPr>
          <t xml:space="preserve">
</t>
        </r>
        <r>
          <rPr>
            <sz val="10"/>
            <color indexed="81"/>
            <rFont val="Tahoma"/>
            <family val="2"/>
          </rPr>
          <t>Very uncertain pKa value, but still so low that it does not impair that accuracy of calculations in the usual pH range.</t>
        </r>
      </text>
    </comment>
    <comment ref="E138" authorId="0" shapeId="0" xr:uid="{00000000-0006-0000-0B00-00001D000000}">
      <text>
        <r>
          <rPr>
            <b/>
            <sz val="8"/>
            <color indexed="81"/>
            <rFont val="Tahoma"/>
            <family val="2"/>
          </rPr>
          <t>Gutz:</t>
        </r>
        <r>
          <rPr>
            <sz val="8"/>
            <color indexed="81"/>
            <rFont val="Tahoma"/>
            <family val="2"/>
          </rPr>
          <t xml:space="preserve">
</t>
        </r>
        <r>
          <rPr>
            <sz val="10"/>
            <color indexed="81"/>
            <rFont val="Tahoma"/>
            <family val="2"/>
          </rPr>
          <t>Very uncertain pKa value, but still so low that it does not impair that accuracy of calculations in the usual pH range.</t>
        </r>
      </text>
    </comment>
    <comment ref="L162" authorId="2" shapeId="0" xr:uid="{00000000-0006-0000-0B00-00001E000000}">
      <text>
        <r>
          <rPr>
            <b/>
            <sz val="9"/>
            <color indexed="81"/>
            <rFont val="Tahoma"/>
            <family val="2"/>
          </rPr>
          <t>Gutz:</t>
        </r>
        <r>
          <rPr>
            <sz val="9"/>
            <color indexed="81"/>
            <rFont val="Tahoma"/>
            <family val="2"/>
          </rPr>
          <t xml:space="preserve">
</t>
        </r>
        <r>
          <rPr>
            <sz val="10"/>
            <color indexed="81"/>
            <rFont val="Tahoma"/>
            <family val="2"/>
          </rPr>
          <t>pKa values converted from I=0,1 mol/L to I=0 by using the Davies equation.</t>
        </r>
      </text>
    </comment>
    <comment ref="E209" authorId="0" shapeId="0" xr:uid="{00000000-0006-0000-0B00-00001F000000}">
      <text>
        <r>
          <rPr>
            <b/>
            <sz val="8"/>
            <color indexed="81"/>
            <rFont val="Tahoma"/>
            <family val="2"/>
          </rPr>
          <t>Gutz:</t>
        </r>
        <r>
          <rPr>
            <sz val="8"/>
            <color indexed="81"/>
            <rFont val="Tahoma"/>
            <family val="2"/>
          </rPr>
          <t xml:space="preserve">
</t>
        </r>
        <r>
          <rPr>
            <sz val="10"/>
            <color indexed="81"/>
            <rFont val="Tahoma"/>
            <family val="2"/>
          </rPr>
          <t>Very uncertain pKa value, but still so low that it does not impair that accuracy of calculations in the usual pH range.</t>
        </r>
      </text>
    </comment>
    <comment ref="C254" authorId="0" shapeId="0" xr:uid="{00000000-0006-0000-0B00-000020000000}">
      <text>
        <r>
          <rPr>
            <b/>
            <sz val="9"/>
            <color indexed="81"/>
            <rFont val="Segoe UI"/>
            <family val="2"/>
          </rPr>
          <t>Gutz:</t>
        </r>
        <r>
          <rPr>
            <sz val="9"/>
            <color indexed="81"/>
            <rFont val="Segoe UI"/>
            <family val="2"/>
          </rPr>
          <t xml:space="preserve">
https://doi.org/10.1039/DT9770000509</t>
        </r>
      </text>
    </comment>
    <comment ref="L267" authorId="2" shapeId="0" xr:uid="{00000000-0006-0000-0B00-000021000000}">
      <text>
        <r>
          <rPr>
            <b/>
            <sz val="9"/>
            <color indexed="81"/>
            <rFont val="Tahoma"/>
            <family val="2"/>
          </rPr>
          <t>Gutz:</t>
        </r>
        <r>
          <rPr>
            <sz val="9"/>
            <color indexed="81"/>
            <rFont val="Tahoma"/>
            <family val="2"/>
          </rPr>
          <t xml:space="preserve">
</t>
        </r>
        <r>
          <rPr>
            <sz val="10"/>
            <color indexed="81"/>
            <rFont val="Tahoma"/>
            <family val="2"/>
          </rPr>
          <t>pKa values converted from I=0,1 mol/L to I=0 by using the Davies equation.</t>
        </r>
      </text>
    </comment>
    <comment ref="L273" authorId="2" shapeId="0" xr:uid="{00000000-0006-0000-0B00-000022000000}">
      <text>
        <r>
          <rPr>
            <b/>
            <sz val="9"/>
            <color indexed="81"/>
            <rFont val="Tahoma"/>
            <family val="2"/>
          </rPr>
          <t>Gutz:</t>
        </r>
        <r>
          <rPr>
            <sz val="9"/>
            <color indexed="81"/>
            <rFont val="Tahoma"/>
            <family val="2"/>
          </rPr>
          <t xml:space="preserve">
</t>
        </r>
        <r>
          <rPr>
            <sz val="10"/>
            <color indexed="81"/>
            <rFont val="Tahoma"/>
            <family val="2"/>
          </rPr>
          <t>pKa values converted from I=0,1 mol/L to I=0 by using the Davies equation.</t>
        </r>
      </text>
    </comment>
    <comment ref="D279" authorId="1" shapeId="0" xr:uid="{00000000-0006-0000-0B00-000023000000}">
      <text>
        <r>
          <rPr>
            <b/>
            <sz val="8"/>
            <color indexed="81"/>
            <rFont val="Tahoma"/>
            <family val="2"/>
          </rPr>
          <t>Gutz</t>
        </r>
        <r>
          <rPr>
            <sz val="8"/>
            <color indexed="81"/>
            <rFont val="Tahoma"/>
            <family val="2"/>
          </rPr>
          <t xml:space="preserve">
</t>
        </r>
        <r>
          <rPr>
            <sz val="10"/>
            <color indexed="81"/>
            <rFont val="Tahoma"/>
            <family val="2"/>
          </rPr>
          <t>More examples of indicators:
http://en.wikipedia.org/wiki/PH_indicator
http://antoine.frostburg.edu/chem/senese/101/acidbase/indicators.shtml</t>
        </r>
      </text>
    </comment>
    <comment ref="W279" authorId="2" shapeId="0" xr:uid="{00000000-0006-0000-0B00-000024000000}">
      <text>
        <r>
          <rPr>
            <b/>
            <sz val="9"/>
            <color indexed="81"/>
            <rFont val="Tahoma"/>
            <family val="2"/>
          </rPr>
          <t>Gutz:</t>
        </r>
        <r>
          <rPr>
            <sz val="9"/>
            <color indexed="81"/>
            <rFont val="Tahoma"/>
            <family val="2"/>
          </rPr>
          <t xml:space="preserve">
</t>
        </r>
        <r>
          <rPr>
            <sz val="10"/>
            <color indexed="81"/>
            <rFont val="Tahoma"/>
            <family val="2"/>
          </rPr>
          <t>Some more colors to experiment, by replacing numbers in columns P, Q or R. 
Color number = R*G*B</t>
        </r>
      </text>
    </comment>
    <comment ref="E287" authorId="1" shapeId="0" xr:uid="{00000000-0006-0000-0B00-000025000000}">
      <text>
        <r>
          <rPr>
            <b/>
            <sz val="8"/>
            <color indexed="81"/>
            <rFont val="Tahoma"/>
            <family val="2"/>
          </rPr>
          <t>Gutz:</t>
        </r>
        <r>
          <rPr>
            <sz val="8"/>
            <color indexed="81"/>
            <rFont val="Tahoma"/>
            <family val="2"/>
          </rPr>
          <t xml:space="preserve">
</t>
        </r>
        <r>
          <rPr>
            <sz val="10"/>
            <color indexed="81"/>
            <rFont val="Tahoma"/>
            <family val="2"/>
          </rPr>
          <t>K1 =1,5 10-10; K2=2,82 10-10 
L. Rosenstein: J. Am. Chem. Soc., 34, 1117 (1912). (structure of the dianion appears in Wikipedia)</t>
        </r>
      </text>
    </comment>
    <comment ref="C302" authorId="1" shapeId="0" xr:uid="{00000000-0006-0000-0B00-000026000000}">
      <text>
        <r>
          <rPr>
            <b/>
            <sz val="8"/>
            <color indexed="81"/>
            <rFont val="Tahoma"/>
            <family val="2"/>
          </rPr>
          <t>Gutz:</t>
        </r>
        <r>
          <rPr>
            <sz val="8"/>
            <color indexed="81"/>
            <rFont val="Tahoma"/>
            <family val="2"/>
          </rPr>
          <t xml:space="preserve">
</t>
        </r>
        <r>
          <rPr>
            <sz val="10"/>
            <color indexed="81"/>
            <rFont val="Tahoma"/>
            <family val="2"/>
          </rPr>
          <t>The author can provide a copy with more lines, loadable in the other modules.</t>
        </r>
      </text>
    </comment>
  </commentList>
</comments>
</file>

<file path=xl/sharedStrings.xml><?xml version="1.0" encoding="utf-8"?>
<sst xmlns="http://schemas.openxmlformats.org/spreadsheetml/2006/main" count="1850" uniqueCount="1177">
  <si>
    <r>
      <t xml:space="preserve"> pKa</t>
    </r>
    <r>
      <rPr>
        <sz val="11"/>
        <rFont val="Arial"/>
        <family val="2"/>
      </rPr>
      <t>s</t>
    </r>
    <r>
      <rPr>
        <sz val="11"/>
        <color indexed="10"/>
        <rFont val="Arial"/>
        <family val="2"/>
      </rPr>
      <t xml:space="preserve"> </t>
    </r>
    <r>
      <rPr>
        <b/>
        <sz val="11"/>
        <rFont val="Arial"/>
        <family val="2"/>
      </rPr>
      <t>of the acids and bases in the solution</t>
    </r>
  </si>
  <si>
    <r>
      <t xml:space="preserve">          Overall protonation constants = </t>
    </r>
    <r>
      <rPr>
        <b/>
        <sz val="11"/>
        <rFont val="Symbol"/>
        <family val="1"/>
        <charset val="2"/>
      </rPr>
      <t>b</t>
    </r>
    <r>
      <rPr>
        <b/>
        <sz val="11"/>
        <rFont val="Arial"/>
        <family val="2"/>
      </rPr>
      <t xml:space="preserve">p = </t>
    </r>
    <r>
      <rPr>
        <b/>
        <sz val="11"/>
        <rFont val="Symbol"/>
        <family val="1"/>
        <charset val="2"/>
      </rPr>
      <t>P</t>
    </r>
    <r>
      <rPr>
        <b/>
        <sz val="11"/>
        <rFont val="Arial"/>
        <family val="2"/>
      </rPr>
      <t xml:space="preserve">Kp </t>
    </r>
    <r>
      <rPr>
        <sz val="11"/>
        <rFont val="Arial"/>
        <family val="2"/>
      </rPr>
      <t>(calculated by the program)</t>
    </r>
  </si>
  <si>
    <t>How to change the axis of a curve</t>
  </si>
  <si>
    <t>Data ID on curves</t>
  </si>
  <si>
    <t>How to copy/paste a curve</t>
  </si>
  <si>
    <t xml:space="preserve">       Source of data to plot/overlay</t>
  </si>
  <si>
    <t>Simulation</t>
  </si>
  <si>
    <t>Simulation with dispersion (random errors)</t>
  </si>
  <si>
    <t>Evaluation</t>
  </si>
  <si>
    <t>Evaluation with smoothing/interpolation</t>
  </si>
  <si>
    <t>Regression raw data</t>
  </si>
  <si>
    <t>Regression fitted curve</t>
  </si>
  <si>
    <t xml:space="preserve">Titration curves and first derivatives overlay </t>
  </si>
  <si>
    <r>
      <t>Dr. Ivano Gebhardt Rolf Gutz</t>
    </r>
    <r>
      <rPr>
        <sz val="12"/>
        <rFont val="Arial"/>
        <family val="2"/>
      </rPr>
      <t xml:space="preserve"> -  Full Professor (since 1992)</t>
    </r>
  </si>
  <si>
    <t>Instituto de Química - Universidade de São Paulo, São Paulo, SP, Brazil</t>
  </si>
  <si>
    <t>Honored with the National Order of Scientific Merit, Brazil, 2007</t>
  </si>
  <si>
    <t xml:space="preserve">  Results at chemical equilibrium</t>
  </si>
  <si>
    <t>Acid / Base protonation</t>
  </si>
  <si>
    <r>
      <t xml:space="preserve"> Equilibrium concentration of species</t>
    </r>
    <r>
      <rPr>
        <sz val="11"/>
        <rFont val="Arial"/>
        <family val="2"/>
      </rPr>
      <t>, in mol/L</t>
    </r>
  </si>
  <si>
    <r>
      <t xml:space="preserve"> Species distribution </t>
    </r>
    <r>
      <rPr>
        <sz val="11"/>
        <rFont val="Arial"/>
        <family val="2"/>
      </rPr>
      <t>(fractional composition, in %)</t>
    </r>
  </si>
  <si>
    <r>
      <t xml:space="preserve"> Activity coefficient </t>
    </r>
    <r>
      <rPr>
        <sz val="11"/>
        <rFont val="Arial"/>
        <family val="2"/>
      </rPr>
      <t>(</t>
    </r>
    <r>
      <rPr>
        <sz val="11"/>
        <rFont val="Symbol"/>
        <family val="1"/>
        <charset val="2"/>
      </rPr>
      <t>g</t>
    </r>
    <r>
      <rPr>
        <sz val="11"/>
        <rFont val="Arial"/>
        <family val="2"/>
      </rPr>
      <t>)</t>
    </r>
    <r>
      <rPr>
        <b/>
        <sz val="11"/>
        <rFont val="Arial"/>
        <family val="2"/>
      </rPr>
      <t xml:space="preserve"> of species</t>
    </r>
  </si>
  <si>
    <t>Acid / Base  protonation</t>
  </si>
  <si>
    <t xml:space="preserve">                Database of dissociation constants of acids / protonation constants of bases</t>
  </si>
  <si>
    <t>Dissociation constants of organic compounds (~600 compounds)</t>
  </si>
  <si>
    <t>Temperature dependence of potassium hydrogen phtalate 0.05 mol/kg buffer</t>
  </si>
  <si>
    <t>Charge, fully</t>
  </si>
  <si>
    <t>Ionic</t>
  </si>
  <si>
    <t>deprotonated</t>
  </si>
  <si>
    <t>strength</t>
  </si>
  <si>
    <t xml:space="preserve">F R E Q U E N T L Y    U S E D </t>
  </si>
  <si>
    <t xml:space="preserve">A L P H A B E T I C   O R D E R </t>
  </si>
  <si>
    <t xml:space="preserve">   Insert new lines anywere to add more systems; renumber column B</t>
  </si>
  <si>
    <t>Find more values in the references and links</t>
  </si>
  <si>
    <t>CHtot =</t>
  </si>
  <si>
    <t>"pH"</t>
  </si>
  <si>
    <t xml:space="preserve">C6H6O3S </t>
  </si>
  <si>
    <t xml:space="preserve">Benzenesulfonic acid </t>
  </si>
  <si>
    <t xml:space="preserve">C6H7N </t>
  </si>
  <si>
    <t xml:space="preserve">2-Methylpyridine </t>
  </si>
  <si>
    <t xml:space="preserve">3-Methylpyridine </t>
  </si>
  <si>
    <t xml:space="preserve">4-Methylpyridine </t>
  </si>
  <si>
    <t xml:space="preserve">C6H8O6 </t>
  </si>
  <si>
    <t xml:space="preserve">Ascorbic acid </t>
  </si>
  <si>
    <t xml:space="preserve">C6H8O7 </t>
  </si>
  <si>
    <t xml:space="preserve">Isocitric acid </t>
  </si>
  <si>
    <t xml:space="preserve">C6H9N3O2 </t>
  </si>
  <si>
    <t xml:space="preserve">C6H10O4 </t>
  </si>
  <si>
    <t xml:space="preserve">Adipic acid </t>
  </si>
  <si>
    <t xml:space="preserve">C6H12O2 </t>
  </si>
  <si>
    <t xml:space="preserve">Hexanoic acid </t>
  </si>
  <si>
    <t xml:space="preserve">4-Methylpentanoic acid </t>
  </si>
  <si>
    <t xml:space="preserve">C6H13N </t>
  </si>
  <si>
    <t xml:space="preserve">1-Methylpiperidine </t>
  </si>
  <si>
    <t xml:space="preserve">C6H13NO2 </t>
  </si>
  <si>
    <t xml:space="preserve">6-Aminohexanoic acid </t>
  </si>
  <si>
    <t xml:space="preserve">C6H14N2O2 </t>
  </si>
  <si>
    <t xml:space="preserve">Lysine </t>
  </si>
  <si>
    <t xml:space="preserve">C6H14N4O2 </t>
  </si>
  <si>
    <t xml:space="preserve">C6H15N </t>
  </si>
  <si>
    <t xml:space="preserve">Diisopropylamine </t>
  </si>
  <si>
    <t xml:space="preserve">Hexylamine </t>
  </si>
  <si>
    <t xml:space="preserve">C6H16N2 </t>
  </si>
  <si>
    <t xml:space="preserve">Hexamethylenediamine </t>
  </si>
  <si>
    <t xml:space="preserve">C7H5CIO2 </t>
  </si>
  <si>
    <t xml:space="preserve">2-Chlorobenzoic acid </t>
  </si>
  <si>
    <t xml:space="preserve">3-Chlorobenzoic acid </t>
  </si>
  <si>
    <t xml:space="preserve">4-Chlorobenzoic acid </t>
  </si>
  <si>
    <t xml:space="preserve">C7H5NO3S </t>
  </si>
  <si>
    <t xml:space="preserve">Saccharin </t>
  </si>
  <si>
    <t xml:space="preserve">C7H5NO4 </t>
  </si>
  <si>
    <t xml:space="preserve">Dinicotinic acid </t>
  </si>
  <si>
    <t xml:space="preserve">Dipicolinic acid </t>
  </si>
  <si>
    <t xml:space="preserve">4-Nitrobenzoic acid </t>
  </si>
  <si>
    <t xml:space="preserve">C7H6O2 </t>
  </si>
  <si>
    <t xml:space="preserve">Benzoic acid </t>
  </si>
  <si>
    <t xml:space="preserve">C7H6O3 </t>
  </si>
  <si>
    <t xml:space="preserve">m-Hydroxybenzoic acid </t>
  </si>
  <si>
    <t xml:space="preserve">p-Hydroxybenzoic acid </t>
  </si>
  <si>
    <t xml:space="preserve">C7H7NO2 </t>
  </si>
  <si>
    <t xml:space="preserve">2-Aminobenzoic acid </t>
  </si>
  <si>
    <t xml:space="preserve">4-Animobenzoic acid </t>
  </si>
  <si>
    <t xml:space="preserve">C7H8O </t>
  </si>
  <si>
    <t xml:space="preserve">m-Cresol </t>
  </si>
  <si>
    <t xml:space="preserve">p-Cresol </t>
  </si>
  <si>
    <t xml:space="preserve">C7H9N </t>
  </si>
  <si>
    <t xml:space="preserve">Benzylamine </t>
  </si>
  <si>
    <t xml:space="preserve">2-Ethylpyridine </t>
  </si>
  <si>
    <t xml:space="preserve">C7H12O4 </t>
  </si>
  <si>
    <t xml:space="preserve">Heptanedioic acid </t>
  </si>
  <si>
    <t xml:space="preserve">C7H14O2 </t>
  </si>
  <si>
    <t xml:space="preserve">Heptanoic acid </t>
  </si>
  <si>
    <t xml:space="preserve">C7H17N </t>
  </si>
  <si>
    <t xml:space="preserve">Heptylamine </t>
  </si>
  <si>
    <t xml:space="preserve">C8H6O4 </t>
  </si>
  <si>
    <t xml:space="preserve">m-Phthalic acid </t>
  </si>
  <si>
    <t xml:space="preserve">p-Phthalic acid </t>
  </si>
  <si>
    <t xml:space="preserve">Terephthalic acid </t>
  </si>
  <si>
    <t xml:space="preserve">C8H8N2 </t>
  </si>
  <si>
    <t xml:space="preserve">2-Methylbenzimidazole </t>
  </si>
  <si>
    <t xml:space="preserve">C8H8O2 </t>
  </si>
  <si>
    <t xml:space="preserve">Phenylacetic acid </t>
  </si>
  <si>
    <t xml:space="preserve">o-Toluic acid </t>
  </si>
  <si>
    <t xml:space="preserve">m-Toluic acid </t>
  </si>
  <si>
    <t xml:space="preserve">p-Toluic acid </t>
  </si>
  <si>
    <t xml:space="preserve">C8H9NO2 </t>
  </si>
  <si>
    <t xml:space="preserve">Phenylglycine </t>
  </si>
  <si>
    <t xml:space="preserve">C8H11N </t>
  </si>
  <si>
    <t xml:space="preserve">Phenylethylamine </t>
  </si>
  <si>
    <t xml:space="preserve">C8H11NO </t>
  </si>
  <si>
    <t xml:space="preserve">o-Phenetidine </t>
  </si>
  <si>
    <t xml:space="preserve">m-Phenetidine </t>
  </si>
  <si>
    <t xml:space="preserve">p-Phenetidine </t>
  </si>
  <si>
    <t xml:space="preserve">Tyramine </t>
  </si>
  <si>
    <t xml:space="preserve">C8H11NO2 </t>
  </si>
  <si>
    <t xml:space="preserve">Dopamine </t>
  </si>
  <si>
    <t xml:space="preserve">C8H11NO3 </t>
  </si>
  <si>
    <t xml:space="preserve">Noradrenaline </t>
  </si>
  <si>
    <t xml:space="preserve">C8H12N2O3 </t>
  </si>
  <si>
    <t xml:space="preserve">C8H14O4 </t>
  </si>
  <si>
    <t xml:space="preserve">Octanedioic acid </t>
  </si>
  <si>
    <t xml:space="preserve">C8H16O2 </t>
  </si>
  <si>
    <t xml:space="preserve">Octanoic acid </t>
  </si>
  <si>
    <t xml:space="preserve">C9H7N </t>
  </si>
  <si>
    <t xml:space="preserve">Quinoline </t>
  </si>
  <si>
    <t>Martell, A. E., Smith, R. M., Critical Stability Constants, Vol. 1–4. Plenum Press: New York, 1976.</t>
  </si>
  <si>
    <t>Phosphoric acid</t>
  </si>
  <si>
    <t>Sulfurous acid</t>
  </si>
  <si>
    <t>Acetic acid</t>
  </si>
  <si>
    <t>Ammonia</t>
  </si>
  <si>
    <t>Perrin, D. D., Dissociation Constants of Organic Bases in Aqueous Solution, Butterworths, London, 1965; Supplement, 1972.</t>
  </si>
  <si>
    <t>Serjeant, E. P., and Dempsey, B., Ionization Constants of Organic Acids in Aqueous Solution, Pergamon, Oxford, 1979.</t>
  </si>
  <si>
    <t xml:space="preserve">Albert, A., "Ionization Constants of Heterocyclic Substances", in Physical Methods in Heterocyclic Chemistry, Katritzky, A. R., Ed., Academic Press, New York, 1963. </t>
  </si>
  <si>
    <t>Perrin, D. D., Dempsey, B., and Serjeant, E. P., pKa Prediction for Organic Acids and Bases, Chapman &amp; Hall, London, 1981.</t>
  </si>
  <si>
    <t>Dawson, R. M. C., Elliot, D. C., Elliot, W. H., and Jones, K. M., Data for Biochemical Research, Oxford Science Publications, Oxford, 1986.</t>
  </si>
  <si>
    <t>Citric acid</t>
  </si>
  <si>
    <t>Temperat.</t>
  </si>
  <si>
    <r>
      <t>pKa</t>
    </r>
    <r>
      <rPr>
        <vertAlign val="subscript"/>
        <sz val="10"/>
        <rFont val="Arial"/>
        <family val="2"/>
      </rPr>
      <t>1</t>
    </r>
  </si>
  <si>
    <r>
      <t>pKa</t>
    </r>
    <r>
      <rPr>
        <vertAlign val="subscript"/>
        <sz val="10"/>
        <rFont val="Arial"/>
        <family val="2"/>
      </rPr>
      <t>2</t>
    </r>
  </si>
  <si>
    <r>
      <t>pKa</t>
    </r>
    <r>
      <rPr>
        <vertAlign val="subscript"/>
        <sz val="10"/>
        <rFont val="Arial"/>
        <family val="2"/>
      </rPr>
      <t>3</t>
    </r>
  </si>
  <si>
    <r>
      <t>pKa</t>
    </r>
    <r>
      <rPr>
        <vertAlign val="subscript"/>
        <sz val="10"/>
        <rFont val="Arial"/>
        <family val="2"/>
      </rPr>
      <t>4</t>
    </r>
  </si>
  <si>
    <r>
      <t>pKa</t>
    </r>
    <r>
      <rPr>
        <vertAlign val="subscript"/>
        <sz val="10"/>
        <rFont val="Arial"/>
        <family val="2"/>
      </rPr>
      <t>5</t>
    </r>
  </si>
  <si>
    <r>
      <t>pKa</t>
    </r>
    <r>
      <rPr>
        <vertAlign val="subscript"/>
        <sz val="10"/>
        <rFont val="Arial"/>
        <family val="2"/>
      </rPr>
      <t>6</t>
    </r>
  </si>
  <si>
    <t>ºC</t>
  </si>
  <si>
    <t>g/mol</t>
  </si>
  <si>
    <t>C10H16N2O8</t>
  </si>
  <si>
    <t>H3PO4</t>
  </si>
  <si>
    <t>CH3COOH</t>
  </si>
  <si>
    <t xml:space="preserve">Alanine </t>
  </si>
  <si>
    <t>C3H7NO2</t>
  </si>
  <si>
    <t>2-Aminophenol</t>
  </si>
  <si>
    <t>C6H7NO</t>
  </si>
  <si>
    <r>
      <t>b</t>
    </r>
    <r>
      <rPr>
        <sz val="10"/>
        <rFont val="Arial"/>
        <family val="2"/>
      </rPr>
      <t xml:space="preserve">-Alanine </t>
    </r>
  </si>
  <si>
    <t>Arginine</t>
  </si>
  <si>
    <t xml:space="preserve">Arsenic acid </t>
  </si>
  <si>
    <t>Arsenous acid</t>
  </si>
  <si>
    <t>Asparagine</t>
  </si>
  <si>
    <t>Barbital</t>
  </si>
  <si>
    <t xml:space="preserve">Boric acid </t>
  </si>
  <si>
    <t>H3BO3</t>
  </si>
  <si>
    <t>Carbonic acid</t>
  </si>
  <si>
    <t>Catechol</t>
  </si>
  <si>
    <t>C6H4(OH)2</t>
  </si>
  <si>
    <t>Chloroacetic acid</t>
  </si>
  <si>
    <t>ClCH2COOH</t>
  </si>
  <si>
    <t>Chromic acid</t>
  </si>
  <si>
    <t>H2CrO4</t>
  </si>
  <si>
    <t xml:space="preserve">O-Cresol </t>
  </si>
  <si>
    <t>Cupferron</t>
  </si>
  <si>
    <t>C6H6N2O</t>
  </si>
  <si>
    <t>Cyanic acid</t>
  </si>
  <si>
    <t>Dichloroacetic acid</t>
  </si>
  <si>
    <t>Cl2CHCOOH</t>
  </si>
  <si>
    <t>Diethylamine</t>
  </si>
  <si>
    <t>(CH3CH2)2NH</t>
  </si>
  <si>
    <t>Dimethylamine</t>
  </si>
  <si>
    <t>(CH3)2NH</t>
  </si>
  <si>
    <t>C4H12O2N2</t>
  </si>
  <si>
    <t>Ethylamine</t>
  </si>
  <si>
    <t>CH3CH2NH2</t>
  </si>
  <si>
    <t>Ethylenediamine</t>
  </si>
  <si>
    <t>H2NCH2CH2NH2</t>
  </si>
  <si>
    <t>Ethylenediaminetetraacetic acid (EDTA)</t>
  </si>
  <si>
    <t>HCOOH</t>
  </si>
  <si>
    <t>Fumaric acid</t>
  </si>
  <si>
    <t xml:space="preserve">L-Glutathione </t>
  </si>
  <si>
    <t>Glycine</t>
  </si>
  <si>
    <t>H2NCH2COOH</t>
  </si>
  <si>
    <t>Glycolic acid</t>
  </si>
  <si>
    <t>HOCH2COOH</t>
  </si>
  <si>
    <t>Glyoxylic acid</t>
  </si>
  <si>
    <t>Histidine</t>
  </si>
  <si>
    <t>Hydrogen bromide</t>
  </si>
  <si>
    <t>Hydrogen chloride</t>
  </si>
  <si>
    <t xml:space="preserve">Hydrogen chromate ion </t>
  </si>
  <si>
    <t>Hydrogen cyanide</t>
  </si>
  <si>
    <t>Hydrogen fluoride</t>
  </si>
  <si>
    <t>H2O2</t>
  </si>
  <si>
    <t>H2S</t>
  </si>
  <si>
    <t xml:space="preserve">Hydrogen thiocyanate </t>
  </si>
  <si>
    <t>HSCN</t>
  </si>
  <si>
    <t>Hydroxylamine</t>
  </si>
  <si>
    <t>NH2OH</t>
  </si>
  <si>
    <t>8-Hydroxyquinoline</t>
  </si>
  <si>
    <t>HOBr</t>
  </si>
  <si>
    <t>HOCl</t>
  </si>
  <si>
    <t>HOI</t>
  </si>
  <si>
    <t xml:space="preserve">Imidazole </t>
  </si>
  <si>
    <t>Iodic acid</t>
  </si>
  <si>
    <t>HIO3</t>
  </si>
  <si>
    <t>Isoleucine</t>
  </si>
  <si>
    <t>Lactic acid</t>
  </si>
  <si>
    <t xml:space="preserve">l-Leucine </t>
  </si>
  <si>
    <t>Malonic acid</t>
  </si>
  <si>
    <t>HOOCCH2COOH</t>
  </si>
  <si>
    <t xml:space="preserve">Methylmalonic acid </t>
  </si>
  <si>
    <t>Nitrilotriacetic acid</t>
  </si>
  <si>
    <t>2-Nitrobenzoic acid</t>
  </si>
  <si>
    <t>2-Nitrophenol</t>
  </si>
  <si>
    <t>3-Nitrophenol</t>
  </si>
  <si>
    <t>3-Nitrobenzoic acid</t>
  </si>
  <si>
    <t>Nitrous acid</t>
  </si>
  <si>
    <t>HNO2</t>
  </si>
  <si>
    <t>Oxalic acid</t>
  </si>
  <si>
    <t>Perchloric acid</t>
  </si>
  <si>
    <t>HClO4</t>
  </si>
  <si>
    <t>Phenol</t>
  </si>
  <si>
    <t>o-Phthalic acid</t>
  </si>
  <si>
    <t>Piperidine</t>
  </si>
  <si>
    <t>C5H11N</t>
  </si>
  <si>
    <t>Proline</t>
  </si>
  <si>
    <t>C5H9NO2</t>
  </si>
  <si>
    <t>Propanoic acid</t>
  </si>
  <si>
    <t>CH3CH2COOH</t>
  </si>
  <si>
    <t>Propylamine</t>
  </si>
  <si>
    <t>CH3CH2CH2NH2</t>
  </si>
  <si>
    <t>Pyridine</t>
  </si>
  <si>
    <t>C5H5N</t>
  </si>
  <si>
    <t xml:space="preserve">Pyrimidine </t>
  </si>
  <si>
    <t>Resorcinol</t>
  </si>
  <si>
    <t>Salicylic acid</t>
  </si>
  <si>
    <t>Selenic acid</t>
  </si>
  <si>
    <t>H2SeO4</t>
  </si>
  <si>
    <t>Selenous acid</t>
  </si>
  <si>
    <t>C3H7NO3</t>
  </si>
  <si>
    <t>o-Silicic acid</t>
  </si>
  <si>
    <t>H4SiO4</t>
  </si>
  <si>
    <t>m-Silicic acid</t>
  </si>
  <si>
    <t>H2SiO3</t>
  </si>
  <si>
    <t>Succinic acid</t>
  </si>
  <si>
    <t>HOOCCH2CH2COOH</t>
  </si>
  <si>
    <t>Sulfuric acid</t>
  </si>
  <si>
    <t>H2SO3</t>
  </si>
  <si>
    <t>d-Tartaric acid</t>
  </si>
  <si>
    <t>Thiosulfuric acid</t>
  </si>
  <si>
    <t>H2S2O3</t>
  </si>
  <si>
    <t>Threonine</t>
  </si>
  <si>
    <t>C4H9NO3</t>
  </si>
  <si>
    <t>Trichloroacetic acid</t>
  </si>
  <si>
    <t>Cl3CCOOH</t>
  </si>
  <si>
    <t>Triethanolamine</t>
  </si>
  <si>
    <t>(HOCH2CH2)3NH</t>
  </si>
  <si>
    <t>Triethylamine</t>
  </si>
  <si>
    <t>(CH3CH2)3NH</t>
  </si>
  <si>
    <t>Trimethylamine</t>
  </si>
  <si>
    <t>(CH3)3NH</t>
  </si>
  <si>
    <t>Tris(hydroxymethyl)- aminomethane (tris)</t>
  </si>
  <si>
    <t>(HOCH2)3CNH3</t>
  </si>
  <si>
    <t>Tryptophan</t>
  </si>
  <si>
    <t xml:space="preserve">C9H11NO2 </t>
  </si>
  <si>
    <t xml:space="preserve">Phenylalanine </t>
  </si>
  <si>
    <t xml:space="preserve">C9H11NO3 </t>
  </si>
  <si>
    <t xml:space="preserve">Tyrosine </t>
  </si>
  <si>
    <t xml:space="preserve">C10H8O </t>
  </si>
  <si>
    <t xml:space="preserve">1-Naphthol </t>
  </si>
  <si>
    <t xml:space="preserve">2-Naphthol </t>
  </si>
  <si>
    <t xml:space="preserve">C10H14N2 </t>
  </si>
  <si>
    <t xml:space="preserve">Nicotine </t>
  </si>
  <si>
    <t xml:space="preserve">C10H15NO </t>
  </si>
  <si>
    <t xml:space="preserve">d-Ephedrine </t>
  </si>
  <si>
    <t xml:space="preserve">l-Ephedrine </t>
  </si>
  <si>
    <t xml:space="preserve">C10H17N3O6S </t>
  </si>
  <si>
    <t xml:space="preserve">C10H23N </t>
  </si>
  <si>
    <t xml:space="preserve">Decylamine </t>
  </si>
  <si>
    <t xml:space="preserve">C11H11N </t>
  </si>
  <si>
    <t xml:space="preserve">Methyl-1-naphthylamine </t>
  </si>
  <si>
    <t xml:space="preserve">C11H12N2O2 </t>
  </si>
  <si>
    <t xml:space="preserve">C11H16N2O2 </t>
  </si>
  <si>
    <t xml:space="preserve">Pilocarpine </t>
  </si>
  <si>
    <t xml:space="preserve">C12H8N2 </t>
  </si>
  <si>
    <t xml:space="preserve">1,10-Phenanthroline </t>
  </si>
  <si>
    <t xml:space="preserve">C12H11N </t>
  </si>
  <si>
    <t xml:space="preserve">2-Benzylpyridine </t>
  </si>
  <si>
    <t xml:space="preserve">Diphenylamine </t>
  </si>
  <si>
    <t xml:space="preserve">C17H19NO3 </t>
  </si>
  <si>
    <t xml:space="preserve">Morphine </t>
  </si>
  <si>
    <t xml:space="preserve">C18H21NO3 </t>
  </si>
  <si>
    <t xml:space="preserve">Codeine </t>
  </si>
  <si>
    <t xml:space="preserve">C18H39N </t>
  </si>
  <si>
    <t xml:space="preserve">Octadecylamine </t>
  </si>
  <si>
    <t xml:space="preserve">C20H21NO4 </t>
  </si>
  <si>
    <t xml:space="preserve">Papaverine </t>
  </si>
  <si>
    <t xml:space="preserve">C20H24N2O2 </t>
  </si>
  <si>
    <t xml:space="preserve">Quinine </t>
  </si>
  <si>
    <t xml:space="preserve">C21H22N2O2 </t>
  </si>
  <si>
    <t xml:space="preserve">Strychnine </t>
  </si>
  <si>
    <t>dpH/dVol</t>
  </si>
  <si>
    <t>Hypochlorous</t>
  </si>
  <si>
    <t>Hypobromous</t>
  </si>
  <si>
    <t>Hypoiodous</t>
  </si>
  <si>
    <t>Hydrogen sulfide</t>
  </si>
  <si>
    <t>Hydrogen peroxide</t>
  </si>
  <si>
    <t>gutz@iq.usp.br</t>
  </si>
  <si>
    <t>dpH/dV</t>
  </si>
  <si>
    <t>S pH=</t>
  </si>
  <si>
    <t>S Vol=</t>
  </si>
  <si>
    <r>
      <t>[H</t>
    </r>
    <r>
      <rPr>
        <vertAlign val="subscript"/>
        <sz val="11"/>
        <rFont val="Arial"/>
        <family val="2"/>
      </rPr>
      <t>4</t>
    </r>
    <r>
      <rPr>
        <sz val="10"/>
        <rFont val="Arial"/>
        <family val="2"/>
      </rPr>
      <t>B]</t>
    </r>
  </si>
  <si>
    <r>
      <t>[H</t>
    </r>
    <r>
      <rPr>
        <vertAlign val="subscript"/>
        <sz val="11"/>
        <rFont val="Arial"/>
        <family val="2"/>
      </rPr>
      <t>6</t>
    </r>
    <r>
      <rPr>
        <sz val="10"/>
        <rFont val="Arial"/>
        <family val="2"/>
      </rPr>
      <t>B]</t>
    </r>
  </si>
  <si>
    <t>B</t>
  </si>
  <si>
    <t>HB</t>
  </si>
  <si>
    <r>
      <t>H</t>
    </r>
    <r>
      <rPr>
        <sz val="10"/>
        <rFont val="Arial"/>
        <family val="2"/>
      </rPr>
      <t>2</t>
    </r>
    <r>
      <rPr>
        <sz val="12"/>
        <rFont val="Arial"/>
        <family val="2"/>
      </rPr>
      <t>B</t>
    </r>
  </si>
  <si>
    <r>
      <t>H</t>
    </r>
    <r>
      <rPr>
        <sz val="10"/>
        <rFont val="Arial"/>
        <family val="2"/>
      </rPr>
      <t>3</t>
    </r>
    <r>
      <rPr>
        <sz val="12"/>
        <rFont val="Arial"/>
        <family val="2"/>
      </rPr>
      <t>B</t>
    </r>
  </si>
  <si>
    <r>
      <t>H</t>
    </r>
    <r>
      <rPr>
        <sz val="10"/>
        <rFont val="Arial"/>
        <family val="2"/>
      </rPr>
      <t>4</t>
    </r>
    <r>
      <rPr>
        <sz val="12"/>
        <rFont val="Arial"/>
        <family val="2"/>
      </rPr>
      <t>B</t>
    </r>
  </si>
  <si>
    <r>
      <t>H</t>
    </r>
    <r>
      <rPr>
        <sz val="10"/>
        <rFont val="Arial"/>
        <family val="2"/>
      </rPr>
      <t>5</t>
    </r>
    <r>
      <rPr>
        <sz val="12"/>
        <rFont val="Arial"/>
        <family val="2"/>
      </rPr>
      <t>B</t>
    </r>
  </si>
  <si>
    <r>
      <t>H</t>
    </r>
    <r>
      <rPr>
        <sz val="10"/>
        <rFont val="Arial"/>
        <family val="2"/>
      </rPr>
      <t>6</t>
    </r>
    <r>
      <rPr>
        <sz val="12"/>
        <rFont val="Arial"/>
        <family val="2"/>
      </rPr>
      <t>B</t>
    </r>
  </si>
  <si>
    <t>Volume</t>
  </si>
  <si>
    <t>HI</t>
  </si>
  <si>
    <t>HCl</t>
  </si>
  <si>
    <t>HF</t>
  </si>
  <si>
    <t>H2CO3</t>
  </si>
  <si>
    <t>HCN</t>
  </si>
  <si>
    <t>EDTA</t>
  </si>
  <si>
    <t>pH</t>
  </si>
  <si>
    <t>[B]</t>
  </si>
  <si>
    <t>[HB]</t>
  </si>
  <si>
    <r>
      <t>S</t>
    </r>
    <r>
      <rPr>
        <sz val="10"/>
        <rFont val="Arial"/>
        <family val="2"/>
      </rPr>
      <t>[H]</t>
    </r>
  </si>
  <si>
    <t>pKw</t>
  </si>
  <si>
    <t>Kw</t>
  </si>
  <si>
    <t>h1</t>
  </si>
  <si>
    <t>h2</t>
  </si>
  <si>
    <t>h3</t>
  </si>
  <si>
    <t>h4</t>
  </si>
  <si>
    <t>h5</t>
  </si>
  <si>
    <t>h6</t>
  </si>
  <si>
    <t>NH3</t>
  </si>
  <si>
    <t>h7</t>
  </si>
  <si>
    <t>SS</t>
  </si>
  <si>
    <t>CHcalc</t>
  </si>
  <si>
    <r>
      <t>SS</t>
    </r>
    <r>
      <rPr>
        <sz val="10"/>
        <rFont val="Arial"/>
        <family val="2"/>
      </rPr>
      <t>[bases]</t>
    </r>
  </si>
  <si>
    <t>Total</t>
  </si>
  <si>
    <t xml:space="preserve"> </t>
  </si>
  <si>
    <t xml:space="preserve">H3AsO4 </t>
  </si>
  <si>
    <t xml:space="preserve">H3AsO3 </t>
  </si>
  <si>
    <t xml:space="preserve">H3C6H5O7 </t>
  </si>
  <si>
    <t xml:space="preserve">HCNO </t>
  </si>
  <si>
    <t xml:space="preserve">Hydroazoic </t>
  </si>
  <si>
    <t xml:space="preserve">HN3 </t>
  </si>
  <si>
    <t xml:space="preserve">Hydrogen selenate ion </t>
  </si>
  <si>
    <t xml:space="preserve">HC3H5O3 </t>
  </si>
  <si>
    <t xml:space="preserve">H5IO6 </t>
  </si>
  <si>
    <t xml:space="preserve">HC6H5O </t>
  </si>
  <si>
    <t xml:space="preserve">Pyrophosphoric </t>
  </si>
  <si>
    <t xml:space="preserve">H4P2O7 </t>
  </si>
  <si>
    <t xml:space="preserve">H2SeO3 </t>
  </si>
  <si>
    <t xml:space="preserve">H2SO4 </t>
  </si>
  <si>
    <t xml:space="preserve">Aniline </t>
  </si>
  <si>
    <t xml:space="preserve">Methylamine </t>
  </si>
  <si>
    <t>http://www.zirchrom.com/organic.htm</t>
  </si>
  <si>
    <t xml:space="preserve">Formic acid </t>
  </si>
  <si>
    <t xml:space="preserve">CH4N2O </t>
  </si>
  <si>
    <t xml:space="preserve">Urea </t>
  </si>
  <si>
    <t xml:space="preserve">CH5N </t>
  </si>
  <si>
    <t xml:space="preserve">C2H2O3 </t>
  </si>
  <si>
    <t xml:space="preserve">C2H2O4 </t>
  </si>
  <si>
    <t xml:space="preserve">C2H4OS </t>
  </si>
  <si>
    <t xml:space="preserve">Thioacetic acid </t>
  </si>
  <si>
    <t xml:space="preserve">C2H5N </t>
  </si>
  <si>
    <t xml:space="preserve">Ethyleneimine </t>
  </si>
  <si>
    <t xml:space="preserve">C2H5NO </t>
  </si>
  <si>
    <t xml:space="preserve">Acetamide </t>
  </si>
  <si>
    <t xml:space="preserve">C2H7NO </t>
  </si>
  <si>
    <t xml:space="preserve">Ethanolamine </t>
  </si>
  <si>
    <t xml:space="preserve">C3H3NS </t>
  </si>
  <si>
    <t xml:space="preserve">Thiazole </t>
  </si>
  <si>
    <t xml:space="preserve">C3H4N2 </t>
  </si>
  <si>
    <t xml:space="preserve">C3H4O2 </t>
  </si>
  <si>
    <t xml:space="preserve">Acrylic acid </t>
  </si>
  <si>
    <t xml:space="preserve">C3H4O3 </t>
  </si>
  <si>
    <t xml:space="preserve">Pyruvic acid </t>
  </si>
  <si>
    <t xml:space="preserve">C3H6N6 </t>
  </si>
  <si>
    <t xml:space="preserve">C3H6O3 </t>
  </si>
  <si>
    <t xml:space="preserve">3-Hydroxypropanoic acid </t>
  </si>
  <si>
    <t xml:space="preserve">C3H6O4 </t>
  </si>
  <si>
    <t xml:space="preserve">Glyceric acid </t>
  </si>
  <si>
    <t xml:space="preserve">C3H7NO2 </t>
  </si>
  <si>
    <t xml:space="preserve">C3H7NO2S </t>
  </si>
  <si>
    <t xml:space="preserve">Cysteine </t>
  </si>
  <si>
    <t xml:space="preserve">Serine </t>
  </si>
  <si>
    <t xml:space="preserve">C3H8O3 </t>
  </si>
  <si>
    <t xml:space="preserve">Glycerol </t>
  </si>
  <si>
    <t xml:space="preserve">C4H4N2O3 </t>
  </si>
  <si>
    <t xml:space="preserve">Barbituric acid </t>
  </si>
  <si>
    <t xml:space="preserve">C4H4O4 </t>
  </si>
  <si>
    <t xml:space="preserve">Maleic acid </t>
  </si>
  <si>
    <t xml:space="preserve">C4H4O5 </t>
  </si>
  <si>
    <t xml:space="preserve">Oxaloacetic acid </t>
  </si>
  <si>
    <t xml:space="preserve">C4H6O2 </t>
  </si>
  <si>
    <t xml:space="preserve">3-Butenoic acid </t>
  </si>
  <si>
    <t xml:space="preserve">C4H6O3 </t>
  </si>
  <si>
    <t xml:space="preserve">Acetoacetic acid </t>
  </si>
  <si>
    <t xml:space="preserve">C4H6O4 </t>
  </si>
  <si>
    <t xml:space="preserve">C4H6O5 </t>
  </si>
  <si>
    <t xml:space="preserve">Malic acid </t>
  </si>
  <si>
    <t xml:space="preserve">C4H6O6 </t>
  </si>
  <si>
    <t xml:space="preserve">meso-Tartaric acid </t>
  </si>
  <si>
    <t xml:space="preserve">C4H7NO4 </t>
  </si>
  <si>
    <t xml:space="preserve">Aspartic acid </t>
  </si>
  <si>
    <t xml:space="preserve">C4H7N3O </t>
  </si>
  <si>
    <t xml:space="preserve">Creatinine </t>
  </si>
  <si>
    <t xml:space="preserve">C4H8N2O3 </t>
  </si>
  <si>
    <t xml:space="preserve">C4H8O2 </t>
  </si>
  <si>
    <t xml:space="preserve">Butanoic acid </t>
  </si>
  <si>
    <t xml:space="preserve">C4H9N </t>
  </si>
  <si>
    <t xml:space="preserve">Pyrrolidine </t>
  </si>
  <si>
    <t xml:space="preserve">C4H9NO </t>
  </si>
  <si>
    <t xml:space="preserve">Morpholine </t>
  </si>
  <si>
    <t xml:space="preserve">C4H9NO2 </t>
  </si>
  <si>
    <t xml:space="preserve">2-Aminobutanoic acid </t>
  </si>
  <si>
    <t xml:space="preserve">C4H10N2 </t>
  </si>
  <si>
    <t xml:space="preserve">Piperazine </t>
  </si>
  <si>
    <t xml:space="preserve">C4H10N2O2 </t>
  </si>
  <si>
    <t xml:space="preserve">2,4-Diaminobutanoic acid </t>
  </si>
  <si>
    <t xml:space="preserve">C4H11N </t>
  </si>
  <si>
    <t xml:space="preserve">Butylamine </t>
  </si>
  <si>
    <t xml:space="preserve">sec-Butylamine </t>
  </si>
  <si>
    <t xml:space="preserve">tert-Butylamine </t>
  </si>
  <si>
    <t xml:space="preserve">C5H4N4 </t>
  </si>
  <si>
    <t xml:space="preserve">Purine </t>
  </si>
  <si>
    <t xml:space="preserve">C5H4N4O3 </t>
  </si>
  <si>
    <t xml:space="preserve">Uric acid </t>
  </si>
  <si>
    <t>Vol</t>
  </si>
  <si>
    <t>pH/14</t>
  </si>
  <si>
    <t xml:space="preserve">C5H9NO4 </t>
  </si>
  <si>
    <t xml:space="preserve">L-Glutamic acid </t>
  </si>
  <si>
    <t xml:space="preserve">C5H9N3 </t>
  </si>
  <si>
    <t xml:space="preserve">Histamine </t>
  </si>
  <si>
    <t xml:space="preserve">C5H10N2O3 </t>
  </si>
  <si>
    <t xml:space="preserve">L-Glutamine </t>
  </si>
  <si>
    <t xml:space="preserve">C5H10O2 </t>
  </si>
  <si>
    <t xml:space="preserve">2-Methylbutanoic acid </t>
  </si>
  <si>
    <t xml:space="preserve">3-Methylbutanoic acid </t>
  </si>
  <si>
    <t xml:space="preserve">Pentanoic acid </t>
  </si>
  <si>
    <t xml:space="preserve">Trimethylacetic acid   </t>
  </si>
  <si>
    <t xml:space="preserve">C5H11NO2 </t>
  </si>
  <si>
    <t xml:space="preserve">5-Aminopentanoic acid </t>
  </si>
  <si>
    <t xml:space="preserve">Betaine </t>
  </si>
  <si>
    <t xml:space="preserve">Valine </t>
  </si>
  <si>
    <t xml:space="preserve">C5H11NO2S </t>
  </si>
  <si>
    <t xml:space="preserve">C5H14NO </t>
  </si>
  <si>
    <t xml:space="preserve">Choline </t>
  </si>
  <si>
    <t xml:space="preserve">C5H14N2 </t>
  </si>
  <si>
    <t xml:space="preserve">Cadaverine </t>
  </si>
  <si>
    <t xml:space="preserve">C6H3N3O7 </t>
  </si>
  <si>
    <t xml:space="preserve">Picric acid </t>
  </si>
  <si>
    <t xml:space="preserve">C6H4Cl2O </t>
  </si>
  <si>
    <t xml:space="preserve">2,3-Dichlorophenol </t>
  </si>
  <si>
    <t xml:space="preserve">C6H5CIO </t>
  </si>
  <si>
    <t xml:space="preserve">2-Chlorophenol </t>
  </si>
  <si>
    <t xml:space="preserve">3-Chlorophenol </t>
  </si>
  <si>
    <t xml:space="preserve">4-Chlorophenol </t>
  </si>
  <si>
    <t xml:space="preserve">C6H5NO2 </t>
  </si>
  <si>
    <t xml:space="preserve">Picolinic acid </t>
  </si>
  <si>
    <t xml:space="preserve">3-Pyridinecarboxylic acid </t>
  </si>
  <si>
    <t xml:space="preserve">4-Pyridinecarboxylic acid </t>
  </si>
  <si>
    <t xml:space="preserve">C6H5NO3 </t>
  </si>
  <si>
    <t xml:space="preserve">4-Nitrophenol </t>
  </si>
  <si>
    <t xml:space="preserve">C6H6CIN </t>
  </si>
  <si>
    <t xml:space="preserve">2-Chloroaniline </t>
  </si>
  <si>
    <t xml:space="preserve">3-Chloroaniline </t>
  </si>
  <si>
    <t xml:space="preserve">4-Chloroaniline </t>
  </si>
  <si>
    <t xml:space="preserve">C6H6N2O2 </t>
  </si>
  <si>
    <t xml:space="preserve">2-Nitroaniline </t>
  </si>
  <si>
    <t xml:space="preserve">3-Nitroaniline </t>
  </si>
  <si>
    <t xml:space="preserve">4-Nitroaniline </t>
  </si>
  <si>
    <t xml:space="preserve">C6H6O2 </t>
  </si>
  <si>
    <t xml:space="preserve">Hydroquinone </t>
  </si>
  <si>
    <t xml:space="preserve">Pyrocatechol </t>
  </si>
  <si>
    <t xml:space="preserve">  pKa(n) = -log Kd(HB--&gt;B) = log Kp(1)</t>
  </si>
  <si>
    <r>
      <t>b</t>
    </r>
    <r>
      <rPr>
        <vertAlign val="subscript"/>
        <sz val="12"/>
        <rFont val="Arial"/>
        <family val="2"/>
      </rPr>
      <t>p1</t>
    </r>
  </si>
  <si>
    <r>
      <t>[H</t>
    </r>
    <r>
      <rPr>
        <vertAlign val="subscript"/>
        <sz val="12"/>
        <rFont val="Arial"/>
        <family val="2"/>
      </rPr>
      <t>2</t>
    </r>
    <r>
      <rPr>
        <sz val="10"/>
        <rFont val="Arial"/>
        <family val="2"/>
      </rPr>
      <t>B]</t>
    </r>
  </si>
  <si>
    <r>
      <t>b</t>
    </r>
    <r>
      <rPr>
        <vertAlign val="subscript"/>
        <sz val="12"/>
        <rFont val="Arial"/>
        <family val="2"/>
      </rPr>
      <t>p2</t>
    </r>
  </si>
  <si>
    <r>
      <t>[H</t>
    </r>
    <r>
      <rPr>
        <vertAlign val="subscript"/>
        <sz val="12"/>
        <rFont val="Arial"/>
        <family val="2"/>
      </rPr>
      <t>3</t>
    </r>
    <r>
      <rPr>
        <sz val="10"/>
        <rFont val="Arial"/>
        <family val="2"/>
      </rPr>
      <t>B]</t>
    </r>
  </si>
  <si>
    <r>
      <t>b</t>
    </r>
    <r>
      <rPr>
        <vertAlign val="subscript"/>
        <sz val="12"/>
        <rFont val="Arial"/>
        <family val="2"/>
      </rPr>
      <t>p3</t>
    </r>
  </si>
  <si>
    <r>
      <t>[H</t>
    </r>
    <r>
      <rPr>
        <vertAlign val="subscript"/>
        <sz val="12"/>
        <rFont val="Arial"/>
        <family val="2"/>
      </rPr>
      <t>4</t>
    </r>
    <r>
      <rPr>
        <sz val="10"/>
        <rFont val="Arial"/>
        <family val="2"/>
      </rPr>
      <t>B]</t>
    </r>
  </si>
  <si>
    <r>
      <t>b</t>
    </r>
    <r>
      <rPr>
        <vertAlign val="subscript"/>
        <sz val="12"/>
        <rFont val="Arial"/>
        <family val="2"/>
      </rPr>
      <t>p4</t>
    </r>
  </si>
  <si>
    <r>
      <t>[H</t>
    </r>
    <r>
      <rPr>
        <vertAlign val="subscript"/>
        <sz val="12"/>
        <rFont val="Arial"/>
        <family val="2"/>
      </rPr>
      <t>5</t>
    </r>
    <r>
      <rPr>
        <sz val="10"/>
        <rFont val="Arial"/>
        <family val="2"/>
      </rPr>
      <t>B]</t>
    </r>
  </si>
  <si>
    <r>
      <t>b</t>
    </r>
    <r>
      <rPr>
        <vertAlign val="subscript"/>
        <sz val="12"/>
        <rFont val="Arial"/>
        <family val="2"/>
      </rPr>
      <t>p5</t>
    </r>
  </si>
  <si>
    <r>
      <t>[H</t>
    </r>
    <r>
      <rPr>
        <vertAlign val="subscript"/>
        <sz val="12"/>
        <rFont val="Arial"/>
        <family val="2"/>
      </rPr>
      <t>6</t>
    </r>
    <r>
      <rPr>
        <sz val="10"/>
        <rFont val="Arial"/>
        <family val="2"/>
      </rPr>
      <t>B]</t>
    </r>
  </si>
  <si>
    <r>
      <t>b</t>
    </r>
    <r>
      <rPr>
        <vertAlign val="subscript"/>
        <sz val="12"/>
        <rFont val="Arial"/>
        <family val="2"/>
      </rPr>
      <t>p6</t>
    </r>
  </si>
  <si>
    <r>
      <t>S</t>
    </r>
    <r>
      <rPr>
        <sz val="10"/>
        <rFont val="Arial"/>
        <family val="2"/>
      </rPr>
      <t>[H</t>
    </r>
    <r>
      <rPr>
        <vertAlign val="subscript"/>
        <sz val="12"/>
        <rFont val="Arial"/>
        <family val="2"/>
      </rPr>
      <t>i</t>
    </r>
    <r>
      <rPr>
        <sz val="10"/>
        <rFont val="Arial"/>
        <family val="2"/>
      </rPr>
      <t>B]</t>
    </r>
  </si>
  <si>
    <r>
      <t>Na</t>
    </r>
    <r>
      <rPr>
        <vertAlign val="superscript"/>
        <sz val="10"/>
        <rFont val="Arial"/>
        <family val="2"/>
      </rPr>
      <t>+</t>
    </r>
  </si>
  <si>
    <r>
      <t>K</t>
    </r>
    <r>
      <rPr>
        <vertAlign val="superscript"/>
        <sz val="10"/>
        <rFont val="Arial"/>
        <family val="2"/>
      </rPr>
      <t>+</t>
    </r>
  </si>
  <si>
    <r>
      <t>Ca</t>
    </r>
    <r>
      <rPr>
        <vertAlign val="superscript"/>
        <sz val="10"/>
        <rFont val="Arial"/>
        <family val="2"/>
      </rPr>
      <t>++</t>
    </r>
  </si>
  <si>
    <t>Cl-</t>
  </si>
  <si>
    <r>
      <t>NO</t>
    </r>
    <r>
      <rPr>
        <vertAlign val="subscript"/>
        <sz val="10"/>
        <rFont val="Arial"/>
        <family val="2"/>
      </rPr>
      <t>3</t>
    </r>
    <r>
      <rPr>
        <vertAlign val="superscript"/>
        <sz val="10"/>
        <rFont val="Arial"/>
        <family val="2"/>
      </rPr>
      <t>-</t>
    </r>
  </si>
  <si>
    <r>
      <t>ClO</t>
    </r>
    <r>
      <rPr>
        <vertAlign val="subscript"/>
        <sz val="10"/>
        <rFont val="Arial"/>
        <family val="2"/>
      </rPr>
      <t>4</t>
    </r>
    <r>
      <rPr>
        <vertAlign val="superscript"/>
        <sz val="10"/>
        <rFont val="Arial"/>
        <family val="2"/>
      </rPr>
      <t>-</t>
    </r>
  </si>
  <si>
    <r>
      <t>C</t>
    </r>
    <r>
      <rPr>
        <vertAlign val="subscript"/>
        <sz val="10"/>
        <rFont val="Arial"/>
        <family val="2"/>
      </rPr>
      <t>i</t>
    </r>
    <r>
      <rPr>
        <sz val="10"/>
        <rFont val="Arial"/>
        <family val="2"/>
      </rPr>
      <t xml:space="preserve"> (mol/L)</t>
    </r>
  </si>
  <si>
    <t xml:space="preserve">A </t>
  </si>
  <si>
    <t>b</t>
  </si>
  <si>
    <r>
      <t xml:space="preserve">g </t>
    </r>
    <r>
      <rPr>
        <sz val="11"/>
        <rFont val="Arial"/>
        <family val="2"/>
      </rPr>
      <t>H</t>
    </r>
    <r>
      <rPr>
        <vertAlign val="superscript"/>
        <sz val="12"/>
        <rFont val="Arial"/>
        <family val="2"/>
      </rPr>
      <t>+</t>
    </r>
  </si>
  <si>
    <r>
      <t>a</t>
    </r>
    <r>
      <rPr>
        <vertAlign val="subscript"/>
        <sz val="13"/>
        <rFont val="Symbol"/>
        <family val="1"/>
        <charset val="2"/>
      </rPr>
      <t xml:space="preserve"> </t>
    </r>
    <r>
      <rPr>
        <vertAlign val="subscript"/>
        <sz val="13"/>
        <rFont val="Arial"/>
        <family val="2"/>
      </rPr>
      <t>H</t>
    </r>
    <r>
      <rPr>
        <sz val="8"/>
        <rFont val="Arial"/>
        <family val="2"/>
      </rPr>
      <t>+</t>
    </r>
  </si>
  <si>
    <t>pOH</t>
  </si>
  <si>
    <t>p[H]</t>
  </si>
  <si>
    <t>p[OH]</t>
  </si>
  <si>
    <r>
      <t>[H</t>
    </r>
    <r>
      <rPr>
        <vertAlign val="superscript"/>
        <sz val="10"/>
        <color indexed="8"/>
        <rFont val="Arial"/>
        <family val="2"/>
      </rPr>
      <t>+</t>
    </r>
    <r>
      <rPr>
        <sz val="10"/>
        <color indexed="8"/>
        <rFont val="Arial"/>
        <family val="2"/>
      </rPr>
      <t>]</t>
    </r>
  </si>
  <si>
    <r>
      <t>[OH</t>
    </r>
    <r>
      <rPr>
        <vertAlign val="superscript"/>
        <sz val="10"/>
        <color indexed="8"/>
        <rFont val="Arial"/>
        <family val="2"/>
      </rPr>
      <t>-</t>
    </r>
    <r>
      <rPr>
        <sz val="10"/>
        <color indexed="8"/>
        <rFont val="Arial"/>
        <family val="2"/>
      </rPr>
      <t>]</t>
    </r>
  </si>
  <si>
    <r>
      <t>S</t>
    </r>
    <r>
      <rPr>
        <sz val="10"/>
        <rFont val="Arial"/>
        <family val="2"/>
      </rPr>
      <t>[HiB]</t>
    </r>
  </si>
  <si>
    <t>% B</t>
  </si>
  <si>
    <t>% HB</t>
  </si>
  <si>
    <r>
      <t>% H</t>
    </r>
    <r>
      <rPr>
        <vertAlign val="subscript"/>
        <sz val="11"/>
        <rFont val="Arial"/>
        <family val="2"/>
      </rPr>
      <t>2</t>
    </r>
    <r>
      <rPr>
        <sz val="10"/>
        <rFont val="Arial"/>
        <family val="2"/>
      </rPr>
      <t>B</t>
    </r>
  </si>
  <si>
    <r>
      <t>% H</t>
    </r>
    <r>
      <rPr>
        <vertAlign val="subscript"/>
        <sz val="11"/>
        <rFont val="Arial"/>
        <family val="2"/>
      </rPr>
      <t>3</t>
    </r>
    <r>
      <rPr>
        <sz val="10"/>
        <rFont val="Arial"/>
        <family val="2"/>
      </rPr>
      <t>B</t>
    </r>
  </si>
  <si>
    <r>
      <t>% H</t>
    </r>
    <r>
      <rPr>
        <vertAlign val="subscript"/>
        <sz val="11"/>
        <rFont val="Arial"/>
        <family val="2"/>
      </rPr>
      <t>4</t>
    </r>
    <r>
      <rPr>
        <sz val="10"/>
        <rFont val="Arial"/>
        <family val="2"/>
      </rPr>
      <t>B</t>
    </r>
  </si>
  <si>
    <r>
      <t>% H</t>
    </r>
    <r>
      <rPr>
        <vertAlign val="subscript"/>
        <sz val="11"/>
        <rFont val="Arial"/>
        <family val="2"/>
      </rPr>
      <t>5</t>
    </r>
    <r>
      <rPr>
        <sz val="10"/>
        <rFont val="Arial"/>
        <family val="2"/>
      </rPr>
      <t>B</t>
    </r>
  </si>
  <si>
    <r>
      <t>% H</t>
    </r>
    <r>
      <rPr>
        <vertAlign val="subscript"/>
        <sz val="11"/>
        <rFont val="Arial"/>
        <family val="2"/>
      </rPr>
      <t>6</t>
    </r>
    <r>
      <rPr>
        <sz val="10"/>
        <rFont val="Arial"/>
        <family val="2"/>
      </rPr>
      <t>B</t>
    </r>
  </si>
  <si>
    <r>
      <t>% S</t>
    </r>
    <r>
      <rPr>
        <sz val="10"/>
        <rFont val="Arial"/>
        <family val="2"/>
      </rPr>
      <t>[HiB]</t>
    </r>
  </si>
  <si>
    <r>
      <t xml:space="preserve">g </t>
    </r>
    <r>
      <rPr>
        <sz val="10"/>
        <rFont val="Arial"/>
        <family val="2"/>
      </rPr>
      <t>B</t>
    </r>
  </si>
  <si>
    <r>
      <t xml:space="preserve">g </t>
    </r>
    <r>
      <rPr>
        <sz val="10"/>
        <rFont val="Arial"/>
        <family val="2"/>
      </rPr>
      <t>HB</t>
    </r>
  </si>
  <si>
    <r>
      <t xml:space="preserve">g </t>
    </r>
    <r>
      <rPr>
        <sz val="10"/>
        <rFont val="Arial"/>
        <family val="2"/>
      </rPr>
      <t>H</t>
    </r>
    <r>
      <rPr>
        <vertAlign val="subscript"/>
        <sz val="11"/>
        <rFont val="Arial"/>
        <family val="2"/>
      </rPr>
      <t>2</t>
    </r>
    <r>
      <rPr>
        <sz val="10"/>
        <rFont val="Arial"/>
        <family val="2"/>
      </rPr>
      <t>B</t>
    </r>
  </si>
  <si>
    <r>
      <t xml:space="preserve">g </t>
    </r>
    <r>
      <rPr>
        <sz val="10"/>
        <rFont val="Arial"/>
        <family val="2"/>
      </rPr>
      <t>H</t>
    </r>
    <r>
      <rPr>
        <vertAlign val="subscript"/>
        <sz val="11"/>
        <rFont val="Arial"/>
        <family val="2"/>
      </rPr>
      <t>3</t>
    </r>
    <r>
      <rPr>
        <sz val="10"/>
        <rFont val="Arial"/>
        <family val="2"/>
      </rPr>
      <t>B</t>
    </r>
  </si>
  <si>
    <r>
      <t xml:space="preserve">g </t>
    </r>
    <r>
      <rPr>
        <sz val="10"/>
        <rFont val="Arial"/>
        <family val="2"/>
      </rPr>
      <t>H</t>
    </r>
    <r>
      <rPr>
        <vertAlign val="subscript"/>
        <sz val="11"/>
        <rFont val="Arial"/>
        <family val="2"/>
      </rPr>
      <t>4</t>
    </r>
    <r>
      <rPr>
        <sz val="10"/>
        <rFont val="Arial"/>
        <family val="2"/>
      </rPr>
      <t>B</t>
    </r>
  </si>
  <si>
    <r>
      <t xml:space="preserve">g </t>
    </r>
    <r>
      <rPr>
        <sz val="10"/>
        <rFont val="Arial"/>
        <family val="2"/>
      </rPr>
      <t>H</t>
    </r>
    <r>
      <rPr>
        <vertAlign val="subscript"/>
        <sz val="11"/>
        <rFont val="Arial"/>
        <family val="2"/>
      </rPr>
      <t>5</t>
    </r>
    <r>
      <rPr>
        <sz val="10"/>
        <rFont val="Arial"/>
        <family val="2"/>
      </rPr>
      <t>B</t>
    </r>
  </si>
  <si>
    <r>
      <t xml:space="preserve">g </t>
    </r>
    <r>
      <rPr>
        <sz val="10"/>
        <rFont val="Arial"/>
        <family val="2"/>
      </rPr>
      <t>H</t>
    </r>
    <r>
      <rPr>
        <vertAlign val="subscript"/>
        <sz val="11"/>
        <rFont val="Arial"/>
        <family val="2"/>
      </rPr>
      <t>6</t>
    </r>
    <r>
      <rPr>
        <sz val="10"/>
        <rFont val="Arial"/>
        <family val="2"/>
      </rPr>
      <t>B</t>
    </r>
  </si>
  <si>
    <r>
      <t>g</t>
    </r>
    <r>
      <rPr>
        <vertAlign val="subscript"/>
        <sz val="12"/>
        <rFont val="Arial"/>
        <family val="2"/>
      </rPr>
      <t>i</t>
    </r>
  </si>
  <si>
    <t>h</t>
  </si>
  <si>
    <r>
      <t>pK'a</t>
    </r>
    <r>
      <rPr>
        <vertAlign val="subscript"/>
        <sz val="13"/>
        <rFont val="Arial"/>
        <family val="2"/>
      </rPr>
      <t xml:space="preserve">n </t>
    </r>
    <r>
      <rPr>
        <sz val="11"/>
        <rFont val="Arial"/>
        <family val="2"/>
      </rPr>
      <t>= logK'</t>
    </r>
    <r>
      <rPr>
        <vertAlign val="subscript"/>
        <sz val="13"/>
        <rFont val="Arial"/>
        <family val="2"/>
      </rPr>
      <t>p1</t>
    </r>
  </si>
  <si>
    <r>
      <t>pK'a</t>
    </r>
    <r>
      <rPr>
        <vertAlign val="subscript"/>
        <sz val="13"/>
        <rFont val="Arial"/>
        <family val="2"/>
      </rPr>
      <t xml:space="preserve">n-1 </t>
    </r>
    <r>
      <rPr>
        <sz val="11"/>
        <rFont val="Arial"/>
        <family val="2"/>
      </rPr>
      <t>= logK'</t>
    </r>
    <r>
      <rPr>
        <vertAlign val="subscript"/>
        <sz val="13"/>
        <rFont val="Arial"/>
        <family val="2"/>
      </rPr>
      <t>p2</t>
    </r>
  </si>
  <si>
    <r>
      <t>pK'a</t>
    </r>
    <r>
      <rPr>
        <vertAlign val="subscript"/>
        <sz val="13"/>
        <rFont val="Arial"/>
        <family val="2"/>
      </rPr>
      <t xml:space="preserve">n-2 </t>
    </r>
    <r>
      <rPr>
        <sz val="11"/>
        <rFont val="Arial"/>
        <family val="2"/>
      </rPr>
      <t>= logK'</t>
    </r>
    <r>
      <rPr>
        <vertAlign val="subscript"/>
        <sz val="13"/>
        <rFont val="Arial"/>
        <family val="2"/>
      </rPr>
      <t>p3</t>
    </r>
  </si>
  <si>
    <r>
      <t>pK'a</t>
    </r>
    <r>
      <rPr>
        <vertAlign val="subscript"/>
        <sz val="13"/>
        <rFont val="Arial"/>
        <family val="2"/>
      </rPr>
      <t xml:space="preserve">n-3 </t>
    </r>
    <r>
      <rPr>
        <sz val="11"/>
        <rFont val="Arial"/>
        <family val="2"/>
      </rPr>
      <t>= logK'</t>
    </r>
    <r>
      <rPr>
        <vertAlign val="subscript"/>
        <sz val="13"/>
        <rFont val="Arial"/>
        <family val="2"/>
      </rPr>
      <t>p4</t>
    </r>
  </si>
  <si>
    <r>
      <t>pK'a</t>
    </r>
    <r>
      <rPr>
        <vertAlign val="subscript"/>
        <sz val="13"/>
        <rFont val="Arial"/>
        <family val="2"/>
      </rPr>
      <t xml:space="preserve">n-4 </t>
    </r>
    <r>
      <rPr>
        <sz val="11"/>
        <rFont val="Arial"/>
        <family val="2"/>
      </rPr>
      <t>= logK'</t>
    </r>
    <r>
      <rPr>
        <vertAlign val="subscript"/>
        <sz val="13"/>
        <rFont val="Arial"/>
        <family val="2"/>
      </rPr>
      <t>p5</t>
    </r>
  </si>
  <si>
    <r>
      <t>pK'a</t>
    </r>
    <r>
      <rPr>
        <vertAlign val="subscript"/>
        <sz val="13"/>
        <rFont val="Arial"/>
        <family val="2"/>
      </rPr>
      <t xml:space="preserve">n-5 </t>
    </r>
    <r>
      <rPr>
        <sz val="11"/>
        <rFont val="Arial"/>
        <family val="2"/>
      </rPr>
      <t>= logK'</t>
    </r>
    <r>
      <rPr>
        <vertAlign val="subscript"/>
        <sz val="13"/>
        <rFont val="Arial"/>
        <family val="2"/>
      </rPr>
      <t>p6</t>
    </r>
  </si>
  <si>
    <t>pK'w</t>
  </si>
  <si>
    <t>K'w</t>
  </si>
  <si>
    <r>
      <t>b</t>
    </r>
    <r>
      <rPr>
        <sz val="12"/>
        <rFont val="Arial"/>
        <family val="2"/>
      </rPr>
      <t>'</t>
    </r>
    <r>
      <rPr>
        <vertAlign val="subscript"/>
        <sz val="12"/>
        <rFont val="Arial"/>
        <family val="2"/>
      </rPr>
      <t>p1</t>
    </r>
  </si>
  <si>
    <r>
      <t>b</t>
    </r>
    <r>
      <rPr>
        <sz val="12"/>
        <rFont val="Arial"/>
        <family val="2"/>
      </rPr>
      <t>'</t>
    </r>
    <r>
      <rPr>
        <vertAlign val="subscript"/>
        <sz val="12"/>
        <rFont val="Arial"/>
        <family val="2"/>
      </rPr>
      <t>p2</t>
    </r>
    <r>
      <rPr>
        <sz val="10"/>
        <rFont val="Arial"/>
        <family val="2"/>
      </rPr>
      <t/>
    </r>
  </si>
  <si>
    <r>
      <t>b</t>
    </r>
    <r>
      <rPr>
        <sz val="12"/>
        <rFont val="Arial"/>
        <family val="2"/>
      </rPr>
      <t>'</t>
    </r>
    <r>
      <rPr>
        <vertAlign val="subscript"/>
        <sz val="12"/>
        <rFont val="Arial"/>
        <family val="2"/>
      </rPr>
      <t>p3</t>
    </r>
    <r>
      <rPr>
        <sz val="10"/>
        <rFont val="Arial"/>
        <family val="2"/>
      </rPr>
      <t/>
    </r>
  </si>
  <si>
    <r>
      <t>b</t>
    </r>
    <r>
      <rPr>
        <sz val="12"/>
        <rFont val="Arial"/>
        <family val="2"/>
      </rPr>
      <t>'</t>
    </r>
    <r>
      <rPr>
        <vertAlign val="subscript"/>
        <sz val="12"/>
        <rFont val="Arial"/>
        <family val="2"/>
      </rPr>
      <t>p4</t>
    </r>
    <r>
      <rPr>
        <sz val="10"/>
        <rFont val="Arial"/>
        <family val="2"/>
      </rPr>
      <t/>
    </r>
  </si>
  <si>
    <r>
      <t>b</t>
    </r>
    <r>
      <rPr>
        <sz val="12"/>
        <rFont val="Arial"/>
        <family val="2"/>
      </rPr>
      <t>'</t>
    </r>
    <r>
      <rPr>
        <vertAlign val="subscript"/>
        <sz val="12"/>
        <rFont val="Arial"/>
        <family val="2"/>
      </rPr>
      <t>p5</t>
    </r>
    <r>
      <rPr>
        <sz val="10"/>
        <rFont val="Arial"/>
        <family val="2"/>
      </rPr>
      <t/>
    </r>
  </si>
  <si>
    <r>
      <t>b</t>
    </r>
    <r>
      <rPr>
        <sz val="12"/>
        <rFont val="Arial"/>
        <family val="2"/>
      </rPr>
      <t>'</t>
    </r>
    <r>
      <rPr>
        <vertAlign val="subscript"/>
        <sz val="12"/>
        <rFont val="Arial"/>
        <family val="2"/>
      </rPr>
      <t>p6</t>
    </r>
    <r>
      <rPr>
        <sz val="10"/>
        <rFont val="Arial"/>
        <family val="2"/>
      </rPr>
      <t/>
    </r>
  </si>
  <si>
    <t xml:space="preserve">           </t>
  </si>
  <si>
    <t>http://nvl.nist.gov/pub/nistpubs/jres/081/1/V81.N01.A03.pdf</t>
  </si>
  <si>
    <t>http://nvl.nist.gov/pub/nistpubs/jres/066/2/V66.N02.A06.pdf</t>
  </si>
  <si>
    <t xml:space="preserve">Measurement of pH. Definitions, Standards and Procedures (IUPAC - 2002) </t>
  </si>
  <si>
    <t>http://www.iupac.org/publications/pac/2002/pdf/7411x2169.pdf</t>
  </si>
  <si>
    <t xml:space="preserve">  Formula</t>
  </si>
  <si>
    <t>NaOH</t>
  </si>
  <si>
    <t>Aminobenzene = aniline</t>
  </si>
  <si>
    <t>C6H7N</t>
  </si>
  <si>
    <t xml:space="preserve">2,3-Dimethylpyridine </t>
  </si>
  <si>
    <t xml:space="preserve">2,4-Dimethylpyridine </t>
  </si>
  <si>
    <t xml:space="preserve">2,5-Dmethylpyridine </t>
  </si>
  <si>
    <t xml:space="preserve">2,6-Dimethylpyridine </t>
  </si>
  <si>
    <t xml:space="preserve">3,4-Dimethylpyridine </t>
  </si>
  <si>
    <t xml:space="preserve">3.5-Dimethylpyridine </t>
  </si>
  <si>
    <t>Hydrazine</t>
  </si>
  <si>
    <t>N2H4</t>
  </si>
  <si>
    <r>
      <t>HCrO</t>
    </r>
    <r>
      <rPr>
        <vertAlign val="subscript"/>
        <sz val="10"/>
        <rFont val="Arial"/>
        <family val="2"/>
      </rPr>
      <t>4</t>
    </r>
    <r>
      <rPr>
        <vertAlign val="superscript"/>
        <sz val="10"/>
        <rFont val="Arial"/>
        <family val="2"/>
      </rPr>
      <t>-</t>
    </r>
    <r>
      <rPr>
        <sz val="10"/>
        <rFont val="Arial"/>
        <family val="2"/>
      </rPr>
      <t xml:space="preserve"> </t>
    </r>
  </si>
  <si>
    <r>
      <t>HSeO</t>
    </r>
    <r>
      <rPr>
        <vertAlign val="subscript"/>
        <sz val="10"/>
        <rFont val="Arial"/>
        <family val="2"/>
      </rPr>
      <t>4</t>
    </r>
    <r>
      <rPr>
        <sz val="10"/>
        <rFont val="Arial"/>
        <family val="2"/>
      </rPr>
      <t xml:space="preserve">- </t>
    </r>
  </si>
  <si>
    <t>Melamine = 1,3,5-triazine-2,4,6-triamine</t>
  </si>
  <si>
    <t>Methionine = (S)-2-amino-4-(methylsulfanyl)-butanoic acid</t>
  </si>
  <si>
    <t>2-Methylaniline = o-touidine = 2-amino-1-methylbenzene</t>
  </si>
  <si>
    <t>C7H9N</t>
  </si>
  <si>
    <t>107.17</t>
  </si>
  <si>
    <t>4-Methylaniline = p-toluidine = 4-amino-1-methylbenzene</t>
  </si>
  <si>
    <t>2-Methylphenol = o-cresol</t>
  </si>
  <si>
    <t>108.14</t>
  </si>
  <si>
    <t>4-Methylphenol = p-cresol</t>
  </si>
  <si>
    <t>p-Periodic acid</t>
  </si>
  <si>
    <r>
      <t>S</t>
    </r>
    <r>
      <rPr>
        <sz val="10"/>
        <rFont val="Arial"/>
        <family val="2"/>
      </rPr>
      <t>z</t>
    </r>
    <r>
      <rPr>
        <vertAlign val="subscript"/>
        <sz val="12"/>
        <rFont val="Arial"/>
        <family val="2"/>
      </rPr>
      <t>i</t>
    </r>
    <r>
      <rPr>
        <sz val="10"/>
        <rFont val="Arial"/>
        <family val="2"/>
      </rPr>
      <t>C</t>
    </r>
    <r>
      <rPr>
        <vertAlign val="subscript"/>
        <sz val="12"/>
        <rFont val="Arial"/>
        <family val="2"/>
      </rPr>
      <t>i</t>
    </r>
  </si>
  <si>
    <r>
      <t>z</t>
    </r>
    <r>
      <rPr>
        <vertAlign val="subscript"/>
        <sz val="12"/>
        <rFont val="Arial"/>
        <family val="2"/>
      </rPr>
      <t>i</t>
    </r>
    <r>
      <rPr>
        <sz val="10"/>
        <rFont val="Arial"/>
        <family val="2"/>
      </rPr>
      <t>C</t>
    </r>
    <r>
      <rPr>
        <vertAlign val="subscript"/>
        <sz val="12"/>
        <rFont val="Arial"/>
        <family val="2"/>
      </rPr>
      <t>i</t>
    </r>
  </si>
  <si>
    <t>[H]</t>
  </si>
  <si>
    <t>(mL)</t>
  </si>
  <si>
    <t>mol/L</t>
  </si>
  <si>
    <r>
      <t>pKa</t>
    </r>
    <r>
      <rPr>
        <vertAlign val="subscript"/>
        <sz val="13"/>
        <rFont val="Arial"/>
        <family val="2"/>
      </rPr>
      <t xml:space="preserve">1 </t>
    </r>
    <r>
      <rPr>
        <sz val="11"/>
        <rFont val="Arial"/>
        <family val="2"/>
      </rPr>
      <t>= logK</t>
    </r>
    <r>
      <rPr>
        <vertAlign val="subscript"/>
        <sz val="13"/>
        <rFont val="Arial"/>
        <family val="2"/>
      </rPr>
      <t>pn</t>
    </r>
  </si>
  <si>
    <r>
      <t>pKa</t>
    </r>
    <r>
      <rPr>
        <vertAlign val="subscript"/>
        <sz val="13"/>
        <rFont val="Arial"/>
        <family val="2"/>
      </rPr>
      <t xml:space="preserve">2 </t>
    </r>
    <r>
      <rPr>
        <sz val="11"/>
        <rFont val="Arial"/>
        <family val="2"/>
      </rPr>
      <t>= logK</t>
    </r>
    <r>
      <rPr>
        <vertAlign val="subscript"/>
        <sz val="13"/>
        <rFont val="Arial"/>
        <family val="2"/>
      </rPr>
      <t>pn-1</t>
    </r>
  </si>
  <si>
    <r>
      <t>pKa</t>
    </r>
    <r>
      <rPr>
        <vertAlign val="subscript"/>
        <sz val="13"/>
        <rFont val="Arial"/>
        <family val="2"/>
      </rPr>
      <t xml:space="preserve">3 </t>
    </r>
    <r>
      <rPr>
        <sz val="11"/>
        <rFont val="Arial"/>
        <family val="2"/>
      </rPr>
      <t>= logK</t>
    </r>
    <r>
      <rPr>
        <vertAlign val="subscript"/>
        <sz val="13"/>
        <rFont val="Arial"/>
        <family val="2"/>
      </rPr>
      <t>pn-2</t>
    </r>
  </si>
  <si>
    <r>
      <t>pKa</t>
    </r>
    <r>
      <rPr>
        <vertAlign val="subscript"/>
        <sz val="13"/>
        <rFont val="Arial"/>
        <family val="2"/>
      </rPr>
      <t xml:space="preserve">4 </t>
    </r>
    <r>
      <rPr>
        <sz val="11"/>
        <rFont val="Arial"/>
        <family val="2"/>
      </rPr>
      <t>= logK</t>
    </r>
    <r>
      <rPr>
        <vertAlign val="subscript"/>
        <sz val="13"/>
        <rFont val="Arial"/>
        <family val="2"/>
      </rPr>
      <t>pn-3</t>
    </r>
  </si>
  <si>
    <r>
      <t>pKa</t>
    </r>
    <r>
      <rPr>
        <vertAlign val="subscript"/>
        <sz val="13"/>
        <rFont val="Arial"/>
        <family val="2"/>
      </rPr>
      <t xml:space="preserve">5 </t>
    </r>
    <r>
      <rPr>
        <sz val="11"/>
        <rFont val="Arial"/>
        <family val="2"/>
      </rPr>
      <t>= logK</t>
    </r>
    <r>
      <rPr>
        <vertAlign val="subscript"/>
        <sz val="13"/>
        <rFont val="Arial"/>
        <family val="2"/>
      </rPr>
      <t>pn-4</t>
    </r>
  </si>
  <si>
    <r>
      <t>pKa</t>
    </r>
    <r>
      <rPr>
        <vertAlign val="subscript"/>
        <sz val="13"/>
        <rFont val="Arial"/>
        <family val="2"/>
      </rPr>
      <t xml:space="preserve">6 </t>
    </r>
    <r>
      <rPr>
        <sz val="11"/>
        <rFont val="Arial"/>
        <family val="2"/>
      </rPr>
      <t>= logK</t>
    </r>
    <r>
      <rPr>
        <vertAlign val="subscript"/>
        <sz val="13"/>
        <rFont val="Arial"/>
        <family val="2"/>
      </rPr>
      <t>pn-5</t>
    </r>
  </si>
  <si>
    <t>pH (-8 a 0)</t>
  </si>
  <si>
    <t/>
  </si>
  <si>
    <r>
      <t xml:space="preserve">  Solution composition - reagents added,</t>
    </r>
    <r>
      <rPr>
        <sz val="11"/>
        <rFont val="Arial"/>
        <family val="2"/>
      </rPr>
      <t xml:space="preserve"> in mol/L</t>
    </r>
  </si>
  <si>
    <t>Acid / Base
Protonation</t>
  </si>
  <si>
    <t>Electrolyte</t>
  </si>
  <si>
    <t>Charge Balance</t>
  </si>
  <si>
    <t>Acid / Base</t>
  </si>
  <si>
    <t>Charge of B</t>
  </si>
  <si>
    <t>Ion charge</t>
  </si>
  <si>
    <t xml:space="preserve"> Davies equation parameters</t>
  </si>
  <si>
    <t xml:space="preserve"> for activity coefficient estimation</t>
  </si>
  <si>
    <t>Color  coding</t>
  </si>
  <si>
    <t xml:space="preserve">D  o     n  o  t     c  h  a  n  g  e </t>
  </si>
  <si>
    <t xml:space="preserve"> C h a n g e   c r i t e r i o u s l y</t>
  </si>
  <si>
    <t>Fill out, change or leave blank</t>
  </si>
  <si>
    <t>Titrand</t>
  </si>
  <si>
    <r>
      <t xml:space="preserve">    </t>
    </r>
    <r>
      <rPr>
        <b/>
        <sz val="10"/>
        <rFont val="Arial"/>
        <family val="2"/>
      </rPr>
      <t>Titrand</t>
    </r>
  </si>
  <si>
    <t>Charge of  B</t>
  </si>
  <si>
    <t>Titrant</t>
  </si>
  <si>
    <t xml:space="preserve">          Titration Data Analysis - Multiple Regression</t>
  </si>
  <si>
    <t>Carbonic ac.</t>
  </si>
  <si>
    <t>Water</t>
  </si>
  <si>
    <t>Sum</t>
  </si>
  <si>
    <t>Dispensed</t>
  </si>
  <si>
    <t>added</t>
  </si>
  <si>
    <t>(initial vol.)</t>
  </si>
  <si>
    <t xml:space="preserve"> Data ID on curves</t>
  </si>
  <si>
    <t xml:space="preserve"> Copying curves</t>
  </si>
  <si>
    <t xml:space="preserve"> Resizing axis</t>
  </si>
  <si>
    <t xml:space="preserve"> Other graphics</t>
  </si>
  <si>
    <t xml:space="preserve"> Data analysis</t>
  </si>
  <si>
    <t>Vadd</t>
  </si>
  <si>
    <t>simulated</t>
  </si>
  <si>
    <t>simulated with "error"</t>
  </si>
  <si>
    <r>
      <t>Titrand</t>
    </r>
    <r>
      <rPr>
        <sz val="10"/>
        <rFont val="Arial"/>
        <family val="2"/>
      </rPr>
      <t xml:space="preserve"> (sample)</t>
    </r>
  </si>
  <si>
    <r>
      <t xml:space="preserve">Titrant </t>
    </r>
    <r>
      <rPr>
        <sz val="10"/>
        <rFont val="Arial"/>
        <family val="2"/>
      </rPr>
      <t>(buret)</t>
    </r>
  </si>
  <si>
    <t>Hydroxide ion</t>
  </si>
  <si>
    <t>h1 titrant</t>
  </si>
  <si>
    <t>h2 titrant</t>
  </si>
  <si>
    <t>h3 titrant</t>
  </si>
  <si>
    <r>
      <t xml:space="preserve"> Overall protonation constants = </t>
    </r>
    <r>
      <rPr>
        <b/>
        <sz val="11"/>
        <rFont val="Symbol"/>
        <family val="1"/>
        <charset val="2"/>
      </rPr>
      <t>b</t>
    </r>
    <r>
      <rPr>
        <b/>
        <sz val="11"/>
        <rFont val="Arial"/>
        <family val="2"/>
      </rPr>
      <t xml:space="preserve">p = </t>
    </r>
    <r>
      <rPr>
        <b/>
        <sz val="11"/>
        <rFont val="Symbol"/>
        <family val="1"/>
        <charset val="2"/>
      </rPr>
      <t>S</t>
    </r>
    <r>
      <rPr>
        <b/>
        <sz val="11"/>
        <rFont val="Arial"/>
        <family val="2"/>
      </rPr>
      <t xml:space="preserve">Kp </t>
    </r>
    <r>
      <rPr>
        <sz val="11"/>
        <rFont val="Arial"/>
        <family val="2"/>
      </rPr>
      <t>(calculated by the program)</t>
    </r>
  </si>
  <si>
    <t>Dill. Titrant</t>
  </si>
  <si>
    <t>Dil Titrand</t>
  </si>
  <si>
    <t>Molar mass</t>
  </si>
  <si>
    <r>
      <t>pKa</t>
    </r>
    <r>
      <rPr>
        <vertAlign val="subscript"/>
        <sz val="13"/>
        <rFont val="Arial"/>
        <family val="2"/>
      </rPr>
      <t>1</t>
    </r>
  </si>
  <si>
    <r>
      <t>pKa</t>
    </r>
    <r>
      <rPr>
        <vertAlign val="subscript"/>
        <sz val="13"/>
        <rFont val="Arial"/>
        <family val="2"/>
      </rPr>
      <t>2</t>
    </r>
  </si>
  <si>
    <r>
      <t>pKa</t>
    </r>
    <r>
      <rPr>
        <vertAlign val="subscript"/>
        <sz val="13"/>
        <rFont val="Arial"/>
        <family val="2"/>
      </rPr>
      <t>3</t>
    </r>
  </si>
  <si>
    <r>
      <t>pKa</t>
    </r>
    <r>
      <rPr>
        <vertAlign val="subscript"/>
        <sz val="13"/>
        <rFont val="Arial"/>
        <family val="2"/>
      </rPr>
      <t>4</t>
    </r>
  </si>
  <si>
    <r>
      <t>pKa</t>
    </r>
    <r>
      <rPr>
        <vertAlign val="subscript"/>
        <sz val="13"/>
        <rFont val="Arial"/>
        <family val="2"/>
      </rPr>
      <t>5</t>
    </r>
  </si>
  <si>
    <r>
      <t>pKa</t>
    </r>
    <r>
      <rPr>
        <vertAlign val="subscript"/>
        <sz val="13"/>
        <rFont val="Arial"/>
        <family val="2"/>
      </rPr>
      <t>6</t>
    </r>
  </si>
  <si>
    <t>Strong ACID</t>
  </si>
  <si>
    <t>Strong BASE</t>
  </si>
  <si>
    <t xml:space="preserve">  Virtual Titrator – Simulation of curves  </t>
  </si>
  <si>
    <t>Sample</t>
  </si>
  <si>
    <t>Click on K2 to Q2; select acids/bases; click on J2; other options, read M1</t>
  </si>
  <si>
    <t>Click on K2 to Q2; select acids/bases; click on J2; read M1</t>
  </si>
  <si>
    <r>
      <t xml:space="preserve">      Interpolation and smoothing</t>
    </r>
    <r>
      <rPr>
        <sz val="12"/>
        <rFont val="Arial"/>
        <family val="2"/>
      </rPr>
      <t xml:space="preserve"> by cubic splines</t>
    </r>
  </si>
  <si>
    <r>
      <t xml:space="preserve">    Evaluation of Real and Simulated Titration Data </t>
    </r>
    <r>
      <rPr>
        <sz val="14"/>
        <color indexed="43"/>
        <rFont val="Arial"/>
        <family val="2"/>
      </rPr>
      <t>by Derivatives with Interpolation</t>
    </r>
  </si>
  <si>
    <t>Interp. Vol.</t>
  </si>
  <si>
    <t>Fitted pH</t>
  </si>
  <si>
    <r>
      <t>d</t>
    </r>
    <r>
      <rPr>
        <b/>
        <vertAlign val="superscript"/>
        <sz val="11"/>
        <rFont val="Arial"/>
        <family val="2"/>
      </rPr>
      <t>2</t>
    </r>
    <r>
      <rPr>
        <b/>
        <sz val="10"/>
        <rFont val="Arial"/>
        <family val="2"/>
      </rPr>
      <t>pH/dV</t>
    </r>
    <r>
      <rPr>
        <b/>
        <vertAlign val="superscript"/>
        <sz val="11"/>
        <rFont val="Arial"/>
        <family val="2"/>
      </rPr>
      <t>2</t>
    </r>
  </si>
  <si>
    <t xml:space="preserve"> (0 to 100%)</t>
  </si>
  <si>
    <t>Interpolated points</t>
  </si>
  <si>
    <t>Initial volume</t>
  </si>
  <si>
    <t>Final volume</t>
  </si>
  <si>
    <t>Minimum</t>
  </si>
  <si>
    <t xml:space="preserve">Degree of smoothing  </t>
  </si>
  <si>
    <r>
      <t xml:space="preserve">    Fitting range</t>
    </r>
    <r>
      <rPr>
        <sz val="10"/>
        <rFont val="Arial"/>
        <family val="2"/>
      </rPr>
      <t xml:space="preserve"> (zoom)</t>
    </r>
  </si>
  <si>
    <t>Vol. Inflection</t>
  </si>
  <si>
    <t>[species]</t>
  </si>
  <si>
    <t xml:space="preserve">Results of the Example: </t>
  </si>
  <si>
    <t>No titration curve</t>
  </si>
  <si>
    <t xml:space="preserve">        Acid/base system</t>
  </si>
  <si>
    <t>Molar fraction of each species during titration</t>
  </si>
  <si>
    <t>alpha 0</t>
  </si>
  <si>
    <t>alpha 1</t>
  </si>
  <si>
    <t>alpha 2</t>
  </si>
  <si>
    <t>alpha 3</t>
  </si>
  <si>
    <t>alpha 4</t>
  </si>
  <si>
    <t>alpha 5</t>
  </si>
  <si>
    <t>alpha 6</t>
  </si>
  <si>
    <t>scaling</t>
  </si>
  <si>
    <t>same</t>
  </si>
  <si>
    <t>logarithm of molar fraction of each species during titration</t>
  </si>
  <si>
    <t>log alpha 0</t>
  </si>
  <si>
    <t>log alpha 1</t>
  </si>
  <si>
    <t>log alpha 2</t>
  </si>
  <si>
    <t>log alpha 3</t>
  </si>
  <si>
    <t>log alpha 4</t>
  </si>
  <si>
    <t>log alpha 5</t>
  </si>
  <si>
    <t>log alpha 6</t>
  </si>
  <si>
    <t>with "error" 
(do not use)</t>
  </si>
  <si>
    <r>
      <t>Version 3.2, released in December 2006, includes a separate</t>
    </r>
    <r>
      <rPr>
        <b/>
        <sz val="12"/>
        <rFont val="Arial"/>
        <family val="2"/>
      </rPr>
      <t xml:space="preserve"> pH_calc</t>
    </r>
    <r>
      <rPr>
        <sz val="12"/>
        <rFont val="Arial"/>
        <family val="2"/>
      </rPr>
      <t xml:space="preserve"> module with activity coefficient estimation.</t>
    </r>
  </si>
  <si>
    <r>
      <t xml:space="preserve">     Titrand (sample) and titrant (standard) composition </t>
    </r>
    <r>
      <rPr>
        <sz val="11"/>
        <rFont val="Arial"/>
        <family val="2"/>
      </rPr>
      <t>(concentrations in mol/L)</t>
    </r>
  </si>
  <si>
    <t xml:space="preserve">             pKa(n) = -log Kd(HB--&gt;B) = log Kp(1)</t>
  </si>
  <si>
    <t xml:space="preserve"> Fill out concentrations; Enter; Click button B18.</t>
  </si>
  <si>
    <t>Click on J2 to use these pKas in the pH calculation</t>
  </si>
  <si>
    <r>
      <t xml:space="preserve">       pKa</t>
    </r>
    <r>
      <rPr>
        <sz val="11"/>
        <rFont val="Arial"/>
        <family val="2"/>
      </rPr>
      <t xml:space="preserve">s loaded from the Database </t>
    </r>
  </si>
  <si>
    <t>Click on J2 to use these pKas in the Regression</t>
  </si>
  <si>
    <t>Click on J2 to use these pKas in the Simulation</t>
  </si>
  <si>
    <t xml:space="preserve">max. free H </t>
  </si>
  <si>
    <t>Larger compilations of equilibrium constants and examples of on-line literature on acid-base equilibrium</t>
  </si>
  <si>
    <r>
      <t>measured</t>
    </r>
    <r>
      <rPr>
        <b/>
        <sz val="10"/>
        <rFont val="Arial"/>
        <family val="2"/>
      </rPr>
      <t xml:space="preserve"> pH</t>
    </r>
  </si>
  <si>
    <t>Dimethylglyoxime</t>
  </si>
  <si>
    <t xml:space="preserve">  Correction of the pH sensor calibration</t>
  </si>
  <si>
    <t>den1</t>
  </si>
  <si>
    <t>den2</t>
  </si>
  <si>
    <t>den3</t>
  </si>
  <si>
    <t>den4</t>
  </si>
  <si>
    <t>den5</t>
  </si>
  <si>
    <t>den6</t>
  </si>
  <si>
    <t>den7</t>
  </si>
  <si>
    <t>den1 titrant</t>
  </si>
  <si>
    <t>den2 titrant</t>
  </si>
  <si>
    <t>den3 titrant</t>
  </si>
  <si>
    <r>
      <t>I</t>
    </r>
    <r>
      <rPr>
        <b/>
        <sz val="10"/>
        <rFont val="Arial"/>
        <family val="2"/>
      </rPr>
      <t>1</t>
    </r>
  </si>
  <si>
    <r>
      <t>I</t>
    </r>
    <r>
      <rPr>
        <b/>
        <sz val="10"/>
        <rFont val="Arial"/>
        <family val="2"/>
      </rPr>
      <t>2</t>
    </r>
    <r>
      <rPr>
        <sz val="10"/>
        <rFont val="Arial"/>
        <family val="2"/>
      </rPr>
      <t/>
    </r>
  </si>
  <si>
    <r>
      <t>I</t>
    </r>
    <r>
      <rPr>
        <b/>
        <sz val="10"/>
        <rFont val="Arial"/>
        <family val="2"/>
      </rPr>
      <t>3</t>
    </r>
    <r>
      <rPr>
        <sz val="10"/>
        <rFont val="Arial"/>
        <family val="2"/>
      </rPr>
      <t/>
    </r>
  </si>
  <si>
    <r>
      <t>I</t>
    </r>
    <r>
      <rPr>
        <b/>
        <sz val="10"/>
        <rFont val="Arial"/>
        <family val="2"/>
      </rPr>
      <t>4</t>
    </r>
    <r>
      <rPr>
        <sz val="10"/>
        <rFont val="Arial"/>
        <family val="2"/>
      </rPr>
      <t/>
    </r>
  </si>
  <si>
    <r>
      <t>I</t>
    </r>
    <r>
      <rPr>
        <b/>
        <sz val="10"/>
        <rFont val="Arial"/>
        <family val="2"/>
      </rPr>
      <t>5</t>
    </r>
    <r>
      <rPr>
        <sz val="10"/>
        <rFont val="Arial"/>
        <family val="2"/>
      </rPr>
      <t/>
    </r>
  </si>
  <si>
    <r>
      <t>I</t>
    </r>
    <r>
      <rPr>
        <b/>
        <sz val="10"/>
        <rFont val="Arial"/>
        <family val="2"/>
      </rPr>
      <t>6</t>
    </r>
    <r>
      <rPr>
        <sz val="10"/>
        <rFont val="Arial"/>
        <family val="2"/>
      </rPr>
      <t/>
    </r>
  </si>
  <si>
    <r>
      <t>I</t>
    </r>
    <r>
      <rPr>
        <b/>
        <sz val="10"/>
        <rFont val="Arial"/>
        <family val="2"/>
      </rPr>
      <t>7</t>
    </r>
    <r>
      <rPr>
        <sz val="10"/>
        <rFont val="Arial"/>
        <family val="2"/>
      </rPr>
      <t/>
    </r>
  </si>
  <si>
    <r>
      <t>I</t>
    </r>
    <r>
      <rPr>
        <b/>
        <sz val="10"/>
        <rFont val="Arial"/>
        <family val="2"/>
      </rPr>
      <t>1 titrant</t>
    </r>
  </si>
  <si>
    <r>
      <t>I</t>
    </r>
    <r>
      <rPr>
        <b/>
        <sz val="10"/>
        <rFont val="Arial"/>
        <family val="2"/>
      </rPr>
      <t>2 titrant</t>
    </r>
  </si>
  <si>
    <r>
      <t>I</t>
    </r>
    <r>
      <rPr>
        <b/>
        <sz val="10"/>
        <rFont val="Arial"/>
        <family val="2"/>
      </rPr>
      <t>3 titrant</t>
    </r>
  </si>
  <si>
    <r>
      <t>CH</t>
    </r>
    <r>
      <rPr>
        <sz val="8"/>
        <rFont val="Arial"/>
        <family val="2"/>
      </rPr>
      <t>Reg</t>
    </r>
  </si>
  <si>
    <t>Counterion charge</t>
  </si>
  <si>
    <r>
      <rPr>
        <sz val="10"/>
        <rFont val="Arial"/>
        <family val="2"/>
      </rPr>
      <t xml:space="preserve">and </t>
    </r>
    <r>
      <rPr>
        <sz val="12"/>
        <rFont val="Symbol"/>
        <family val="1"/>
        <charset val="2"/>
      </rPr>
      <t xml:space="preserve">g </t>
    </r>
    <r>
      <rPr>
        <sz val="11"/>
        <rFont val="Arial"/>
        <family val="2"/>
      </rPr>
      <t>H</t>
    </r>
    <r>
      <rPr>
        <vertAlign val="superscript"/>
        <sz val="12"/>
        <rFont val="Arial"/>
        <family val="2"/>
      </rPr>
      <t>+</t>
    </r>
    <r>
      <rPr>
        <sz val="12"/>
        <rFont val="Arial"/>
        <family val="2"/>
      </rPr>
      <t>=</t>
    </r>
  </si>
  <si>
    <r>
      <t>S</t>
    </r>
    <r>
      <rPr>
        <sz val="10"/>
        <rFont val="Arial"/>
        <family val="2"/>
      </rPr>
      <t>z</t>
    </r>
    <r>
      <rPr>
        <vertAlign val="subscript"/>
        <sz val="12"/>
        <rFont val="Arial"/>
        <family val="2"/>
      </rPr>
      <t>i</t>
    </r>
    <r>
      <rPr>
        <vertAlign val="superscript"/>
        <sz val="12"/>
        <rFont val="Arial"/>
        <family val="2"/>
      </rPr>
      <t>2</t>
    </r>
    <r>
      <rPr>
        <sz val="10"/>
        <rFont val="Arial"/>
        <family val="2"/>
      </rPr>
      <t>C</t>
    </r>
    <r>
      <rPr>
        <vertAlign val="subscript"/>
        <sz val="12"/>
        <rFont val="Arial"/>
        <family val="2"/>
      </rPr>
      <t>i</t>
    </r>
  </si>
  <si>
    <t>Titrant ions</t>
  </si>
  <si>
    <t>Acid/base ions</t>
  </si>
  <si>
    <r>
      <rPr>
        <sz val="10"/>
        <rFont val="Symbol"/>
        <family val="1"/>
        <charset val="2"/>
      </rPr>
      <t>S</t>
    </r>
    <r>
      <rPr>
        <sz val="10"/>
        <rFont val="Arial"/>
        <family val="2"/>
      </rPr>
      <t>z</t>
    </r>
    <r>
      <rPr>
        <vertAlign val="subscript"/>
        <sz val="12"/>
        <rFont val="Arial"/>
        <family val="2"/>
      </rPr>
      <t>i</t>
    </r>
    <r>
      <rPr>
        <sz val="10"/>
        <rFont val="Arial"/>
        <family val="2"/>
      </rPr>
      <t>C</t>
    </r>
    <r>
      <rPr>
        <vertAlign val="subscript"/>
        <sz val="12"/>
        <rFont val="Arial"/>
        <family val="2"/>
      </rPr>
      <t>i</t>
    </r>
  </si>
  <si>
    <r>
      <rPr>
        <sz val="10"/>
        <rFont val="Symbol"/>
        <family val="1"/>
        <charset val="2"/>
      </rPr>
      <t>S</t>
    </r>
    <r>
      <rPr>
        <sz val="10"/>
        <rFont val="Arial"/>
        <family val="2"/>
      </rPr>
      <t>z</t>
    </r>
    <r>
      <rPr>
        <vertAlign val="subscript"/>
        <sz val="12"/>
        <rFont val="Arial"/>
        <family val="2"/>
      </rPr>
      <t>j</t>
    </r>
    <r>
      <rPr>
        <sz val="10"/>
        <rFont val="Arial"/>
        <family val="2"/>
      </rPr>
      <t>C</t>
    </r>
    <r>
      <rPr>
        <vertAlign val="subscript"/>
        <sz val="12"/>
        <rFont val="Arial"/>
        <family val="2"/>
      </rPr>
      <t>j</t>
    </r>
  </si>
  <si>
    <r>
      <t>S</t>
    </r>
    <r>
      <rPr>
        <sz val="10"/>
        <rFont val="Arial"/>
        <family val="2"/>
      </rPr>
      <t>C</t>
    </r>
    <r>
      <rPr>
        <vertAlign val="subscript"/>
        <sz val="12"/>
        <rFont val="Arial"/>
        <family val="2"/>
      </rPr>
      <t>k(</t>
    </r>
    <r>
      <rPr>
        <vertAlign val="subscript"/>
        <sz val="14"/>
        <rFont val="Arial"/>
        <family val="2"/>
      </rPr>
      <t>z=1</t>
    </r>
    <r>
      <rPr>
        <vertAlign val="subscript"/>
        <sz val="12"/>
        <rFont val="Arial"/>
        <family val="2"/>
      </rPr>
      <t>)</t>
    </r>
  </si>
  <si>
    <r>
      <t>S</t>
    </r>
    <r>
      <rPr>
        <sz val="10"/>
        <rFont val="Arial"/>
        <family val="2"/>
      </rPr>
      <t>C</t>
    </r>
    <r>
      <rPr>
        <vertAlign val="subscript"/>
        <sz val="12"/>
        <rFont val="Arial"/>
        <family val="2"/>
      </rPr>
      <t>k(</t>
    </r>
    <r>
      <rPr>
        <vertAlign val="subscript"/>
        <sz val="14"/>
        <rFont val="Arial"/>
        <family val="2"/>
      </rPr>
      <t>z=2</t>
    </r>
    <r>
      <rPr>
        <vertAlign val="subscript"/>
        <sz val="12"/>
        <rFont val="Arial"/>
        <family val="2"/>
      </rPr>
      <t>)</t>
    </r>
  </si>
  <si>
    <t>(z = ion charge)</t>
  </si>
  <si>
    <r>
      <t>Total</t>
    </r>
    <r>
      <rPr>
        <sz val="10"/>
        <rFont val="Bookman Old Style"/>
        <family val="1"/>
      </rPr>
      <t xml:space="preserve"> I </t>
    </r>
  </si>
  <si>
    <r>
      <t>[H</t>
    </r>
    <r>
      <rPr>
        <vertAlign val="superscript"/>
        <sz val="12"/>
        <rFont val="Arial"/>
        <family val="2"/>
      </rPr>
      <t>+</t>
    </r>
    <r>
      <rPr>
        <sz val="10"/>
        <rFont val="Arial"/>
        <family val="2"/>
      </rPr>
      <t>]</t>
    </r>
  </si>
  <si>
    <t>for acids/bases</t>
  </si>
  <si>
    <t>Other ions</t>
  </si>
  <si>
    <r>
      <rPr>
        <sz val="10"/>
        <rFont val="Arial"/>
        <family val="2"/>
      </rPr>
      <t>1/2.</t>
    </r>
    <r>
      <rPr>
        <sz val="10"/>
        <rFont val="Symbol"/>
        <family val="1"/>
        <charset val="2"/>
      </rPr>
      <t>S</t>
    </r>
    <r>
      <rPr>
        <sz val="10"/>
        <rFont val="Arial"/>
        <family val="2"/>
      </rPr>
      <t>C</t>
    </r>
    <r>
      <rPr>
        <vertAlign val="subscript"/>
        <sz val="12"/>
        <rFont val="Arial"/>
        <family val="2"/>
      </rPr>
      <t>j</t>
    </r>
    <r>
      <rPr>
        <sz val="10"/>
        <rFont val="Arial"/>
        <family val="2"/>
      </rPr>
      <t>z</t>
    </r>
    <r>
      <rPr>
        <vertAlign val="subscript"/>
        <sz val="12"/>
        <rFont val="Arial"/>
        <family val="2"/>
      </rPr>
      <t>j</t>
    </r>
    <r>
      <rPr>
        <vertAlign val="superscript"/>
        <sz val="12"/>
        <rFont val="Arial"/>
        <family val="2"/>
      </rPr>
      <t>2</t>
    </r>
    <r>
      <rPr>
        <sz val="12"/>
        <rFont val="Arial"/>
        <family val="2"/>
      </rPr>
      <t xml:space="preserve"> = </t>
    </r>
    <r>
      <rPr>
        <sz val="10"/>
        <rFont val="Bookman Old Style"/>
        <family val="1"/>
      </rPr>
      <t>I</t>
    </r>
    <r>
      <rPr>
        <vertAlign val="subscript"/>
        <sz val="12"/>
        <rFont val="Arial"/>
        <family val="2"/>
      </rPr>
      <t>j</t>
    </r>
  </si>
  <si>
    <r>
      <rPr>
        <sz val="10"/>
        <rFont val="Arial"/>
        <family val="2"/>
      </rPr>
      <t>1/2.</t>
    </r>
    <r>
      <rPr>
        <sz val="10"/>
        <rFont val="Symbol"/>
        <family val="1"/>
        <charset val="2"/>
      </rPr>
      <t>S</t>
    </r>
    <r>
      <rPr>
        <sz val="10"/>
        <rFont val="Arial"/>
        <family val="2"/>
      </rPr>
      <t>C</t>
    </r>
    <r>
      <rPr>
        <vertAlign val="subscript"/>
        <sz val="12"/>
        <rFont val="Arial"/>
        <family val="2"/>
      </rPr>
      <t>k</t>
    </r>
    <r>
      <rPr>
        <sz val="10"/>
        <rFont val="Arial"/>
        <family val="2"/>
      </rPr>
      <t>z</t>
    </r>
    <r>
      <rPr>
        <vertAlign val="subscript"/>
        <sz val="12"/>
        <rFont val="Arial"/>
        <family val="2"/>
      </rPr>
      <t>k</t>
    </r>
    <r>
      <rPr>
        <vertAlign val="superscript"/>
        <sz val="12"/>
        <rFont val="Arial"/>
        <family val="2"/>
      </rPr>
      <t>2</t>
    </r>
    <r>
      <rPr>
        <sz val="12"/>
        <rFont val="Arial"/>
        <family val="2"/>
      </rPr>
      <t xml:space="preserve"> = </t>
    </r>
    <r>
      <rPr>
        <sz val="10"/>
        <rFont val="Bookman Old Style"/>
        <family val="1"/>
      </rPr>
      <t>I</t>
    </r>
    <r>
      <rPr>
        <vertAlign val="subscript"/>
        <sz val="12"/>
        <rFont val="Arial"/>
        <family val="2"/>
      </rPr>
      <t>k</t>
    </r>
  </si>
  <si>
    <t>at given pH</t>
  </si>
  <si>
    <r>
      <rPr>
        <sz val="8"/>
        <rFont val="Arial"/>
        <family val="2"/>
      </rPr>
      <t>1/2</t>
    </r>
    <r>
      <rPr>
        <sz val="10"/>
        <rFont val="Arial"/>
        <family val="2"/>
      </rPr>
      <t>.</t>
    </r>
    <r>
      <rPr>
        <sz val="10"/>
        <rFont val="Symbol"/>
        <family val="1"/>
        <charset val="2"/>
      </rPr>
      <t>S</t>
    </r>
    <r>
      <rPr>
        <sz val="10"/>
        <rFont val="Arial"/>
        <family val="2"/>
      </rPr>
      <t>C</t>
    </r>
    <r>
      <rPr>
        <vertAlign val="subscript"/>
        <sz val="12"/>
        <rFont val="Arial"/>
        <family val="2"/>
      </rPr>
      <t>i</t>
    </r>
    <r>
      <rPr>
        <sz val="10"/>
        <rFont val="Arial"/>
        <family val="2"/>
      </rPr>
      <t>z</t>
    </r>
    <r>
      <rPr>
        <vertAlign val="subscript"/>
        <sz val="12"/>
        <rFont val="Arial"/>
        <family val="2"/>
      </rPr>
      <t>i</t>
    </r>
    <r>
      <rPr>
        <vertAlign val="superscript"/>
        <sz val="12"/>
        <rFont val="Arial"/>
        <family val="2"/>
      </rPr>
      <t>2</t>
    </r>
    <r>
      <rPr>
        <sz val="12"/>
        <rFont val="Arial"/>
        <family val="2"/>
      </rPr>
      <t xml:space="preserve"> =</t>
    </r>
    <r>
      <rPr>
        <sz val="12"/>
        <rFont val="Bookman Old Style"/>
        <family val="1"/>
      </rPr>
      <t xml:space="preserve"> </t>
    </r>
    <r>
      <rPr>
        <sz val="10"/>
        <rFont val="Bookman Old Style"/>
        <family val="1"/>
      </rPr>
      <t>I</t>
    </r>
    <r>
      <rPr>
        <vertAlign val="subscript"/>
        <sz val="12"/>
        <rFont val="Arial"/>
        <family val="2"/>
      </rPr>
      <t>i</t>
    </r>
  </si>
  <si>
    <t xml:space="preserve"> Slope (may be fitted, read comment)</t>
  </si>
  <si>
    <r>
      <t xml:space="preserve">        </t>
    </r>
    <r>
      <rPr>
        <b/>
        <sz val="10"/>
        <rFont val="Arial"/>
        <family val="2"/>
      </rPr>
      <t xml:space="preserve">Ionic Strength, </t>
    </r>
    <r>
      <rPr>
        <b/>
        <sz val="10"/>
        <rFont val="Bookman Old Style"/>
        <family val="1"/>
      </rPr>
      <t>I</t>
    </r>
    <r>
      <rPr>
        <sz val="10"/>
        <rFont val="Arial"/>
        <family val="2"/>
      </rPr>
      <t xml:space="preserve"> (initial)</t>
    </r>
  </si>
  <si>
    <r>
      <t>[OH</t>
    </r>
    <r>
      <rPr>
        <vertAlign val="superscript"/>
        <sz val="12"/>
        <rFont val="Arial"/>
        <family val="2"/>
      </rPr>
      <t>-</t>
    </r>
    <r>
      <rPr>
        <sz val="10"/>
        <rFont val="Arial"/>
        <family val="2"/>
      </rPr>
      <t>]</t>
    </r>
  </si>
  <si>
    <t xml:space="preserve"> Intersection pH (may be fitted)</t>
  </si>
  <si>
    <t>simulated or</t>
  </si>
  <si>
    <r>
      <t>calculated</t>
    </r>
    <r>
      <rPr>
        <b/>
        <sz val="10"/>
        <rFont val="Arial"/>
        <family val="2"/>
      </rPr>
      <t xml:space="preserve"> pH</t>
    </r>
  </si>
  <si>
    <t>from regression</t>
  </si>
  <si>
    <r>
      <t xml:space="preserve">Version 3.0 for Excel, an evolution of the DOS version with added </t>
    </r>
    <r>
      <rPr>
        <b/>
        <sz val="12"/>
        <rFont val="Arial"/>
        <family val="2"/>
      </rPr>
      <t>Regression</t>
    </r>
    <r>
      <rPr>
        <sz val="12"/>
        <rFont val="Arial"/>
        <family val="2"/>
      </rPr>
      <t xml:space="preserve"> module was released in 2006 (in Portuguese).</t>
    </r>
  </si>
  <si>
    <r>
      <rPr>
        <sz val="12"/>
        <rFont val="Symbol"/>
        <family val="1"/>
        <charset val="2"/>
      </rPr>
      <t>a</t>
    </r>
    <r>
      <rPr>
        <sz val="10"/>
        <rFont val="Arial"/>
        <family val="2"/>
      </rPr>
      <t xml:space="preserve"> B</t>
    </r>
  </si>
  <si>
    <r>
      <rPr>
        <sz val="12"/>
        <rFont val="Symbol"/>
        <family val="1"/>
        <charset val="2"/>
      </rPr>
      <t>a</t>
    </r>
    <r>
      <rPr>
        <sz val="10"/>
        <rFont val="Symbol"/>
        <family val="1"/>
        <charset val="2"/>
      </rPr>
      <t xml:space="preserve"> </t>
    </r>
    <r>
      <rPr>
        <sz val="10"/>
        <rFont val="Arial"/>
        <family val="2"/>
      </rPr>
      <t>HB</t>
    </r>
  </si>
  <si>
    <r>
      <rPr>
        <sz val="12"/>
        <rFont val="Symbol"/>
        <family val="1"/>
        <charset val="2"/>
      </rPr>
      <t>a</t>
    </r>
    <r>
      <rPr>
        <sz val="10"/>
        <rFont val="Symbol"/>
        <family val="1"/>
        <charset val="2"/>
      </rPr>
      <t xml:space="preserve"> </t>
    </r>
    <r>
      <rPr>
        <sz val="10"/>
        <rFont val="Arial"/>
        <family val="2"/>
      </rPr>
      <t>H</t>
    </r>
    <r>
      <rPr>
        <vertAlign val="subscript"/>
        <sz val="12"/>
        <rFont val="Arial"/>
        <family val="2"/>
      </rPr>
      <t>2</t>
    </r>
    <r>
      <rPr>
        <sz val="10"/>
        <rFont val="Arial"/>
        <family val="2"/>
      </rPr>
      <t>B</t>
    </r>
  </si>
  <si>
    <r>
      <rPr>
        <sz val="12"/>
        <rFont val="Symbol"/>
        <family val="1"/>
        <charset val="2"/>
      </rPr>
      <t>a</t>
    </r>
    <r>
      <rPr>
        <sz val="10"/>
        <rFont val="Arial"/>
        <family val="2"/>
      </rPr>
      <t xml:space="preserve"> H</t>
    </r>
    <r>
      <rPr>
        <vertAlign val="subscript"/>
        <sz val="12"/>
        <rFont val="Arial"/>
        <family val="2"/>
      </rPr>
      <t>3</t>
    </r>
    <r>
      <rPr>
        <sz val="10"/>
        <rFont val="Arial"/>
        <family val="2"/>
      </rPr>
      <t>B</t>
    </r>
  </si>
  <si>
    <r>
      <rPr>
        <sz val="12"/>
        <rFont val="Symbol"/>
        <family val="1"/>
        <charset val="2"/>
      </rPr>
      <t>a</t>
    </r>
    <r>
      <rPr>
        <sz val="10"/>
        <rFont val="Symbol"/>
        <family val="1"/>
        <charset val="2"/>
      </rPr>
      <t xml:space="preserve"> </t>
    </r>
    <r>
      <rPr>
        <sz val="10"/>
        <rFont val="Arial"/>
        <family val="2"/>
      </rPr>
      <t>H</t>
    </r>
    <r>
      <rPr>
        <vertAlign val="subscript"/>
        <sz val="12"/>
        <rFont val="Arial"/>
        <family val="2"/>
      </rPr>
      <t>4</t>
    </r>
    <r>
      <rPr>
        <sz val="10"/>
        <rFont val="Arial"/>
        <family val="2"/>
      </rPr>
      <t>B</t>
    </r>
  </si>
  <si>
    <r>
      <rPr>
        <sz val="12"/>
        <rFont val="Symbol"/>
        <family val="1"/>
        <charset val="2"/>
      </rPr>
      <t>a</t>
    </r>
    <r>
      <rPr>
        <sz val="10"/>
        <rFont val="Arial"/>
        <family val="2"/>
      </rPr>
      <t xml:space="preserve"> H</t>
    </r>
    <r>
      <rPr>
        <vertAlign val="subscript"/>
        <sz val="12"/>
        <rFont val="Arial"/>
        <family val="2"/>
      </rPr>
      <t>5</t>
    </r>
    <r>
      <rPr>
        <sz val="10"/>
        <rFont val="Arial"/>
        <family val="2"/>
      </rPr>
      <t>B</t>
    </r>
  </si>
  <si>
    <r>
      <rPr>
        <sz val="12"/>
        <rFont val="Symbol"/>
        <family val="1"/>
        <charset val="2"/>
      </rPr>
      <t>a</t>
    </r>
    <r>
      <rPr>
        <sz val="10"/>
        <rFont val="Arial"/>
        <family val="2"/>
      </rPr>
      <t xml:space="preserve"> H</t>
    </r>
    <r>
      <rPr>
        <vertAlign val="subscript"/>
        <sz val="12"/>
        <rFont val="Arial"/>
        <family val="2"/>
      </rPr>
      <t>6</t>
    </r>
    <r>
      <rPr>
        <sz val="10"/>
        <rFont val="Arial"/>
        <family val="2"/>
      </rPr>
      <t>B</t>
    </r>
  </si>
  <si>
    <t>&lt;--- read comment</t>
  </si>
  <si>
    <t>&lt;--- read important remarks and instructions</t>
  </si>
  <si>
    <t>&lt;--- read instructions</t>
  </si>
  <si>
    <r>
      <t>Update curve(s)</t>
    </r>
    <r>
      <rPr>
        <sz val="10"/>
        <color indexed="23"/>
        <rFont val="Arial"/>
        <family val="2"/>
      </rPr>
      <t xml:space="preserve"> after any change in Simulation, Evaluation or Regression </t>
    </r>
  </si>
  <si>
    <r>
      <t>a</t>
    </r>
    <r>
      <rPr>
        <vertAlign val="subscript"/>
        <sz val="13"/>
        <rFont val="Symbol"/>
        <family val="1"/>
        <charset val="2"/>
      </rPr>
      <t xml:space="preserve"> </t>
    </r>
    <r>
      <rPr>
        <vertAlign val="subscript"/>
        <sz val="13"/>
        <rFont val="Arial"/>
        <family val="2"/>
      </rPr>
      <t>OH-</t>
    </r>
  </si>
  <si>
    <r>
      <t xml:space="preserve">g </t>
    </r>
    <r>
      <rPr>
        <sz val="11"/>
        <rFont val="Arial"/>
        <family val="2"/>
      </rPr>
      <t>OH</t>
    </r>
    <r>
      <rPr>
        <vertAlign val="superscript"/>
        <sz val="11"/>
        <rFont val="Arial"/>
        <family val="2"/>
      </rPr>
      <t>-</t>
    </r>
  </si>
  <si>
    <t>Buffer</t>
  </si>
  <si>
    <t>Capacity</t>
  </si>
  <si>
    <t>pH (-6 a 0)</t>
  </si>
  <si>
    <t>n*pH/6</t>
  </si>
  <si>
    <t>n*pH/8</t>
  </si>
  <si>
    <r>
      <t xml:space="preserve">•  </t>
    </r>
    <r>
      <rPr>
        <b/>
        <sz val="13"/>
        <rFont val="Arial"/>
        <family val="2"/>
      </rPr>
      <t>pH calculation</t>
    </r>
    <r>
      <rPr>
        <sz val="13"/>
        <rFont val="Arial"/>
        <family val="2"/>
      </rPr>
      <t xml:space="preserve"> of aqueous solutions with activity coefficient and buffer capacity estimation (mixtures of up to seven hexaprotic systems)</t>
    </r>
  </si>
  <si>
    <t>Member of the Brazilian Academy of Sciences</t>
  </si>
  <si>
    <r>
      <rPr>
        <b/>
        <sz val="18"/>
        <rFont val="Bookman Old Style"/>
        <family val="1"/>
      </rPr>
      <t>CurTiPot</t>
    </r>
    <r>
      <rPr>
        <b/>
        <sz val="14"/>
        <rFont val="Arial"/>
        <family val="2"/>
      </rPr>
      <t xml:space="preserve"> </t>
    </r>
    <r>
      <rPr>
        <b/>
        <sz val="16"/>
        <rFont val="Arial"/>
        <family val="2"/>
      </rPr>
      <t>main features and uses</t>
    </r>
    <r>
      <rPr>
        <b/>
        <sz val="14"/>
        <rFont val="Arial"/>
        <family val="2"/>
      </rPr>
      <t/>
    </r>
  </si>
  <si>
    <r>
      <t>[H</t>
    </r>
    <r>
      <rPr>
        <vertAlign val="superscript"/>
        <sz val="11"/>
        <rFont val="Arial"/>
        <family val="2"/>
      </rPr>
      <t>+</t>
    </r>
    <r>
      <rPr>
        <sz val="11"/>
        <rFont val="Arial"/>
        <family val="2"/>
      </rPr>
      <t>]</t>
    </r>
  </si>
  <si>
    <r>
      <t>[OH</t>
    </r>
    <r>
      <rPr>
        <vertAlign val="superscript"/>
        <sz val="11"/>
        <rFont val="Arial"/>
        <family val="2"/>
      </rPr>
      <t>-</t>
    </r>
    <r>
      <rPr>
        <sz val="11"/>
        <rFont val="Arial"/>
        <family val="2"/>
      </rPr>
      <t>]</t>
    </r>
  </si>
  <si>
    <r>
      <t>"[H</t>
    </r>
    <r>
      <rPr>
        <vertAlign val="superscript"/>
        <sz val="11"/>
        <rFont val="Arial"/>
        <family val="2"/>
      </rPr>
      <t>+</t>
    </r>
    <r>
      <rPr>
        <sz val="11"/>
        <rFont val="Arial"/>
        <family val="2"/>
      </rPr>
      <t>]"</t>
    </r>
  </si>
  <si>
    <r>
      <t>"[OH</t>
    </r>
    <r>
      <rPr>
        <vertAlign val="superscript"/>
        <sz val="11"/>
        <rFont val="Arial"/>
        <family val="2"/>
      </rPr>
      <t>-</t>
    </r>
    <r>
      <rPr>
        <sz val="11"/>
        <rFont val="Arial"/>
        <family val="2"/>
      </rPr>
      <t>]"</t>
    </r>
  </si>
  <si>
    <t>or p[H]=</t>
  </si>
  <si>
    <t>"pOH"</t>
  </si>
  <si>
    <r>
      <t>z</t>
    </r>
    <r>
      <rPr>
        <vertAlign val="subscript"/>
        <sz val="12"/>
        <rFont val="Arial"/>
        <family val="2"/>
      </rPr>
      <t>m</t>
    </r>
  </si>
  <si>
    <r>
      <t>h</t>
    </r>
    <r>
      <rPr>
        <vertAlign val="subscript"/>
        <sz val="12"/>
        <rFont val="Arial"/>
        <family val="2"/>
      </rPr>
      <t>m</t>
    </r>
  </si>
  <si>
    <t xml:space="preserve">     Buffer Strength</t>
  </si>
  <si>
    <r>
      <t xml:space="preserve">    </t>
    </r>
    <r>
      <rPr>
        <b/>
        <sz val="11"/>
        <rFont val="Arial"/>
        <family val="2"/>
      </rPr>
      <t xml:space="preserve">Ionic strength </t>
    </r>
    <r>
      <rPr>
        <sz val="11"/>
        <rFont val="Arial"/>
        <family val="2"/>
      </rPr>
      <t xml:space="preserve">(mol/L)     </t>
    </r>
  </si>
  <si>
    <t>vs</t>
  </si>
  <si>
    <r>
      <t>z</t>
    </r>
    <r>
      <rPr>
        <vertAlign val="subscript"/>
        <sz val="14"/>
        <rFont val="Arial"/>
        <family val="2"/>
      </rPr>
      <t>m</t>
    </r>
  </si>
  <si>
    <t>z+N.pH/14</t>
  </si>
  <si>
    <t>Mean charge of species HiB</t>
  </si>
  <si>
    <t>scale</t>
  </si>
  <si>
    <r>
      <t xml:space="preserve"> Mean charge (z</t>
    </r>
    <r>
      <rPr>
        <b/>
        <vertAlign val="subscript"/>
        <sz val="12"/>
        <rFont val="Arial"/>
        <family val="2"/>
      </rPr>
      <t>m</t>
    </r>
    <r>
      <rPr>
        <b/>
        <sz val="11"/>
        <rFont val="Arial"/>
        <family val="2"/>
      </rPr>
      <t>) and mean protonation (h</t>
    </r>
    <r>
      <rPr>
        <b/>
        <vertAlign val="subscript"/>
        <sz val="12"/>
        <rFont val="Arial"/>
        <family val="2"/>
      </rPr>
      <t>m</t>
    </r>
    <r>
      <rPr>
        <b/>
        <sz val="11"/>
        <rFont val="Arial"/>
        <family val="2"/>
      </rPr>
      <t>) of the equilibrium H</t>
    </r>
    <r>
      <rPr>
        <b/>
        <vertAlign val="subscript"/>
        <sz val="14"/>
        <rFont val="Arial"/>
        <family val="2"/>
      </rPr>
      <t>i</t>
    </r>
    <r>
      <rPr>
        <b/>
        <sz val="11"/>
        <rFont val="Arial"/>
        <family val="2"/>
      </rPr>
      <t>B  species at pH</t>
    </r>
  </si>
  <si>
    <r>
      <t>mol.L</t>
    </r>
    <r>
      <rPr>
        <vertAlign val="superscript"/>
        <sz val="12"/>
        <rFont val="Arial"/>
        <family val="2"/>
      </rPr>
      <t>-1</t>
    </r>
    <r>
      <rPr>
        <sz val="11"/>
        <rFont val="Arial"/>
        <family val="2"/>
      </rPr>
      <t>.pH</t>
    </r>
    <r>
      <rPr>
        <vertAlign val="superscript"/>
        <sz val="12"/>
        <rFont val="Arial"/>
        <family val="2"/>
      </rPr>
      <t>-1</t>
    </r>
  </si>
  <si>
    <r>
      <t xml:space="preserve">   Buffer Capacity (Buffer Index, </t>
    </r>
    <r>
      <rPr>
        <b/>
        <sz val="11"/>
        <rFont val="Symbol"/>
        <family val="1"/>
        <charset val="2"/>
      </rPr>
      <t>D</t>
    </r>
    <r>
      <rPr>
        <b/>
        <sz val="11"/>
        <rFont val="Arial"/>
        <family val="2"/>
      </rPr>
      <t>C/</t>
    </r>
    <r>
      <rPr>
        <sz val="11"/>
        <rFont val="Symbol"/>
        <family val="1"/>
        <charset val="2"/>
      </rPr>
      <t>D</t>
    </r>
    <r>
      <rPr>
        <b/>
        <sz val="11"/>
        <rFont val="Arial"/>
        <family val="2"/>
      </rPr>
      <t>pH)</t>
    </r>
  </si>
  <si>
    <t>Do not change or delete</t>
  </si>
  <si>
    <t>Dil. factor</t>
  </si>
  <si>
    <t>Dil. Factor</t>
  </si>
  <si>
    <t>Temperature</t>
  </si>
  <si>
    <t>Ionic strength</t>
  </si>
  <si>
    <t>for pH</t>
  </si>
  <si>
    <t xml:space="preserve">for pH </t>
  </si>
  <si>
    <t xml:space="preserve">   Stepwise apparent constants recalculated for I </t>
  </si>
  <si>
    <t xml:space="preserve">and I </t>
  </si>
  <si>
    <t>Fellow of the International Union of Pure and Applied Chemistry</t>
  </si>
  <si>
    <r>
      <t>Version 3.5, Jan/Feb 2010, calculates Buffer Capacity (BC) and medium charge (z</t>
    </r>
    <r>
      <rPr>
        <vertAlign val="subscript"/>
        <sz val="14"/>
        <rFont val="Arial"/>
        <family val="2"/>
      </rPr>
      <t>m</t>
    </r>
    <r>
      <rPr>
        <sz val="12"/>
        <rFont val="Arial"/>
        <family val="2"/>
      </rPr>
      <t>) (pH_calc module) and plots BC and z</t>
    </r>
    <r>
      <rPr>
        <vertAlign val="subscript"/>
        <sz val="14"/>
        <rFont val="Arial"/>
        <family val="2"/>
      </rPr>
      <t>m</t>
    </r>
    <r>
      <rPr>
        <sz val="12"/>
        <rFont val="Arial"/>
        <family val="2"/>
      </rPr>
      <t xml:space="preserve"> and finds the isoelectric point (Distribution module).</t>
    </r>
  </si>
  <si>
    <r>
      <t xml:space="preserve">The software </t>
    </r>
    <r>
      <rPr>
        <sz val="12"/>
        <rFont val="Bookman Old Style"/>
        <family val="1"/>
      </rPr>
      <t>CurTiPot,</t>
    </r>
    <r>
      <rPr>
        <sz val="12"/>
        <rFont val="Arial"/>
        <family val="2"/>
      </rPr>
      <t xml:space="preserve"> version 1.0 for DOS (Borland Turbo Basic and Microsoft Disk Operating System), was created in 1991 and launched in 1992.</t>
    </r>
  </si>
  <si>
    <t xml:space="preserve">    Overall apparent protonation constants recalculated for I</t>
  </si>
  <si>
    <t xml:space="preserve">         Distribution Diagrams, Buffer Capacity and Protonation Curves</t>
  </si>
  <si>
    <t xml:space="preserve">             pH Calculator</t>
  </si>
  <si>
    <r>
      <t>SO</t>
    </r>
    <r>
      <rPr>
        <vertAlign val="subscript"/>
        <sz val="10"/>
        <rFont val="Arial"/>
        <family val="2"/>
      </rPr>
      <t>4</t>
    </r>
    <r>
      <rPr>
        <vertAlign val="superscript"/>
        <sz val="10"/>
        <rFont val="Arial"/>
        <family val="2"/>
      </rPr>
      <t>=</t>
    </r>
  </si>
  <si>
    <r>
      <t>d</t>
    </r>
    <r>
      <rPr>
        <vertAlign val="superscript"/>
        <sz val="10"/>
        <rFont val="Arial"/>
        <family val="2"/>
      </rPr>
      <t>2</t>
    </r>
    <r>
      <rPr>
        <sz val="10"/>
        <rFont val="Arial"/>
        <family val="2"/>
      </rPr>
      <t>pH/dV</t>
    </r>
    <r>
      <rPr>
        <vertAlign val="superscript"/>
        <sz val="10"/>
        <rFont val="Arial"/>
        <family val="2"/>
      </rPr>
      <t>2</t>
    </r>
  </si>
  <si>
    <t xml:space="preserve">Fit quality of the splines to pH   </t>
  </si>
  <si>
    <t xml:space="preserve">         D  o     n  o  t     c  h  a  n  g  e </t>
  </si>
  <si>
    <t xml:space="preserve">Fitted pH std. dev. </t>
  </si>
  <si>
    <t>Detector threshold |dpH/dV| &gt;</t>
  </si>
  <si>
    <t>guess value</t>
  </si>
  <si>
    <t xml:space="preserve">F i l l   o u t </t>
  </si>
  <si>
    <t xml:space="preserve">o r  </t>
  </si>
  <si>
    <t xml:space="preserve"> c h a n g e</t>
  </si>
  <si>
    <t>Correlation coefficient</t>
  </si>
  <si>
    <t>Detected inflection points</t>
  </si>
  <si>
    <t xml:space="preserve">    Interpolated spline smoothed data</t>
  </si>
  <si>
    <t>step</t>
  </si>
  <si>
    <t>Titrand concentration calculator</t>
  </si>
  <si>
    <t>(optional and modifiable)</t>
  </si>
  <si>
    <t xml:space="preserve">  mL</t>
  </si>
  <si>
    <t xml:space="preserve">Concentration of titrant (in the buret)  </t>
  </si>
  <si>
    <t xml:space="preserve">  mol/L</t>
  </si>
  <si>
    <t xml:space="preserve">  Number of mols of titrant</t>
  </si>
  <si>
    <t>Result (mol/L)</t>
  </si>
  <si>
    <t>total</t>
  </si>
  <si>
    <t>stepwise</t>
  </si>
  <si>
    <t>[H3PO4] =  0,0501 mol/L in the 20 mL of sample</t>
  </si>
  <si>
    <t xml:space="preserve">To enable the execution of macro-instructions in MS Excel follow instructions at the right   -------&gt;               -------&gt;               -------&gt;               -------&gt;               -------&gt;               -------&gt;              </t>
  </si>
  <si>
    <t>http://www.chemicalize.org/</t>
  </si>
  <si>
    <t>Tutorial on acids and bases (and other) equilibria</t>
  </si>
  <si>
    <t>Tutorial on titrations of acids and bases</t>
  </si>
  <si>
    <t>http://www.asdlib.org/onlineArticles/ecourseware/Text_Files_files/Chapter6.pdf</t>
  </si>
  <si>
    <t>http://www.asdlib.org/onlineArticles/ecourseware/Text_Files_files/Chapter9.pdf</t>
  </si>
  <si>
    <t>Conversion of dissociation constants of acids into protonation constants of their conjugated bases</t>
  </si>
  <si>
    <t xml:space="preserve"> pKas of the acids and bases in the solution</t>
  </si>
  <si>
    <t xml:space="preserve">       pKas loaded from the Database </t>
  </si>
  <si>
    <t xml:space="preserve">    Titrand</t>
  </si>
  <si>
    <t>S[H]</t>
  </si>
  <si>
    <t>Titrand (sample)</t>
  </si>
  <si>
    <t>Titrant (buret)</t>
  </si>
  <si>
    <r>
      <t>b</t>
    </r>
    <r>
      <rPr>
        <vertAlign val="subscript"/>
        <sz val="12"/>
        <rFont val="Arial"/>
        <family val="2"/>
      </rPr>
      <t>p1</t>
    </r>
    <r>
      <rPr>
        <sz val="11"/>
        <color theme="1"/>
        <rFont val="Calibri"/>
        <family val="2"/>
        <scheme val="minor"/>
      </rPr>
      <t/>
    </r>
  </si>
  <si>
    <r>
      <t xml:space="preserve">          Overall protonation constants = </t>
    </r>
    <r>
      <rPr>
        <b/>
        <sz val="11"/>
        <rFont val="Symbol"/>
        <family val="1"/>
        <charset val="2"/>
      </rPr>
      <t>b</t>
    </r>
    <r>
      <rPr>
        <b/>
        <sz val="11"/>
        <rFont val="Arial"/>
        <family val="2"/>
      </rPr>
      <t>p =</t>
    </r>
    <r>
      <rPr>
        <b/>
        <sz val="11"/>
        <rFont val="Symbol"/>
        <family val="1"/>
        <charset val="2"/>
      </rPr>
      <t xml:space="preserve"> P</t>
    </r>
    <r>
      <rPr>
        <b/>
        <sz val="11"/>
        <rFont val="Arial"/>
        <family val="2"/>
      </rPr>
      <t>Kp (calculated by the program)</t>
    </r>
  </si>
  <si>
    <r>
      <t>pKa</t>
    </r>
    <r>
      <rPr>
        <vertAlign val="subscript"/>
        <sz val="13"/>
        <rFont val="Arial"/>
        <family val="2"/>
      </rPr>
      <t>1</t>
    </r>
    <r>
      <rPr>
        <sz val="11"/>
        <color theme="1"/>
        <rFont val="Calibri"/>
        <family val="2"/>
        <scheme val="minor"/>
      </rPr>
      <t/>
    </r>
  </si>
  <si>
    <r>
      <t>pKa</t>
    </r>
    <r>
      <rPr>
        <vertAlign val="subscript"/>
        <sz val="13"/>
        <rFont val="Arial"/>
        <family val="2"/>
      </rPr>
      <t>2</t>
    </r>
    <r>
      <rPr>
        <sz val="11"/>
        <color theme="1"/>
        <rFont val="Calibri"/>
        <family val="2"/>
        <scheme val="minor"/>
      </rPr>
      <t/>
    </r>
  </si>
  <si>
    <t>pH &lt; pK-1</t>
  </si>
  <si>
    <t>pH = pK</t>
  </si>
  <si>
    <t>pH &gt; pK+1</t>
  </si>
  <si>
    <t>% Ind</t>
  </si>
  <si>
    <t>% Hind</t>
  </si>
  <si>
    <t>pH-meter</t>
  </si>
  <si>
    <t>Molar fraction</t>
  </si>
  <si>
    <t xml:space="preserve">         Magnetic stirrer</t>
  </si>
  <si>
    <t>Display (or hide)</t>
  </si>
  <si>
    <r>
      <t>pK</t>
    </r>
    <r>
      <rPr>
        <b/>
        <vertAlign val="subscript"/>
        <sz val="12"/>
        <rFont val="Arial"/>
        <family val="2"/>
      </rPr>
      <t>a, indicator</t>
    </r>
  </si>
  <si>
    <t>Region</t>
  </si>
  <si>
    <t xml:space="preserve">  INDICATOR equilibrium</t>
  </si>
  <si>
    <t>Titrand equilibrium</t>
  </si>
  <si>
    <t>Indicator</t>
  </si>
  <si>
    <r>
      <t xml:space="preserve">Volume, </t>
    </r>
    <r>
      <rPr>
        <sz val="10"/>
        <rFont val="Arial"/>
        <family val="2"/>
      </rPr>
      <t>mL</t>
    </r>
  </si>
  <si>
    <t xml:space="preserve"> motor</t>
  </si>
  <si>
    <t>on graphic</t>
  </si>
  <si>
    <t>Manual Virtual Titrator with visual indicator</t>
  </si>
  <si>
    <r>
      <t xml:space="preserve"> mL of titrant                  </t>
    </r>
    <r>
      <rPr>
        <sz val="4"/>
        <color theme="9" tint="-0.499984740745262"/>
        <rFont val="Arial"/>
        <family val="2"/>
      </rPr>
      <t>.</t>
    </r>
  </si>
  <si>
    <t xml:space="preserve">  Volume of titrand in beaker (mL)</t>
  </si>
  <si>
    <t>Digital BURET</t>
  </si>
  <si>
    <t>Syringe with titrant</t>
  </si>
  <si>
    <t>pH and titration curve</t>
  </si>
  <si>
    <t>Titrants</t>
  </si>
  <si>
    <r>
      <t xml:space="preserve">•  </t>
    </r>
    <r>
      <rPr>
        <b/>
        <sz val="13"/>
        <rFont val="Arial"/>
        <family val="2"/>
      </rPr>
      <t>Simulation</t>
    </r>
    <r>
      <rPr>
        <sz val="13"/>
        <rFont val="Arial"/>
        <family val="2"/>
      </rPr>
      <t xml:space="preserve"> of simple and complex acid-base titration curves</t>
    </r>
  </si>
  <si>
    <r>
      <t xml:space="preserve">If you agree with all terms of the License, enable macros and use </t>
    </r>
    <r>
      <rPr>
        <sz val="12"/>
        <rFont val="Bookman Old Style"/>
        <family val="1"/>
      </rPr>
      <t>CurTiPot</t>
    </r>
    <r>
      <rPr>
        <sz val="12"/>
        <rFont val="Arial"/>
        <family val="2"/>
      </rPr>
      <t xml:space="preserve"> freely for non-commercial purposes</t>
    </r>
  </si>
  <si>
    <r>
      <t xml:space="preserve">The Solver supplement is required only by the </t>
    </r>
    <r>
      <rPr>
        <b/>
        <sz val="12"/>
        <rFont val="Arial"/>
        <family val="2"/>
      </rPr>
      <t>Regression</t>
    </r>
    <r>
      <rPr>
        <sz val="12"/>
        <rFont val="Arial"/>
        <family val="2"/>
      </rPr>
      <t xml:space="preserve"> module. Follow activation instructions given in the cell I19 of the module</t>
    </r>
  </si>
  <si>
    <t>Read local instructions in comment boxes by placing the mouse on cells with red marks (like in Q14 and Q34 at this page);</t>
  </si>
  <si>
    <r>
      <t xml:space="preserve">Titrant addition </t>
    </r>
    <r>
      <rPr>
        <sz val="10"/>
        <color theme="9" tint="-0.499984740745262"/>
        <rFont val="Arial"/>
        <family val="2"/>
      </rPr>
      <t xml:space="preserve">(mL)   </t>
    </r>
    <r>
      <rPr>
        <b/>
        <sz val="10"/>
        <color theme="9" tint="-0.499984740745262"/>
        <rFont val="Arial"/>
        <family val="2"/>
      </rPr>
      <t xml:space="preserve"> </t>
    </r>
  </si>
  <si>
    <t>Buret (syringe) capacity</t>
  </si>
  <si>
    <t>Upper limits</t>
  </si>
  <si>
    <t>Titrant Vol.</t>
  </si>
  <si>
    <r>
      <t>[H</t>
    </r>
    <r>
      <rPr>
        <vertAlign val="subscript"/>
        <sz val="10"/>
        <color theme="9" tint="-0.499984740745262"/>
        <rFont val="Arial"/>
        <family val="2"/>
      </rPr>
      <t>2</t>
    </r>
    <r>
      <rPr>
        <sz val="10"/>
        <color theme="9" tint="-0.499984740745262"/>
        <rFont val="Arial"/>
        <family val="2"/>
      </rPr>
      <t>B]</t>
    </r>
  </si>
  <si>
    <r>
      <t>S</t>
    </r>
    <r>
      <rPr>
        <sz val="10"/>
        <color theme="9" tint="-0.499984740745262"/>
        <rFont val="Arial"/>
        <family val="2"/>
      </rPr>
      <t>[H</t>
    </r>
    <r>
      <rPr>
        <vertAlign val="subscript"/>
        <sz val="12"/>
        <color theme="9" tint="-0.499984740745262"/>
        <rFont val="Arial"/>
        <family val="2"/>
      </rPr>
      <t>i</t>
    </r>
    <r>
      <rPr>
        <sz val="10"/>
        <color theme="9" tint="-0.499984740745262"/>
        <rFont val="Arial"/>
        <family val="2"/>
      </rPr>
      <t>B]</t>
    </r>
  </si>
  <si>
    <r>
      <t>S</t>
    </r>
    <r>
      <rPr>
        <sz val="10"/>
        <color theme="9" tint="-0.499984740745262"/>
        <rFont val="Arial"/>
        <family val="2"/>
      </rPr>
      <t>[H]</t>
    </r>
  </si>
  <si>
    <r>
      <t>[H</t>
    </r>
    <r>
      <rPr>
        <vertAlign val="subscript"/>
        <sz val="12"/>
        <color theme="9" tint="-0.499984740745262"/>
        <rFont val="Arial"/>
        <family val="2"/>
      </rPr>
      <t>2</t>
    </r>
    <r>
      <rPr>
        <sz val="10"/>
        <color theme="9" tint="-0.499984740745262"/>
        <rFont val="Arial"/>
        <family val="2"/>
      </rPr>
      <t>B]</t>
    </r>
  </si>
  <si>
    <r>
      <t>S</t>
    </r>
    <r>
      <rPr>
        <sz val="10"/>
        <color theme="9" tint="-0.499984740745262"/>
        <rFont val="Arial"/>
        <family val="2"/>
      </rPr>
      <t>[HiB]</t>
    </r>
  </si>
  <si>
    <t xml:space="preserve">  Model INDICATOR</t>
  </si>
  <si>
    <r>
      <t>S</t>
    </r>
    <r>
      <rPr>
        <sz val="10"/>
        <color theme="9" tint="-0.499984740745262"/>
        <rFont val="Arial"/>
        <family val="2"/>
      </rPr>
      <t>z</t>
    </r>
    <r>
      <rPr>
        <vertAlign val="subscript"/>
        <sz val="12"/>
        <color theme="9" tint="-0.499984740745262"/>
        <rFont val="Arial"/>
        <family val="2"/>
      </rPr>
      <t>i</t>
    </r>
    <r>
      <rPr>
        <sz val="10"/>
        <color theme="9" tint="-0.499984740745262"/>
        <rFont val="Arial"/>
        <family val="2"/>
      </rPr>
      <t>C</t>
    </r>
    <r>
      <rPr>
        <vertAlign val="subscript"/>
        <sz val="12"/>
        <color theme="9" tint="-0.499984740745262"/>
        <rFont val="Arial"/>
        <family val="2"/>
      </rPr>
      <t>i</t>
    </r>
  </si>
  <si>
    <t>Cations (monov.)</t>
  </si>
  <si>
    <t>Anions (monov.)</t>
  </si>
  <si>
    <t>Minimum  (mol/L)</t>
  </si>
  <si>
    <t>Extra  (mol/L)</t>
  </si>
  <si>
    <t>Sum  (mol/L)</t>
  </si>
  <si>
    <r>
      <t>[H</t>
    </r>
    <r>
      <rPr>
        <vertAlign val="subscript"/>
        <sz val="11"/>
        <color theme="3"/>
        <rFont val="Arial"/>
        <family val="2"/>
      </rPr>
      <t>2</t>
    </r>
    <r>
      <rPr>
        <sz val="10"/>
        <color theme="3"/>
        <rFont val="Arial"/>
        <family val="2"/>
      </rPr>
      <t>B]</t>
    </r>
  </si>
  <si>
    <r>
      <t>[H</t>
    </r>
    <r>
      <rPr>
        <vertAlign val="subscript"/>
        <sz val="11"/>
        <color theme="3"/>
        <rFont val="Arial"/>
        <family val="2"/>
      </rPr>
      <t>3</t>
    </r>
    <r>
      <rPr>
        <sz val="10"/>
        <color theme="3"/>
        <rFont val="Arial"/>
        <family val="2"/>
      </rPr>
      <t>B]</t>
    </r>
  </si>
  <si>
    <r>
      <t>[H</t>
    </r>
    <r>
      <rPr>
        <vertAlign val="subscript"/>
        <sz val="11"/>
        <color theme="3"/>
        <rFont val="Arial"/>
        <family val="2"/>
      </rPr>
      <t>4</t>
    </r>
    <r>
      <rPr>
        <sz val="10"/>
        <color theme="3"/>
        <rFont val="Arial"/>
        <family val="2"/>
      </rPr>
      <t>B]</t>
    </r>
  </si>
  <si>
    <r>
      <t>[H</t>
    </r>
    <r>
      <rPr>
        <vertAlign val="subscript"/>
        <sz val="11"/>
        <color theme="3"/>
        <rFont val="Arial"/>
        <family val="2"/>
      </rPr>
      <t>5</t>
    </r>
    <r>
      <rPr>
        <sz val="10"/>
        <color theme="3"/>
        <rFont val="Arial"/>
        <family val="2"/>
      </rPr>
      <t>B]</t>
    </r>
  </si>
  <si>
    <r>
      <t>[H</t>
    </r>
    <r>
      <rPr>
        <vertAlign val="subscript"/>
        <sz val="11"/>
        <color theme="3"/>
        <rFont val="Arial"/>
        <family val="2"/>
      </rPr>
      <t>6</t>
    </r>
    <r>
      <rPr>
        <sz val="10"/>
        <color theme="3"/>
        <rFont val="Arial"/>
        <family val="2"/>
      </rPr>
      <t>B]</t>
    </r>
  </si>
  <si>
    <r>
      <t>S</t>
    </r>
    <r>
      <rPr>
        <sz val="10"/>
        <color theme="3"/>
        <rFont val="Arial"/>
        <family val="2"/>
      </rPr>
      <t>[H</t>
    </r>
    <r>
      <rPr>
        <vertAlign val="subscript"/>
        <sz val="12"/>
        <color theme="3"/>
        <rFont val="Arial"/>
        <family val="2"/>
      </rPr>
      <t>i</t>
    </r>
    <r>
      <rPr>
        <sz val="10"/>
        <color theme="3"/>
        <rFont val="Arial"/>
        <family val="2"/>
      </rPr>
      <t>B]</t>
    </r>
  </si>
  <si>
    <r>
      <t>S</t>
    </r>
    <r>
      <rPr>
        <sz val="10"/>
        <color theme="3"/>
        <rFont val="Arial"/>
        <family val="2"/>
      </rPr>
      <t>[H]</t>
    </r>
  </si>
  <si>
    <r>
      <t>S</t>
    </r>
    <r>
      <rPr>
        <sz val="10"/>
        <color theme="3"/>
        <rFont val="Arial"/>
        <family val="2"/>
      </rPr>
      <t>z</t>
    </r>
    <r>
      <rPr>
        <vertAlign val="subscript"/>
        <sz val="12"/>
        <color theme="3"/>
        <rFont val="Arial"/>
        <family val="2"/>
      </rPr>
      <t>i</t>
    </r>
    <r>
      <rPr>
        <sz val="10"/>
        <color theme="3"/>
        <rFont val="Arial"/>
        <family val="2"/>
      </rPr>
      <t>C</t>
    </r>
    <r>
      <rPr>
        <vertAlign val="subscript"/>
        <sz val="12"/>
        <color theme="3"/>
        <rFont val="Arial"/>
        <family val="2"/>
      </rPr>
      <t>i</t>
    </r>
  </si>
  <si>
    <r>
      <t>[H</t>
    </r>
    <r>
      <rPr>
        <vertAlign val="subscript"/>
        <sz val="12"/>
        <color theme="3"/>
        <rFont val="Arial"/>
        <family val="2"/>
      </rPr>
      <t>2</t>
    </r>
    <r>
      <rPr>
        <sz val="10"/>
        <color theme="3"/>
        <rFont val="Arial"/>
        <family val="2"/>
      </rPr>
      <t>B]</t>
    </r>
  </si>
  <si>
    <r>
      <t>[H</t>
    </r>
    <r>
      <rPr>
        <vertAlign val="subscript"/>
        <sz val="12"/>
        <color theme="3"/>
        <rFont val="Arial"/>
        <family val="2"/>
      </rPr>
      <t>3</t>
    </r>
    <r>
      <rPr>
        <sz val="10"/>
        <color theme="3"/>
        <rFont val="Arial"/>
        <family val="2"/>
      </rPr>
      <t>B]</t>
    </r>
  </si>
  <si>
    <r>
      <t>S</t>
    </r>
    <r>
      <rPr>
        <sz val="10"/>
        <color theme="3"/>
        <rFont val="Arial"/>
        <family val="2"/>
      </rPr>
      <t>[HiB]</t>
    </r>
  </si>
  <si>
    <r>
      <t>% H</t>
    </r>
    <r>
      <rPr>
        <vertAlign val="subscript"/>
        <sz val="11"/>
        <color theme="3"/>
        <rFont val="Arial"/>
        <family val="2"/>
      </rPr>
      <t>2</t>
    </r>
    <r>
      <rPr>
        <sz val="10"/>
        <color theme="3"/>
        <rFont val="Arial"/>
        <family val="2"/>
      </rPr>
      <t>B</t>
    </r>
  </si>
  <si>
    <r>
      <t>% H</t>
    </r>
    <r>
      <rPr>
        <vertAlign val="subscript"/>
        <sz val="11"/>
        <color theme="3"/>
        <rFont val="Arial"/>
        <family val="2"/>
      </rPr>
      <t>3</t>
    </r>
    <r>
      <rPr>
        <sz val="10"/>
        <color theme="3"/>
        <rFont val="Arial"/>
        <family val="2"/>
      </rPr>
      <t>B</t>
    </r>
  </si>
  <si>
    <r>
      <t>% H</t>
    </r>
    <r>
      <rPr>
        <vertAlign val="subscript"/>
        <sz val="11"/>
        <color theme="3"/>
        <rFont val="Arial"/>
        <family val="2"/>
      </rPr>
      <t>4</t>
    </r>
    <r>
      <rPr>
        <sz val="10"/>
        <color theme="3"/>
        <rFont val="Arial"/>
        <family val="2"/>
      </rPr>
      <t>B</t>
    </r>
  </si>
  <si>
    <r>
      <t>% H</t>
    </r>
    <r>
      <rPr>
        <vertAlign val="subscript"/>
        <sz val="11"/>
        <color theme="3"/>
        <rFont val="Arial"/>
        <family val="2"/>
      </rPr>
      <t>5</t>
    </r>
    <r>
      <rPr>
        <sz val="10"/>
        <color theme="3"/>
        <rFont val="Arial"/>
        <family val="2"/>
      </rPr>
      <t>B</t>
    </r>
  </si>
  <si>
    <r>
      <t>% H</t>
    </r>
    <r>
      <rPr>
        <vertAlign val="subscript"/>
        <sz val="11"/>
        <color theme="3"/>
        <rFont val="Arial"/>
        <family val="2"/>
      </rPr>
      <t>6</t>
    </r>
    <r>
      <rPr>
        <sz val="10"/>
        <color theme="3"/>
        <rFont val="Arial"/>
        <family val="2"/>
      </rPr>
      <t>B</t>
    </r>
  </si>
  <si>
    <t xml:space="preserve">           Titrant reservoir</t>
  </si>
  <si>
    <r>
      <t>SS</t>
    </r>
    <r>
      <rPr>
        <sz val="10"/>
        <color theme="9" tint="-0.499984740745262"/>
        <rFont val="Arial"/>
        <family val="2"/>
      </rPr>
      <t xml:space="preserve"> [H]          pH</t>
    </r>
  </si>
  <si>
    <r>
      <t>[H</t>
    </r>
    <r>
      <rPr>
        <vertAlign val="subscript"/>
        <sz val="12"/>
        <color theme="3"/>
        <rFont val="Arial"/>
        <family val="2"/>
      </rPr>
      <t>4</t>
    </r>
    <r>
      <rPr>
        <sz val="10"/>
        <color theme="3"/>
        <rFont val="Arial"/>
        <family val="2"/>
      </rPr>
      <t>B]</t>
    </r>
  </si>
  <si>
    <r>
      <t>[H</t>
    </r>
    <r>
      <rPr>
        <vertAlign val="subscript"/>
        <sz val="10"/>
        <color theme="3"/>
        <rFont val="Arial"/>
        <family val="2"/>
      </rPr>
      <t>5</t>
    </r>
    <r>
      <rPr>
        <sz val="10"/>
        <color theme="3"/>
        <rFont val="Arial"/>
        <family val="2"/>
      </rPr>
      <t>B]</t>
    </r>
  </si>
  <si>
    <r>
      <t>[H</t>
    </r>
    <r>
      <rPr>
        <vertAlign val="subscript"/>
        <sz val="12"/>
        <color theme="3"/>
        <rFont val="Arial"/>
        <family val="2"/>
      </rPr>
      <t>6</t>
    </r>
    <r>
      <rPr>
        <sz val="10"/>
        <color theme="3"/>
        <rFont val="Arial"/>
        <family val="2"/>
      </rPr>
      <t>B]</t>
    </r>
  </si>
  <si>
    <r>
      <t>S</t>
    </r>
    <r>
      <rPr>
        <b/>
        <sz val="10"/>
        <color theme="3"/>
        <rFont val="Arial"/>
        <family val="2"/>
      </rPr>
      <t>[H</t>
    </r>
    <r>
      <rPr>
        <b/>
        <vertAlign val="subscript"/>
        <sz val="12"/>
        <color theme="3"/>
        <rFont val="Arial"/>
        <family val="2"/>
      </rPr>
      <t>i</t>
    </r>
    <r>
      <rPr>
        <b/>
        <sz val="10"/>
        <color theme="3"/>
        <rFont val="Arial"/>
        <family val="2"/>
      </rPr>
      <t>B]</t>
    </r>
  </si>
  <si>
    <r>
      <t>S</t>
    </r>
    <r>
      <rPr>
        <sz val="10"/>
        <color theme="3"/>
        <rFont val="Arial"/>
        <family val="2"/>
      </rPr>
      <t>[H] bound</t>
    </r>
  </si>
  <si>
    <r>
      <t>Most constants in this compilation of ~250 systems – but not all – were obtained at 25</t>
    </r>
    <r>
      <rPr>
        <vertAlign val="superscript"/>
        <sz val="12"/>
        <rFont val="Arial"/>
        <family val="2"/>
      </rPr>
      <t>o</t>
    </r>
    <r>
      <rPr>
        <sz val="12"/>
        <rFont val="Arial"/>
        <family val="2"/>
      </rPr>
      <t xml:space="preserve"> C and are thermodynamic ones (</t>
    </r>
    <r>
      <rPr>
        <sz val="12"/>
        <rFont val="Bookman Old Style"/>
        <family val="1"/>
      </rPr>
      <t>I</t>
    </r>
    <r>
      <rPr>
        <sz val="12"/>
        <rFont val="Arial"/>
        <family val="2"/>
      </rPr>
      <t xml:space="preserve">=0), as required by the </t>
    </r>
    <r>
      <rPr>
        <b/>
        <sz val="12"/>
        <rFont val="Arial"/>
        <family val="2"/>
      </rPr>
      <t>pH_calc</t>
    </r>
    <r>
      <rPr>
        <sz val="12"/>
        <rFont val="Arial"/>
        <family val="2"/>
      </rPr>
      <t xml:space="preserve">, </t>
    </r>
    <r>
      <rPr>
        <b/>
        <sz val="12"/>
        <rFont val="Arial"/>
        <family val="2"/>
      </rPr>
      <t>Simulation</t>
    </r>
    <r>
      <rPr>
        <sz val="12"/>
        <rFont val="Arial"/>
        <family val="2"/>
      </rPr>
      <t xml:space="preserve"> and </t>
    </r>
    <r>
      <rPr>
        <b/>
        <sz val="12"/>
        <rFont val="Arial"/>
        <family val="2"/>
      </rPr>
      <t>Regression</t>
    </r>
    <r>
      <rPr>
        <sz val="12"/>
        <rFont val="Arial"/>
        <family val="2"/>
      </rPr>
      <t xml:space="preserve"> modules.</t>
    </r>
  </si>
  <si>
    <t xml:space="preserve">    Composition: cells B13 to D16</t>
  </si>
  <si>
    <t xml:space="preserve">"pH"  </t>
  </si>
  <si>
    <t>Color</t>
  </si>
  <si>
    <r>
      <rPr>
        <sz val="10"/>
        <rFont val="Symbol"/>
        <family val="1"/>
        <charset val="2"/>
      </rPr>
      <t>g</t>
    </r>
    <r>
      <rPr>
        <sz val="10"/>
        <rFont val="Arial"/>
        <family val="2"/>
      </rPr>
      <t>H+</t>
    </r>
  </si>
  <si>
    <t xml:space="preserve"> TITRAND equilibrium</t>
  </si>
  <si>
    <t>Titration curve from Titration</t>
  </si>
  <si>
    <t>Titration curve from Simulation</t>
  </si>
  <si>
    <t>Titration curve from Evaluation</t>
  </si>
  <si>
    <t>Titration curve from Regression</t>
  </si>
  <si>
    <t>red</t>
  </si>
  <si>
    <t>yellow</t>
  </si>
  <si>
    <t>blue</t>
  </si>
  <si>
    <t>Phenolphthalein</t>
  </si>
  <si>
    <t xml:space="preserve">  Unknown sample</t>
  </si>
  <si>
    <t>Due to the wide range of screen resolutions in use nowadays, some resizing/replacement of figures and objects may be required</t>
  </si>
  <si>
    <t>C27H30O5S</t>
  </si>
  <si>
    <t>C14H14N3NaO3S</t>
  </si>
  <si>
    <t>C21H14Br4O5S</t>
  </si>
  <si>
    <t>C15H15N3O2</t>
  </si>
  <si>
    <t>C27H28Br2O5S</t>
  </si>
  <si>
    <t>C19H14O5S</t>
  </si>
  <si>
    <t>orange</t>
  </si>
  <si>
    <t>C20H14O4</t>
  </si>
  <si>
    <t xml:space="preserve">    »  automatic generation of curves with data equally spaced in pH or volume, in concentration ("pH") or activity (pH)</t>
  </si>
  <si>
    <t xml:space="preserve">    »  simulation of experimental random errors in pH and volume; overlay of multiple curves for comparison</t>
  </si>
  <si>
    <r>
      <t xml:space="preserve">    »  </t>
    </r>
    <r>
      <rPr>
        <b/>
        <sz val="13"/>
        <rFont val="Arial"/>
        <family val="2"/>
      </rPr>
      <t>Evaluation</t>
    </r>
    <r>
      <rPr>
        <sz val="13"/>
        <rFont val="Arial"/>
        <family val="2"/>
      </rPr>
      <t xml:space="preserve"> of curves with enhanced accuracy by interpolation, spline smoothing and automatic endpoint detection</t>
    </r>
  </si>
  <si>
    <r>
      <t xml:space="preserve">    »  Non-linear data </t>
    </r>
    <r>
      <rPr>
        <b/>
        <sz val="13"/>
        <rFont val="Arial"/>
        <family val="2"/>
      </rPr>
      <t>Regression</t>
    </r>
    <r>
      <rPr>
        <sz val="13"/>
        <rFont val="Arial"/>
        <family val="2"/>
      </rPr>
      <t xml:space="preserve"> for the determination of concentrations and refinement of pK</t>
    </r>
    <r>
      <rPr>
        <vertAlign val="subscript"/>
        <sz val="15"/>
        <rFont val="Arial"/>
        <family val="2"/>
      </rPr>
      <t>a</t>
    </r>
    <r>
      <rPr>
        <sz val="13"/>
        <rFont val="Arial"/>
        <family val="2"/>
      </rPr>
      <t xml:space="preserve"> values</t>
    </r>
  </si>
  <si>
    <r>
      <t xml:space="preserve">•  </t>
    </r>
    <r>
      <rPr>
        <b/>
        <sz val="13"/>
        <rFont val="Arial"/>
        <family val="2"/>
      </rPr>
      <t>Distribution</t>
    </r>
    <r>
      <rPr>
        <sz val="13"/>
        <rFont val="Arial"/>
        <family val="2"/>
      </rPr>
      <t xml:space="preserve"> diagrams of species, protonation of bases, isoelectric point and buffer capacity vs. pH and vs. volume of a titration</t>
    </r>
  </si>
  <si>
    <r>
      <t xml:space="preserve">Activity coefficient calculations, available in the </t>
    </r>
    <r>
      <rPr>
        <b/>
        <sz val="12"/>
        <rFont val="Arial"/>
        <family val="2"/>
      </rPr>
      <t>pH_calc</t>
    </r>
    <r>
      <rPr>
        <sz val="12"/>
        <rFont val="Arial"/>
        <family val="2"/>
      </rPr>
      <t xml:space="preserve">, </t>
    </r>
    <r>
      <rPr>
        <b/>
        <sz val="12"/>
        <rFont val="Arial"/>
        <family val="2"/>
      </rPr>
      <t>Simulation</t>
    </r>
    <r>
      <rPr>
        <sz val="12"/>
        <rFont val="Arial"/>
        <family val="2"/>
      </rPr>
      <t xml:space="preserve"> and </t>
    </r>
    <r>
      <rPr>
        <b/>
        <sz val="12"/>
        <rFont val="Arial"/>
        <family val="2"/>
      </rPr>
      <t>Regression</t>
    </r>
    <r>
      <rPr>
        <sz val="12"/>
        <rFont val="Arial"/>
        <family val="2"/>
      </rPr>
      <t xml:space="preserve"> modules, are subject to the limitations of the Daniel equation at ionic strength &gt;0.1 mol/L</t>
    </r>
  </si>
  <si>
    <r>
      <t xml:space="preserve">The author reserves the right not to be responsible for the correctness, completeness, accuracy and bug-free operation of the freeware </t>
    </r>
    <r>
      <rPr>
        <sz val="12"/>
        <rFont val="Bookman Old Style"/>
        <family val="1"/>
      </rPr>
      <t>CurTiPot</t>
    </r>
    <r>
      <rPr>
        <sz val="12"/>
        <rFont val="Arial"/>
        <family val="2"/>
      </rPr>
      <t>, provided "as is" without warranty of any kind</t>
    </r>
  </si>
  <si>
    <r>
      <t xml:space="preserve">Version 3.6, March 2012 - Inflections (endpoints) of real and simulated titrations are located automatically by the improved </t>
    </r>
    <r>
      <rPr>
        <b/>
        <sz val="12"/>
        <rFont val="Arial"/>
        <family val="2"/>
      </rPr>
      <t>Evaluation</t>
    </r>
    <r>
      <rPr>
        <sz val="12"/>
        <rFont val="Arial"/>
        <family val="2"/>
      </rPr>
      <t xml:space="preserve"> module, with smoothing and interpolation. </t>
    </r>
  </si>
  <si>
    <r>
      <t xml:space="preserve">Switch to the </t>
    </r>
    <r>
      <rPr>
        <b/>
        <sz val="12"/>
        <rFont val="Arial"/>
        <family val="2"/>
      </rPr>
      <t>Simulation</t>
    </r>
    <r>
      <rPr>
        <sz val="12"/>
        <rFont val="Arial"/>
        <family val="2"/>
      </rPr>
      <t xml:space="preserve"> module and repeat the preloaded titration of phosphoric acid; start clicking on the buttons at the left of the figure; change some concentrations afterwards;</t>
    </r>
  </si>
  <si>
    <r>
      <t>Enable macros (see cell R16 above); click on a tab at the bottom left of this page or press Ctrl + PgDn switch modules</t>
    </r>
    <r>
      <rPr>
        <b/>
        <sz val="12"/>
        <rFont val="Arial"/>
        <family val="2"/>
      </rPr>
      <t>;</t>
    </r>
    <r>
      <rPr>
        <sz val="12"/>
        <rFont val="Arial"/>
        <family val="2"/>
      </rPr>
      <t xml:space="preserve"> follow instructions in the yellow balloons</t>
    </r>
  </si>
  <si>
    <r>
      <t xml:space="preserve">•  Virtual </t>
    </r>
    <r>
      <rPr>
        <b/>
        <sz val="13"/>
        <rFont val="Arial"/>
        <family val="2"/>
      </rPr>
      <t>Titration</t>
    </r>
    <r>
      <rPr>
        <sz val="13"/>
        <rFont val="Arial"/>
        <family val="2"/>
      </rPr>
      <t xml:space="preserve"> with indicator color transition simulation, manual titrant addition with a digital burette, species distribution and pH vs. volume plot</t>
    </r>
  </si>
  <si>
    <r>
      <rPr>
        <sz val="10"/>
        <color rgb="FFFF0000"/>
        <rFont val="Arial"/>
        <family val="2"/>
      </rPr>
      <t>(negative</t>
    </r>
    <r>
      <rPr>
        <sz val="10"/>
        <rFont val="Arial"/>
        <family val="2"/>
      </rPr>
      <t xml:space="preserve"> results are possible)</t>
    </r>
  </si>
  <si>
    <t>For this sample, half of the determined H2PO4- came from the H3PO4</t>
  </si>
  <si>
    <r>
      <t>No guarantee</t>
    </r>
    <r>
      <rPr>
        <sz val="10"/>
        <rFont val="Arial"/>
        <family val="2"/>
      </rPr>
      <t xml:space="preserve"> is given that the compiled pKas or the calculations made with CurTiPot are correct or accurate. CurTiPot takes in account only protonation equilibria but other chemical reactions will occur for many combinations of two or more of the listed systems. </t>
    </r>
  </si>
  <si>
    <t>More systems, e.g., from the sources given next,  can be added: a) at the end of the list; b) in alphabetic order by inserting line(s) and updating the sequential numbering (column B).</t>
  </si>
  <si>
    <t>http://www.acadsoft.co.uk/scdbase/scdbase.htm</t>
  </si>
  <si>
    <t>Ionic strength =</t>
  </si>
  <si>
    <t xml:space="preserve">Computer calculated pKa values of any compound (by chemical name, CAS #, etc.) </t>
  </si>
  <si>
    <t>Acid base indicators - pKas, color transitions, etc.</t>
  </si>
  <si>
    <r>
      <t xml:space="preserve">Estimation of activity coefficients, </t>
    </r>
    <r>
      <rPr>
        <sz val="10"/>
        <rFont val="Symbol"/>
        <family val="1"/>
        <charset val="2"/>
      </rPr>
      <t>g</t>
    </r>
    <r>
      <rPr>
        <i/>
        <vertAlign val="subscript"/>
        <sz val="12"/>
        <rFont val="Arial"/>
        <family val="2"/>
      </rPr>
      <t>i</t>
    </r>
    <r>
      <rPr>
        <sz val="10"/>
        <rFont val="Arial"/>
        <family val="2"/>
      </rPr>
      <t>, within CurTiPot - Davies equation:</t>
    </r>
  </si>
  <si>
    <t>of the generalized reduced gradient method of nonlinear optimization, visit</t>
  </si>
  <si>
    <t>Indicator: pKa1 or 2</t>
  </si>
  <si>
    <t>color #, pH &lt; pKa indic</t>
  </si>
  <si>
    <t>color #, pH = pKa indic</t>
  </si>
  <si>
    <t>color #, pH &gt; pKa indic</t>
  </si>
  <si>
    <t>Thymol Blue (pKa 1.7)</t>
  </si>
  <si>
    <t>Methyl Orange (pKa 3.5)</t>
  </si>
  <si>
    <t>Bromocresol Green (pKa 4.8)</t>
  </si>
  <si>
    <t>Methyl Red (pKa 5.1)</t>
  </si>
  <si>
    <t>Bromothymol Blue (pKa 7.1)</t>
  </si>
  <si>
    <t>Phenol Red (pKa 7.7)</t>
  </si>
  <si>
    <t>Thymol Blue (pKa 8.9)</t>
  </si>
  <si>
    <t>Alizarine yellow R (pKa 11)</t>
  </si>
  <si>
    <t xml:space="preserve">C13H9N3O5 </t>
  </si>
  <si>
    <t>pKa</t>
  </si>
  <si>
    <t>pH &lt; pKa</t>
  </si>
  <si>
    <t>pH = pKa</t>
  </si>
  <si>
    <t>pH&gt;pka</t>
  </si>
  <si>
    <t>Other color numbers</t>
  </si>
  <si>
    <t>green</t>
  </si>
  <si>
    <t>white</t>
  </si>
  <si>
    <t>I N D I C A T O R S</t>
  </si>
  <si>
    <t xml:space="preserve">Use the e-mail: </t>
  </si>
  <si>
    <r>
      <t xml:space="preserve">Please report errors and incompatibilities of </t>
    </r>
    <r>
      <rPr>
        <sz val="12"/>
        <rFont val="Bookman Old Style"/>
        <family val="1"/>
      </rPr>
      <t>CurTiPot</t>
    </r>
    <r>
      <rPr>
        <sz val="12"/>
        <rFont val="Arial"/>
        <family val="2"/>
      </rPr>
      <t xml:space="preserve"> for MS Excel  (PC and Mac)  to the author;</t>
    </r>
  </si>
  <si>
    <t xml:space="preserve">     Titrant</t>
  </si>
  <si>
    <t xml:space="preserve">  Counterions and other ions</t>
  </si>
  <si>
    <t xml:space="preserve">  Simulation of errors </t>
  </si>
  <si>
    <t xml:space="preserve">  (data dispersion)</t>
  </si>
  <si>
    <r>
      <rPr>
        <sz val="11"/>
        <rFont val="Arial"/>
        <family val="2"/>
      </rPr>
      <t>pK</t>
    </r>
    <r>
      <rPr>
        <sz val="10"/>
        <rFont val="Arial"/>
        <family val="2"/>
      </rPr>
      <t>a</t>
    </r>
    <r>
      <rPr>
        <vertAlign val="subscript"/>
        <sz val="13"/>
        <rFont val="Arial"/>
        <family val="2"/>
      </rPr>
      <t xml:space="preserve">1 </t>
    </r>
    <r>
      <rPr>
        <sz val="11"/>
        <rFont val="Arial"/>
        <family val="2"/>
      </rPr>
      <t>= logK</t>
    </r>
    <r>
      <rPr>
        <vertAlign val="subscript"/>
        <sz val="13"/>
        <rFont val="Arial"/>
        <family val="2"/>
      </rPr>
      <t xml:space="preserve">pn  </t>
    </r>
  </si>
  <si>
    <r>
      <rPr>
        <sz val="11"/>
        <rFont val="Arial"/>
        <family val="2"/>
      </rPr>
      <t>pK</t>
    </r>
    <r>
      <rPr>
        <sz val="10"/>
        <rFont val="Arial"/>
        <family val="2"/>
      </rPr>
      <t>a</t>
    </r>
    <r>
      <rPr>
        <vertAlign val="subscript"/>
        <sz val="13"/>
        <rFont val="Arial"/>
        <family val="2"/>
      </rPr>
      <t xml:space="preserve">2 </t>
    </r>
    <r>
      <rPr>
        <sz val="11"/>
        <rFont val="Arial"/>
        <family val="2"/>
      </rPr>
      <t>= logK</t>
    </r>
    <r>
      <rPr>
        <vertAlign val="subscript"/>
        <sz val="13"/>
        <rFont val="Arial"/>
        <family val="2"/>
      </rPr>
      <t>pn-1</t>
    </r>
  </si>
  <si>
    <r>
      <rPr>
        <sz val="11"/>
        <rFont val="Arial"/>
        <family val="2"/>
      </rPr>
      <t>pK</t>
    </r>
    <r>
      <rPr>
        <sz val="10"/>
        <rFont val="Arial"/>
        <family val="2"/>
      </rPr>
      <t>a</t>
    </r>
    <r>
      <rPr>
        <vertAlign val="subscript"/>
        <sz val="13"/>
        <rFont val="Arial"/>
        <family val="2"/>
      </rPr>
      <t xml:space="preserve">3 </t>
    </r>
    <r>
      <rPr>
        <sz val="11"/>
        <rFont val="Arial"/>
        <family val="2"/>
      </rPr>
      <t>= logK</t>
    </r>
    <r>
      <rPr>
        <vertAlign val="subscript"/>
        <sz val="13"/>
        <rFont val="Arial"/>
        <family val="2"/>
      </rPr>
      <t>pn-2</t>
    </r>
  </si>
  <si>
    <r>
      <rPr>
        <sz val="11"/>
        <rFont val="Arial"/>
        <family val="2"/>
      </rPr>
      <t>pK</t>
    </r>
    <r>
      <rPr>
        <sz val="10"/>
        <rFont val="Arial"/>
        <family val="2"/>
      </rPr>
      <t>a</t>
    </r>
    <r>
      <rPr>
        <vertAlign val="subscript"/>
        <sz val="13"/>
        <rFont val="Arial"/>
        <family val="2"/>
      </rPr>
      <t xml:space="preserve">4 </t>
    </r>
    <r>
      <rPr>
        <sz val="11"/>
        <rFont val="Arial"/>
        <family val="2"/>
      </rPr>
      <t>= logK</t>
    </r>
    <r>
      <rPr>
        <vertAlign val="subscript"/>
        <sz val="13"/>
        <rFont val="Arial"/>
        <family val="2"/>
      </rPr>
      <t>pn-3</t>
    </r>
  </si>
  <si>
    <r>
      <rPr>
        <sz val="11"/>
        <rFont val="Arial"/>
        <family val="2"/>
      </rPr>
      <t>pK</t>
    </r>
    <r>
      <rPr>
        <sz val="10"/>
        <rFont val="Arial"/>
        <family val="2"/>
      </rPr>
      <t>a</t>
    </r>
    <r>
      <rPr>
        <vertAlign val="subscript"/>
        <sz val="13"/>
        <rFont val="Arial"/>
        <family val="2"/>
      </rPr>
      <t xml:space="preserve">5 </t>
    </r>
    <r>
      <rPr>
        <sz val="11"/>
        <rFont val="Arial"/>
        <family val="2"/>
      </rPr>
      <t>= logK</t>
    </r>
    <r>
      <rPr>
        <vertAlign val="subscript"/>
        <sz val="13"/>
        <rFont val="Arial"/>
        <family val="2"/>
      </rPr>
      <t>pn-4</t>
    </r>
  </si>
  <si>
    <r>
      <rPr>
        <sz val="11"/>
        <rFont val="Arial"/>
        <family val="2"/>
      </rPr>
      <t>pK</t>
    </r>
    <r>
      <rPr>
        <sz val="10"/>
        <rFont val="Arial"/>
        <family val="2"/>
      </rPr>
      <t>a</t>
    </r>
    <r>
      <rPr>
        <vertAlign val="subscript"/>
        <sz val="13"/>
        <rFont val="Arial"/>
        <family val="2"/>
      </rPr>
      <t xml:space="preserve">6 </t>
    </r>
    <r>
      <rPr>
        <sz val="11"/>
        <rFont val="Arial"/>
        <family val="2"/>
      </rPr>
      <t>= logK</t>
    </r>
    <r>
      <rPr>
        <vertAlign val="subscript"/>
        <sz val="13"/>
        <rFont val="Arial"/>
        <family val="2"/>
      </rPr>
      <t>pn-5</t>
    </r>
  </si>
  <si>
    <t>http://www1.lsbu.ac.uk/water/hydrogen_ions.html</t>
  </si>
  <si>
    <t xml:space="preserve">Water,  hydrogen ion, hydroxide ion structures, properties, Kw, pH </t>
  </si>
  <si>
    <r>
      <t>Number of additions</t>
    </r>
    <r>
      <rPr>
        <sz val="10"/>
        <color theme="9" tint="-0.499984740745262"/>
        <rFont val="Arial"/>
        <family val="2"/>
      </rPr>
      <t xml:space="preserve"> </t>
    </r>
  </si>
  <si>
    <t>Sample (Titrand)</t>
  </si>
  <si>
    <t>Sample ions</t>
  </si>
  <si>
    <t>Added</t>
  </si>
  <si>
    <r>
      <t xml:space="preserve">Extra in </t>
    </r>
    <r>
      <rPr>
        <b/>
        <sz val="10"/>
        <color theme="3"/>
        <rFont val="Arial"/>
        <family val="2"/>
      </rPr>
      <t>sample</t>
    </r>
  </si>
  <si>
    <r>
      <rPr>
        <sz val="12"/>
        <rFont val="Book Antiqua"/>
        <family val="1"/>
      </rPr>
      <t>I</t>
    </r>
    <r>
      <rPr>
        <sz val="10"/>
        <rFont val="Arial"/>
        <family val="2"/>
      </rPr>
      <t xml:space="preserve"> of counter- and extra ions</t>
    </r>
  </si>
  <si>
    <r>
      <t xml:space="preserve">Ionic strength, </t>
    </r>
    <r>
      <rPr>
        <sz val="12"/>
        <rFont val="Book Antiqua"/>
        <family val="1"/>
      </rPr>
      <t>I</t>
    </r>
  </si>
  <si>
    <t>Parameters calculated only for the 'Activities, plot pH' option</t>
  </si>
  <si>
    <r>
      <t>I</t>
    </r>
    <r>
      <rPr>
        <b/>
        <vertAlign val="subscript"/>
        <sz val="12"/>
        <rFont val="Arial"/>
        <family val="2"/>
      </rPr>
      <t>partial</t>
    </r>
  </si>
  <si>
    <r>
      <t>I</t>
    </r>
    <r>
      <rPr>
        <b/>
        <vertAlign val="subscript"/>
        <sz val="12"/>
        <rFont val="Arial"/>
        <family val="2"/>
      </rPr>
      <t>total</t>
    </r>
  </si>
  <si>
    <r>
      <t>I</t>
    </r>
    <r>
      <rPr>
        <b/>
        <vertAlign val="subscript"/>
        <sz val="10"/>
        <rFont val="Arial"/>
        <family val="2"/>
      </rPr>
      <t xml:space="preserve"> </t>
    </r>
    <r>
      <rPr>
        <b/>
        <vertAlign val="subscript"/>
        <sz val="12"/>
        <rFont val="Arial"/>
        <family val="2"/>
      </rPr>
      <t>total</t>
    </r>
  </si>
  <si>
    <t>applied</t>
  </si>
  <si>
    <t>applied
mol/L</t>
  </si>
  <si>
    <t>Parameter</t>
  </si>
  <si>
    <t>I</t>
  </si>
  <si>
    <t>Action</t>
  </si>
  <si>
    <r>
      <t>I</t>
    </r>
    <r>
      <rPr>
        <sz val="10"/>
        <rFont val="Arial"/>
        <family val="2"/>
      </rPr>
      <t xml:space="preserve"> = </t>
    </r>
    <r>
      <rPr>
        <sz val="10"/>
        <rFont val="Bookman Old Style"/>
        <family val="1"/>
      </rPr>
      <t>I</t>
    </r>
    <r>
      <rPr>
        <vertAlign val="subscript"/>
        <sz val="12"/>
        <rFont val="Arial"/>
        <family val="2"/>
      </rPr>
      <t>i</t>
    </r>
    <r>
      <rPr>
        <sz val="10"/>
        <rFont val="Arial"/>
        <family val="2"/>
      </rPr>
      <t>+</t>
    </r>
    <r>
      <rPr>
        <sz val="10"/>
        <rFont val="Bookman Old Style"/>
        <family val="1"/>
      </rPr>
      <t>I</t>
    </r>
    <r>
      <rPr>
        <vertAlign val="subscript"/>
        <sz val="12"/>
        <rFont val="Arial"/>
        <family val="2"/>
      </rPr>
      <t>j</t>
    </r>
    <r>
      <rPr>
        <sz val="10"/>
        <rFont val="Arial"/>
        <family val="2"/>
      </rPr>
      <t>+</t>
    </r>
    <r>
      <rPr>
        <sz val="10"/>
        <rFont val="Bookman Old Style"/>
        <family val="1"/>
      </rPr>
      <t>I</t>
    </r>
    <r>
      <rPr>
        <vertAlign val="subscript"/>
        <sz val="12"/>
        <rFont val="Arial"/>
        <family val="2"/>
      </rPr>
      <t>k</t>
    </r>
    <r>
      <rPr>
        <sz val="10"/>
        <rFont val="Arial"/>
        <family val="2"/>
      </rPr>
      <t>+</t>
    </r>
    <r>
      <rPr>
        <sz val="10"/>
        <rFont val="Bookman Old Style"/>
        <family val="1"/>
      </rPr>
      <t>I</t>
    </r>
    <r>
      <rPr>
        <vertAlign val="subscript"/>
        <sz val="12"/>
        <rFont val="Arial"/>
        <family val="2"/>
      </rPr>
      <t>H</t>
    </r>
    <r>
      <rPr>
        <sz val="10"/>
        <rFont val="Arial"/>
        <family val="2"/>
      </rPr>
      <t>+</t>
    </r>
    <r>
      <rPr>
        <sz val="10"/>
        <rFont val="Bookman Old Style"/>
        <family val="1"/>
      </rPr>
      <t>I</t>
    </r>
    <r>
      <rPr>
        <vertAlign val="subscript"/>
        <sz val="12"/>
        <rFont val="Arial"/>
        <family val="2"/>
      </rPr>
      <t>OH</t>
    </r>
  </si>
  <si>
    <t>for data weighting</t>
  </si>
  <si>
    <r>
      <t>CH</t>
    </r>
    <r>
      <rPr>
        <sz val="10"/>
        <rFont val="Arial"/>
        <family val="2"/>
      </rPr>
      <t>Reg</t>
    </r>
    <r>
      <rPr>
        <b/>
        <sz val="10"/>
        <rFont val="Arial"/>
        <family val="2"/>
      </rPr>
      <t>-CH</t>
    </r>
    <r>
      <rPr>
        <sz val="10"/>
        <rFont val="Arial"/>
        <family val="2"/>
      </rPr>
      <t>calc</t>
    </r>
  </si>
  <si>
    <r>
      <t>CH</t>
    </r>
    <r>
      <rPr>
        <sz val="10"/>
        <rFont val="Arial"/>
        <family val="2"/>
      </rPr>
      <t>calc</t>
    </r>
  </si>
  <si>
    <t xml:space="preserve">  initial p[H]</t>
  </si>
  <si>
    <r>
      <t xml:space="preserve">  initial p[OH] for ionic strength</t>
    </r>
    <r>
      <rPr>
        <sz val="10"/>
        <rFont val="Bookman Old Style"/>
        <family val="1"/>
      </rPr>
      <t>, I</t>
    </r>
  </si>
  <si>
    <r>
      <t>Titrand [H]=10</t>
    </r>
    <r>
      <rPr>
        <vertAlign val="superscript"/>
        <sz val="12"/>
        <rFont val="Arial"/>
        <family val="2"/>
      </rPr>
      <t>-p[H]</t>
    </r>
  </si>
  <si>
    <t>Titrand [OH]=Kw/[H]</t>
  </si>
  <si>
    <t>Sample CHcalc</t>
  </si>
  <si>
    <r>
      <t>SS</t>
    </r>
    <r>
      <rPr>
        <sz val="10"/>
        <color theme="9" tint="-0.499984740745262"/>
        <rFont val="Arial"/>
        <family val="2"/>
      </rPr>
      <t>[HiB]</t>
    </r>
  </si>
  <si>
    <r>
      <t>SS</t>
    </r>
    <r>
      <rPr>
        <sz val="10"/>
        <rFont val="Arial"/>
        <family val="2"/>
      </rPr>
      <t>[H] bound</t>
    </r>
  </si>
  <si>
    <r>
      <t xml:space="preserve">Weights: exponent </t>
    </r>
    <r>
      <rPr>
        <b/>
        <sz val="10"/>
        <rFont val="Arial"/>
        <family val="2"/>
      </rPr>
      <t>a</t>
    </r>
  </si>
  <si>
    <r>
      <t xml:space="preserve">exponent </t>
    </r>
    <r>
      <rPr>
        <b/>
        <sz val="10"/>
        <rFont val="Arial"/>
        <family val="2"/>
      </rPr>
      <t>c</t>
    </r>
    <r>
      <rPr>
        <sz val="10"/>
        <rFont val="Arial"/>
        <family val="2"/>
      </rPr>
      <t xml:space="preserve">  </t>
    </r>
  </si>
  <si>
    <r>
      <t xml:space="preserve">exponent </t>
    </r>
    <r>
      <rPr>
        <b/>
        <sz val="10"/>
        <rFont val="Arial"/>
        <family val="2"/>
      </rPr>
      <t>b</t>
    </r>
    <r>
      <rPr>
        <sz val="10"/>
        <rFont val="Arial"/>
        <family val="2"/>
      </rPr>
      <t xml:space="preserve">   </t>
    </r>
  </si>
  <si>
    <t>Partial charge balance &lt;--&gt; counterions (opposite signal)</t>
  </si>
  <si>
    <r>
      <t>pH</t>
    </r>
    <r>
      <rPr>
        <b/>
        <vertAlign val="subscript"/>
        <sz val="12"/>
        <rFont val="Arial"/>
        <family val="2"/>
      </rPr>
      <t>Reg</t>
    </r>
    <r>
      <rPr>
        <b/>
        <sz val="12"/>
        <rFont val="Arial"/>
        <family val="2"/>
      </rPr>
      <t xml:space="preserve">- </t>
    </r>
    <r>
      <rPr>
        <b/>
        <sz val="10"/>
        <rFont val="Arial"/>
        <family val="2"/>
      </rPr>
      <t>pH</t>
    </r>
  </si>
  <si>
    <t>Vol. added</t>
  </si>
  <si>
    <t>SAMPLE
Species</t>
  </si>
  <si>
    <t>TITRANT</t>
  </si>
  <si>
    <r>
      <t xml:space="preserve">&lt;--- Minimize </t>
    </r>
    <r>
      <rPr>
        <b/>
        <sz val="12"/>
        <color indexed="43"/>
        <rFont val="Symbol"/>
        <family val="1"/>
        <charset val="2"/>
      </rPr>
      <t>S</t>
    </r>
    <r>
      <rPr>
        <b/>
        <sz val="10"/>
        <color indexed="43"/>
        <rFont val="Arial"/>
        <family val="2"/>
      </rPr>
      <t xml:space="preserve"> of weighted residuals product </t>
    </r>
    <r>
      <rPr>
        <sz val="10"/>
        <color indexed="43"/>
        <rFont val="Arial"/>
        <family val="2"/>
      </rPr>
      <t>with</t>
    </r>
    <r>
      <rPr>
        <b/>
        <sz val="10"/>
        <color indexed="43"/>
        <rFont val="Arial"/>
        <family val="2"/>
      </rPr>
      <t xml:space="preserve"> Solver</t>
    </r>
  </si>
  <si>
    <r>
      <t>&lt;--- Find CH</t>
    </r>
    <r>
      <rPr>
        <b/>
        <vertAlign val="subscript"/>
        <sz val="12"/>
        <color indexed="43"/>
        <rFont val="Arial"/>
        <family val="2"/>
      </rPr>
      <t>Reg</t>
    </r>
    <r>
      <rPr>
        <b/>
        <sz val="10"/>
        <color indexed="43"/>
        <rFont val="Arial"/>
        <family val="2"/>
      </rPr>
      <t xml:space="preserve">, concentrations </t>
    </r>
    <r>
      <rPr>
        <sz val="10"/>
        <color indexed="43"/>
        <rFont val="Arial"/>
        <family val="2"/>
      </rPr>
      <t xml:space="preserve">(line 11, in blue) and </t>
    </r>
    <r>
      <rPr>
        <b/>
        <sz val="10"/>
        <color indexed="43"/>
        <rFont val="Arial"/>
        <family val="2"/>
      </rPr>
      <t>pKas</t>
    </r>
    <r>
      <rPr>
        <sz val="10"/>
        <color indexed="43"/>
        <rFont val="Arial"/>
        <family val="2"/>
      </rPr>
      <t xml:space="preserve"> with</t>
    </r>
    <r>
      <rPr>
        <b/>
        <sz val="10"/>
        <color indexed="43"/>
        <rFont val="Arial"/>
        <family val="2"/>
      </rPr>
      <t xml:space="preserve"> Solver</t>
    </r>
  </si>
  <si>
    <t>SAMPLE</t>
  </si>
  <si>
    <t>SAMPLE 
Species</t>
  </si>
  <si>
    <t>Volume of Titrand (mL)</t>
  </si>
  <si>
    <r>
      <rPr>
        <b/>
        <sz val="10"/>
        <color theme="3"/>
        <rFont val="Arial"/>
        <family val="2"/>
      </rPr>
      <t>Volume of titrand</t>
    </r>
    <r>
      <rPr>
        <sz val="10"/>
        <color theme="3"/>
        <rFont val="Arial"/>
        <family val="2"/>
      </rPr>
      <t xml:space="preserve"> (in mL)</t>
    </r>
  </si>
  <si>
    <r>
      <t xml:space="preserve">     Composition </t>
    </r>
    <r>
      <rPr>
        <sz val="11"/>
        <rFont val="Arial"/>
        <family val="2"/>
      </rPr>
      <t xml:space="preserve">of the </t>
    </r>
    <r>
      <rPr>
        <b/>
        <sz val="11"/>
        <rFont val="Arial"/>
        <family val="2"/>
      </rPr>
      <t xml:space="preserve">sample </t>
    </r>
    <r>
      <rPr>
        <sz val="11"/>
        <rFont val="Arial"/>
        <family val="2"/>
      </rPr>
      <t xml:space="preserve">(regression fit, in blue, and equilibrium at initial pH) and of the </t>
    </r>
    <r>
      <rPr>
        <b/>
        <sz val="11"/>
        <rFont val="Arial"/>
        <family val="2"/>
      </rPr>
      <t>titrant</t>
    </r>
    <r>
      <rPr>
        <sz val="11"/>
        <rFont val="Arial"/>
        <family val="2"/>
      </rPr>
      <t>; all concentrations in</t>
    </r>
    <r>
      <rPr>
        <b/>
        <sz val="11"/>
        <rFont val="Arial"/>
        <family val="2"/>
      </rPr>
      <t xml:space="preserve"> mol/L</t>
    </r>
  </si>
  <si>
    <t xml:space="preserve">Maximum titrant volume &amp; additions </t>
  </si>
  <si>
    <t>0 to 14</t>
  </si>
  <si>
    <t>of</t>
  </si>
  <si>
    <r>
      <t xml:space="preserve">at ionic strength </t>
    </r>
    <r>
      <rPr>
        <sz val="12"/>
        <rFont val="Bookman Old Style"/>
        <family val="1"/>
      </rPr>
      <t xml:space="preserve">I </t>
    </r>
    <r>
      <rPr>
        <sz val="11"/>
        <rFont val="Arial"/>
        <family val="2"/>
      </rPr>
      <t>(mol/L)</t>
    </r>
  </si>
  <si>
    <r>
      <t xml:space="preserve">at </t>
    </r>
    <r>
      <rPr>
        <sz val="12"/>
        <rFont val="Symbol"/>
        <family val="1"/>
        <charset val="2"/>
      </rPr>
      <t>S</t>
    </r>
    <r>
      <rPr>
        <sz val="11"/>
        <rFont val="Arial"/>
        <family val="2"/>
      </rPr>
      <t>[HiB] (mol/L)</t>
    </r>
  </si>
  <si>
    <r>
      <rPr>
        <sz val="14"/>
        <rFont val="Symbol"/>
        <family val="1"/>
        <charset val="2"/>
      </rPr>
      <t>g</t>
    </r>
    <r>
      <rPr>
        <vertAlign val="subscript"/>
        <sz val="12"/>
        <rFont val="Arial"/>
        <family val="2"/>
      </rPr>
      <t>H+</t>
    </r>
  </si>
  <si>
    <t>Protonations, n</t>
  </si>
  <si>
    <t>for</t>
  </si>
  <si>
    <t xml:space="preserve">Plot all curves overlaid on  </t>
  </si>
  <si>
    <r>
      <t xml:space="preserve">   Overall protonation constants </t>
    </r>
    <r>
      <rPr>
        <sz val="12"/>
        <rFont val="Symbol"/>
        <family val="1"/>
        <charset val="2"/>
      </rPr>
      <t>b</t>
    </r>
    <r>
      <rPr>
        <sz val="10"/>
        <rFont val="Arial"/>
        <family val="2"/>
      </rPr>
      <t>p</t>
    </r>
  </si>
  <si>
    <r>
      <t xml:space="preserve">Corrected for </t>
    </r>
    <r>
      <rPr>
        <sz val="11"/>
        <rFont val="Bookman Old Style"/>
        <family val="1"/>
      </rPr>
      <t>I</t>
    </r>
  </si>
  <si>
    <t>Species</t>
  </si>
  <si>
    <t>Curve color</t>
  </si>
  <si>
    <r>
      <rPr>
        <sz val="10"/>
        <rFont val="Arial"/>
        <family val="2"/>
      </rPr>
      <t xml:space="preserve">Ionic strength, </t>
    </r>
    <r>
      <rPr>
        <sz val="11"/>
        <rFont val="Bookman Old Style"/>
        <family val="1"/>
      </rPr>
      <t xml:space="preserve">I </t>
    </r>
  </si>
  <si>
    <t>Version 2, improved and adapted for titrations with coulometric generation of reactants, was released in 1992.</t>
  </si>
  <si>
    <t>Versions 4.1.1 to 4.1.3, January 2015 minor corrections and improved comments on ionic strength calculations.</t>
  </si>
  <si>
    <t>Version 3.3, January 2008, has a friendlier interface with the Database and includes logarithmic distribution diagram generation overlaid on the titration curve.</t>
  </si>
  <si>
    <t>Version 3.4, October 2008, extends Ionic strength and activity coefficient calculations to the Regression module (formerly available only in pH_calc).</t>
  </si>
  <si>
    <r>
      <t xml:space="preserve">Version 4.2.0, February 2015 - Extended data weighting options in </t>
    </r>
    <r>
      <rPr>
        <b/>
        <sz val="12"/>
        <rFont val="Arial"/>
        <family val="2"/>
      </rPr>
      <t>Regression</t>
    </r>
    <r>
      <rPr>
        <sz val="12"/>
        <rFont val="Arial"/>
        <family val="2"/>
      </rPr>
      <t xml:space="preserve">; ionic strength effect correction added to </t>
    </r>
    <r>
      <rPr>
        <b/>
        <sz val="12"/>
        <rFont val="Arial"/>
        <family val="2"/>
      </rPr>
      <t>Distribution</t>
    </r>
    <r>
      <rPr>
        <sz val="12"/>
        <rFont val="Arial"/>
        <family val="2"/>
      </rPr>
      <t>.</t>
    </r>
  </si>
  <si>
    <t xml:space="preserve">1. Open a new blank Excel spreadsheet </t>
  </si>
  <si>
    <r>
      <t xml:space="preserve">2. Click on the </t>
    </r>
    <r>
      <rPr>
        <b/>
        <sz val="12"/>
        <rFont val="Arial"/>
        <family val="2"/>
      </rPr>
      <t>File</t>
    </r>
    <r>
      <rPr>
        <sz val="12"/>
        <rFont val="Arial"/>
        <family val="2"/>
      </rPr>
      <t xml:space="preserve"> tab (or the Office button, in Windows XP)(top left corner)</t>
    </r>
  </si>
  <si>
    <t xml:space="preserve">How to enable macros in MS Excel 97-2003: </t>
  </si>
  <si>
    <t xml:space="preserve">     is trustworthy and contains no harmful code.</t>
  </si>
  <si>
    <t xml:space="preserve">     All macros are fully removed when closing the file.</t>
  </si>
  <si>
    <t xml:space="preserve">     Needless to say, CurTiPot, freely distributed by the author since 1992,</t>
  </si>
  <si>
    <r>
      <t>3. Click on "</t>
    </r>
    <r>
      <rPr>
        <b/>
        <sz val="12"/>
        <rFont val="Arial"/>
        <family val="2"/>
      </rPr>
      <t>Options</t>
    </r>
    <r>
      <rPr>
        <sz val="12"/>
        <rFont val="Arial"/>
        <family val="2"/>
      </rPr>
      <t>" (bottom left)</t>
    </r>
  </si>
  <si>
    <r>
      <t>4. Click on "</t>
    </r>
    <r>
      <rPr>
        <b/>
        <sz val="12"/>
        <rFont val="Arial"/>
        <family val="2"/>
      </rPr>
      <t>Trust Center</t>
    </r>
    <r>
      <rPr>
        <sz val="12"/>
        <rFont val="Arial"/>
        <family val="2"/>
      </rPr>
      <t>" (bottom left)</t>
    </r>
  </si>
  <si>
    <r>
      <t>7. Click on "</t>
    </r>
    <r>
      <rPr>
        <b/>
        <sz val="12"/>
        <rFont val="Arial"/>
        <family val="2"/>
      </rPr>
      <t>Disable macros with notification</t>
    </r>
    <r>
      <rPr>
        <sz val="12"/>
        <rFont val="Arial"/>
        <family val="2"/>
      </rPr>
      <t>"</t>
    </r>
  </si>
  <si>
    <r>
      <t xml:space="preserve">9. Open the </t>
    </r>
    <r>
      <rPr>
        <b/>
        <sz val="12"/>
        <rFont val="Arial"/>
        <family val="2"/>
      </rPr>
      <t>CurTiPot</t>
    </r>
    <r>
      <rPr>
        <sz val="12"/>
        <rFont val="Arial"/>
        <family val="2"/>
      </rPr>
      <t xml:space="preserve"> file</t>
    </r>
  </si>
  <si>
    <r>
      <t>10. When the "</t>
    </r>
    <r>
      <rPr>
        <b/>
        <sz val="12"/>
        <rFont val="Arial"/>
        <family val="2"/>
      </rPr>
      <t>Security warning</t>
    </r>
    <r>
      <rPr>
        <sz val="12"/>
        <rFont val="Arial"/>
        <family val="2"/>
      </rPr>
      <t xml:space="preserve">" shows up, click on it to </t>
    </r>
    <r>
      <rPr>
        <b/>
        <sz val="12"/>
        <rFont val="Arial"/>
        <family val="2"/>
      </rPr>
      <t>enable</t>
    </r>
    <r>
      <rPr>
        <sz val="12"/>
        <rFont val="Arial"/>
        <family val="2"/>
      </rPr>
      <t xml:space="preserve"> content</t>
    </r>
  </si>
  <si>
    <t>Besides enabled macros, the Regression module also requires the Solver,</t>
  </si>
  <si>
    <t>an Add-In supplement provided by Microsoft with the Office package</t>
  </si>
  <si>
    <t>If not already installed, follow the instructions (may change a bit, for different Excel versions)</t>
  </si>
  <si>
    <r>
      <t xml:space="preserve">2. Click on the </t>
    </r>
    <r>
      <rPr>
        <b/>
        <sz val="11"/>
        <rFont val="Arial"/>
        <family val="2"/>
      </rPr>
      <t>File</t>
    </r>
    <r>
      <rPr>
        <sz val="11"/>
        <rFont val="Arial"/>
        <family val="2"/>
      </rPr>
      <t xml:space="preserve"> tab (or the Office button, in Windows XP)(top left corner)</t>
    </r>
  </si>
  <si>
    <r>
      <t>3. Click on "</t>
    </r>
    <r>
      <rPr>
        <b/>
        <sz val="11"/>
        <rFont val="Arial"/>
        <family val="2"/>
      </rPr>
      <t>Options</t>
    </r>
    <r>
      <rPr>
        <sz val="11"/>
        <rFont val="Arial"/>
        <family val="2"/>
      </rPr>
      <t>" (bottom left)</t>
    </r>
  </si>
  <si>
    <r>
      <t>4. Click on "</t>
    </r>
    <r>
      <rPr>
        <b/>
        <sz val="11"/>
        <rFont val="Arial"/>
        <family val="2"/>
      </rPr>
      <t>Add-ins</t>
    </r>
    <r>
      <rPr>
        <sz val="11"/>
        <rFont val="Arial"/>
        <family val="2"/>
      </rPr>
      <t>" (bottom left)</t>
    </r>
  </si>
  <si>
    <r>
      <t>5. Click on "</t>
    </r>
    <r>
      <rPr>
        <b/>
        <sz val="11"/>
        <rFont val="Arial"/>
        <family val="2"/>
      </rPr>
      <t>Solver</t>
    </r>
    <r>
      <rPr>
        <sz val="11"/>
        <rFont val="Arial"/>
        <family val="2"/>
      </rPr>
      <t>" in the Add-Ins list</t>
    </r>
  </si>
  <si>
    <r>
      <t xml:space="preserve">7. Check </t>
    </r>
    <r>
      <rPr>
        <b/>
        <sz val="11"/>
        <rFont val="Arial"/>
        <family val="2"/>
      </rPr>
      <t>Solver</t>
    </r>
    <r>
      <rPr>
        <sz val="11"/>
        <rFont val="Arial"/>
        <family val="2"/>
      </rPr>
      <t xml:space="preserve"> add-in in the pop-on box </t>
    </r>
  </si>
  <si>
    <r>
      <t xml:space="preserve">9. Open the </t>
    </r>
    <r>
      <rPr>
        <b/>
        <sz val="11"/>
        <rFont val="Arial"/>
        <family val="2"/>
      </rPr>
      <t>CurTiPot</t>
    </r>
    <r>
      <rPr>
        <sz val="11"/>
        <rFont val="Arial"/>
        <family val="2"/>
      </rPr>
      <t xml:space="preserve"> file and click on the </t>
    </r>
    <r>
      <rPr>
        <b/>
        <sz val="11"/>
        <rFont val="Arial"/>
        <family val="2"/>
      </rPr>
      <t>Regression</t>
    </r>
    <r>
      <rPr>
        <sz val="11"/>
        <rFont val="Arial"/>
        <family val="2"/>
      </rPr>
      <t xml:space="preserve"> lower tab</t>
    </r>
  </si>
  <si>
    <r>
      <t xml:space="preserve">To learn from the authors' of Excel </t>
    </r>
    <r>
      <rPr>
        <b/>
        <sz val="11"/>
        <rFont val="Arial"/>
        <family val="2"/>
      </rPr>
      <t>Solver</t>
    </r>
    <r>
      <rPr>
        <sz val="11"/>
        <rFont val="Arial"/>
        <family val="2"/>
      </rPr>
      <t xml:space="preserve"> about the </t>
    </r>
    <r>
      <rPr>
        <b/>
        <sz val="11"/>
        <rFont val="Arial"/>
        <family val="2"/>
      </rPr>
      <t>design, uses and limitations</t>
    </r>
  </si>
  <si>
    <r>
      <t xml:space="preserve">8. Click </t>
    </r>
    <r>
      <rPr>
        <b/>
        <sz val="12"/>
        <rFont val="Arial"/>
        <family val="2"/>
      </rPr>
      <t>OK</t>
    </r>
    <r>
      <rPr>
        <sz val="12"/>
        <rFont val="Arial"/>
        <family val="2"/>
      </rPr>
      <t>; follow steps 1 to 8 only once on each computer</t>
    </r>
  </si>
  <si>
    <r>
      <t>4. Click on "</t>
    </r>
    <r>
      <rPr>
        <b/>
        <sz val="11"/>
        <rFont val="Arial"/>
        <family val="2"/>
      </rPr>
      <t>Trust Center</t>
    </r>
    <r>
      <rPr>
        <sz val="11"/>
        <rFont val="Arial"/>
        <family val="2"/>
      </rPr>
      <t>" (bottom left)</t>
    </r>
  </si>
  <si>
    <r>
      <t>7. Click on "</t>
    </r>
    <r>
      <rPr>
        <b/>
        <sz val="11"/>
        <rFont val="Arial"/>
        <family val="2"/>
      </rPr>
      <t>Disable macros with notification</t>
    </r>
    <r>
      <rPr>
        <sz val="11"/>
        <rFont val="Arial"/>
        <family val="2"/>
      </rPr>
      <t>"</t>
    </r>
  </si>
  <si>
    <r>
      <t xml:space="preserve">8. Click </t>
    </r>
    <r>
      <rPr>
        <b/>
        <sz val="11"/>
        <rFont val="Arial"/>
        <family val="2"/>
      </rPr>
      <t>OK</t>
    </r>
    <r>
      <rPr>
        <sz val="11"/>
        <rFont val="Arial"/>
        <family val="2"/>
      </rPr>
      <t>; follow steps 1 to 8 only once on each computer</t>
    </r>
  </si>
  <si>
    <r>
      <t xml:space="preserve">9. Open the </t>
    </r>
    <r>
      <rPr>
        <b/>
        <sz val="11"/>
        <rFont val="Arial"/>
        <family val="2"/>
      </rPr>
      <t>CurTiPot</t>
    </r>
    <r>
      <rPr>
        <sz val="11"/>
        <rFont val="Arial"/>
        <family val="2"/>
      </rPr>
      <t xml:space="preserve"> file</t>
    </r>
  </si>
  <si>
    <r>
      <t>10. When the "</t>
    </r>
    <r>
      <rPr>
        <b/>
        <sz val="11"/>
        <rFont val="Arial"/>
        <family val="2"/>
      </rPr>
      <t>Security warning</t>
    </r>
    <r>
      <rPr>
        <sz val="11"/>
        <rFont val="Arial"/>
        <family val="2"/>
      </rPr>
      <t xml:space="preserve">" shows up, click on it to </t>
    </r>
    <r>
      <rPr>
        <b/>
        <sz val="11"/>
        <rFont val="Arial"/>
        <family val="2"/>
      </rPr>
      <t>enable</t>
    </r>
    <r>
      <rPr>
        <sz val="11"/>
        <rFont val="Arial"/>
        <family val="2"/>
      </rPr>
      <t xml:space="preserve"> content</t>
    </r>
  </si>
  <si>
    <r>
      <t>2. Click on the "</t>
    </r>
    <r>
      <rPr>
        <b/>
        <sz val="11"/>
        <rFont val="Arial"/>
        <family val="2"/>
      </rPr>
      <t>Tools</t>
    </r>
    <r>
      <rPr>
        <sz val="11"/>
        <rFont val="Arial"/>
        <family val="2"/>
      </rPr>
      <t>" tab</t>
    </r>
  </si>
  <si>
    <r>
      <t>3. Select "</t>
    </r>
    <r>
      <rPr>
        <b/>
        <sz val="11"/>
        <rFont val="Arial"/>
        <family val="2"/>
      </rPr>
      <t>Macro</t>
    </r>
    <r>
      <rPr>
        <sz val="11"/>
        <rFont val="Arial"/>
        <family val="2"/>
      </rPr>
      <t>"</t>
    </r>
  </si>
  <si>
    <r>
      <t>4. Select "</t>
    </r>
    <r>
      <rPr>
        <b/>
        <sz val="11"/>
        <rFont val="Arial"/>
        <family val="2"/>
      </rPr>
      <t>Security</t>
    </r>
    <r>
      <rPr>
        <sz val="11"/>
        <rFont val="Arial"/>
        <family val="2"/>
      </rPr>
      <t>"</t>
    </r>
  </si>
  <si>
    <r>
      <t>5. Select "</t>
    </r>
    <r>
      <rPr>
        <b/>
        <sz val="11"/>
        <rFont val="Arial"/>
        <family val="2"/>
      </rPr>
      <t>Security level</t>
    </r>
    <r>
      <rPr>
        <sz val="11"/>
        <rFont val="Arial"/>
        <family val="2"/>
      </rPr>
      <t>"</t>
    </r>
  </si>
  <si>
    <r>
      <t>6. Select "</t>
    </r>
    <r>
      <rPr>
        <b/>
        <sz val="11"/>
        <rFont val="Arial"/>
        <family val="2"/>
      </rPr>
      <t>Medium</t>
    </r>
    <r>
      <rPr>
        <sz val="11"/>
        <rFont val="Arial"/>
        <family val="2"/>
      </rPr>
      <t>"</t>
    </r>
  </si>
  <si>
    <r>
      <t xml:space="preserve">7. Open the </t>
    </r>
    <r>
      <rPr>
        <b/>
        <sz val="11"/>
        <rFont val="Arial"/>
        <family val="2"/>
      </rPr>
      <t>CurTiPot</t>
    </r>
    <r>
      <rPr>
        <sz val="11"/>
        <rFont val="Arial"/>
        <family val="2"/>
      </rPr>
      <t xml:space="preserve"> file and </t>
    </r>
    <r>
      <rPr>
        <b/>
        <sz val="11"/>
        <rFont val="Arial"/>
        <family val="2"/>
      </rPr>
      <t>enable</t>
    </r>
    <r>
      <rPr>
        <sz val="11"/>
        <rFont val="Arial"/>
        <family val="2"/>
      </rPr>
      <t xml:space="preserve"> the content</t>
    </r>
  </si>
  <si>
    <t>http://scholar.google.com.br/citations?user=qXFK1_YAAAAJ&amp;hl=pt-BR</t>
  </si>
  <si>
    <t>Click C22</t>
  </si>
  <si>
    <t>to update AT --&gt;</t>
  </si>
  <si>
    <r>
      <t xml:space="preserve">•  </t>
    </r>
    <r>
      <rPr>
        <b/>
        <sz val="13"/>
        <rFont val="Arial"/>
        <family val="2"/>
      </rPr>
      <t>Database</t>
    </r>
    <r>
      <rPr>
        <sz val="13"/>
        <rFont val="Arial"/>
        <family val="2"/>
      </rPr>
      <t xml:space="preserve"> with equilibrium constants (pK</t>
    </r>
    <r>
      <rPr>
        <vertAlign val="subscript"/>
        <sz val="14"/>
        <rFont val="Arial"/>
        <family val="2"/>
      </rPr>
      <t>a</t>
    </r>
    <r>
      <rPr>
        <sz val="13"/>
        <rFont val="Arial"/>
        <family val="2"/>
      </rPr>
      <t xml:space="preserve">) of 250 acid-base systems including amino acids and some indicators (expandable by the user) </t>
    </r>
  </si>
  <si>
    <r>
      <t>5. Click on "</t>
    </r>
    <r>
      <rPr>
        <b/>
        <sz val="12"/>
        <rFont val="Arial"/>
        <family val="2"/>
      </rPr>
      <t>Trust Center Settings</t>
    </r>
    <r>
      <rPr>
        <sz val="12"/>
        <rFont val="Arial"/>
        <family val="2"/>
      </rPr>
      <t>" (bottom right)</t>
    </r>
  </si>
  <si>
    <r>
      <t>6. Click on "</t>
    </r>
    <r>
      <rPr>
        <b/>
        <sz val="12"/>
        <rFont val="Arial"/>
        <family val="2"/>
      </rPr>
      <t>Macro Settings</t>
    </r>
    <r>
      <rPr>
        <sz val="12"/>
        <rFont val="Arial"/>
        <family val="2"/>
      </rPr>
      <t>"</t>
    </r>
  </si>
  <si>
    <r>
      <t>5. Click on "</t>
    </r>
    <r>
      <rPr>
        <b/>
        <sz val="11"/>
        <rFont val="Arial"/>
        <family val="2"/>
      </rPr>
      <t>Trust Center Settings</t>
    </r>
    <r>
      <rPr>
        <sz val="11"/>
        <rFont val="Arial"/>
        <family val="2"/>
      </rPr>
      <t>" (bottom right)</t>
    </r>
  </si>
  <si>
    <r>
      <t>6. Click on "</t>
    </r>
    <r>
      <rPr>
        <b/>
        <sz val="11"/>
        <rFont val="Arial"/>
        <family val="2"/>
      </rPr>
      <t>Macro Settings</t>
    </r>
    <r>
      <rPr>
        <sz val="11"/>
        <rFont val="Arial"/>
        <family val="2"/>
      </rPr>
      <t>"</t>
    </r>
  </si>
  <si>
    <t xml:space="preserve">     Sample and titrant (standard) composition (concentrations in mol/L)</t>
  </si>
  <si>
    <r>
      <t xml:space="preserve">   Overall apparent constants </t>
    </r>
    <r>
      <rPr>
        <sz val="11"/>
        <rFont val="Arial"/>
        <family val="2"/>
      </rPr>
      <t xml:space="preserve">recalculated for applied initial </t>
    </r>
    <r>
      <rPr>
        <sz val="11"/>
        <rFont val="Bookman Old Style"/>
        <family val="1"/>
      </rPr>
      <t>I</t>
    </r>
    <r>
      <rPr>
        <sz val="11"/>
        <rFont val="Arial"/>
        <family val="2"/>
      </rPr>
      <t xml:space="preserve"> =</t>
    </r>
  </si>
  <si>
    <r>
      <t>SS</t>
    </r>
    <r>
      <rPr>
        <sz val="10"/>
        <rFont val="Arial"/>
        <family val="2"/>
      </rPr>
      <t>[H] max. free H</t>
    </r>
    <r>
      <rPr>
        <vertAlign val="superscript"/>
        <sz val="11"/>
        <rFont val="Arial"/>
        <family val="2"/>
      </rPr>
      <t>+</t>
    </r>
    <r>
      <rPr>
        <sz val="10"/>
        <rFont val="Arial"/>
        <family val="2"/>
      </rPr>
      <t xml:space="preserve"> </t>
    </r>
  </si>
  <si>
    <r>
      <t>6. Click on "</t>
    </r>
    <r>
      <rPr>
        <b/>
        <sz val="11"/>
        <rFont val="Arial"/>
        <family val="2"/>
      </rPr>
      <t>Go</t>
    </r>
    <r>
      <rPr>
        <sz val="11"/>
        <rFont val="Arial"/>
        <family val="2"/>
      </rPr>
      <t>" near the bottom of the page</t>
    </r>
  </si>
  <si>
    <t xml:space="preserve">Retained formed curves  </t>
  </si>
  <si>
    <t>Molar fraction of each species as a function of pH</t>
  </si>
  <si>
    <t>logarithm of molar fraction of each species as a function of pH</t>
  </si>
  <si>
    <t xml:space="preserve">Volume of titrand (sample pipetted into cell)  </t>
  </si>
  <si>
    <t>Dissociation constants of  inorganic and organic compounds (compilation with 33 pages)</t>
  </si>
  <si>
    <t>Primary standard buffer solutions pH at various temperatures</t>
  </si>
  <si>
    <t>Acid or Base</t>
  </si>
  <si>
    <r>
      <rPr>
        <u/>
        <sz val="11"/>
        <rFont val="Arial"/>
        <family val="2"/>
      </rPr>
      <t>Window for Mac:</t>
    </r>
    <r>
      <rPr>
        <sz val="11"/>
        <rFont val="Arial"/>
        <family val="2"/>
      </rPr>
      <t xml:space="preserve">  skip step </t>
    </r>
    <r>
      <rPr>
        <b/>
        <sz val="11"/>
        <rFont val="Arial"/>
        <family val="2"/>
      </rPr>
      <t>2</t>
    </r>
    <r>
      <rPr>
        <sz val="11"/>
        <rFont val="Arial"/>
        <family val="2"/>
      </rPr>
      <t xml:space="preserve">, click </t>
    </r>
    <r>
      <rPr>
        <b/>
        <sz val="11"/>
        <rFont val="Arial"/>
        <family val="2"/>
      </rPr>
      <t>"Tools</t>
    </r>
    <r>
      <rPr>
        <sz val="11"/>
        <rFont val="Arial"/>
        <family val="2"/>
      </rPr>
      <t>"</t>
    </r>
  </si>
  <si>
    <r>
      <rPr>
        <u/>
        <sz val="11"/>
        <rFont val="Arial"/>
        <family val="2"/>
      </rPr>
      <t>Window for Mac:</t>
    </r>
    <r>
      <rPr>
        <sz val="11"/>
        <rFont val="Arial"/>
        <family val="2"/>
      </rPr>
      <t xml:space="preserve">  check the Solver box; skip 6 na 7</t>
    </r>
  </si>
  <si>
    <r>
      <t xml:space="preserve">10. Click on the upper </t>
    </r>
    <r>
      <rPr>
        <b/>
        <sz val="11"/>
        <rFont val="Arial"/>
        <family val="2"/>
      </rPr>
      <t>Data</t>
    </r>
    <r>
      <rPr>
        <sz val="11"/>
        <rFont val="Arial"/>
        <family val="2"/>
      </rPr>
      <t xml:space="preserve"> tab and click on </t>
    </r>
    <r>
      <rPr>
        <b/>
        <sz val="11"/>
        <rFont val="Arial"/>
        <family val="2"/>
      </rPr>
      <t>Solver</t>
    </r>
    <r>
      <rPr>
        <sz val="11"/>
        <rFont val="Arial"/>
        <family val="2"/>
      </rPr>
      <t xml:space="preserve"> in the </t>
    </r>
    <r>
      <rPr>
        <b/>
        <sz val="11"/>
        <rFont val="Arial"/>
        <family val="2"/>
      </rPr>
      <t>Analysis</t>
    </r>
    <r>
      <rPr>
        <sz val="11"/>
        <rFont val="Arial"/>
        <family val="2"/>
      </rPr>
      <t xml:space="preserve"> group (at the right)</t>
    </r>
  </si>
  <si>
    <t>Research interests, CV, publications, see: http://www.iq.usp.br/gutz and</t>
  </si>
  <si>
    <t xml:space="preserve">No Isoelectrc Point in the pH range of </t>
  </si>
  <si>
    <t>Titrant(s)</t>
  </si>
  <si>
    <t>recalc. for</t>
  </si>
  <si>
    <r>
      <rPr>
        <sz val="12"/>
        <rFont val="Symbol"/>
        <family val="1"/>
        <charset val="2"/>
      </rPr>
      <t xml:space="preserve">g </t>
    </r>
    <r>
      <rPr>
        <sz val="11"/>
        <rFont val="Arial"/>
        <family val="2"/>
      </rPr>
      <t>H</t>
    </r>
    <r>
      <rPr>
        <vertAlign val="superscript"/>
        <sz val="12"/>
        <rFont val="Arial"/>
        <family val="2"/>
      </rPr>
      <t>+</t>
    </r>
    <r>
      <rPr>
        <sz val="12"/>
        <rFont val="Arial"/>
        <family val="2"/>
      </rPr>
      <t>=</t>
    </r>
  </si>
  <si>
    <t xml:space="preserve"> Remark: this virtual titrator calculates "pH" values disregarding ion-ion interactions (pH calculations are available in the Simulation or pH_calc modules).</t>
  </si>
  <si>
    <t>Version 3.1 was the first release translated to English, launched on the internet in May 1st, 2006.</t>
  </si>
  <si>
    <t>Version  4.2.2, September 2015 - Cells to fill with concentrations of bases protoneted to neutrality are now underlined in green.</t>
  </si>
  <si>
    <t xml:space="preserve">     Curve copied</t>
  </si>
  <si>
    <t xml:space="preserve">      from Evaluation</t>
  </si>
  <si>
    <t>and plot Buffer Capacity</t>
  </si>
  <si>
    <t xml:space="preserve">[NaH2PO4] =  [H2PO4- titrated] - [H3PO4] = 0,1000 - 0,0501 = 0,0499 mol/L </t>
  </si>
  <si>
    <t>Buffer Reference Center</t>
  </si>
  <si>
    <t>https://www.sigmaaldrich.com/life-science/core-bioreagents/biological-buffers/learning-center/buffer-reference-center.html</t>
  </si>
  <si>
    <t>Online Buffer Calculator</t>
  </si>
  <si>
    <t>http://www.sigmaaldrich.com/life-science/core-bioreagents/biological-buffers/learning-center/buffer-calculator.html</t>
  </si>
  <si>
    <t>https://www.chem.wisc.edu/areas/reich/pkatable/pKa_compilation-1-Williams.pdf</t>
  </si>
  <si>
    <t xml:space="preserve">C2H4N2 </t>
  </si>
  <si>
    <t>Member Academy of Sciences of the State of São Paulo</t>
  </si>
  <si>
    <t>http://scholar.google.com/scholar?hl=en-USR&amp;as_sdt=0,5&amp;q=curtipot</t>
  </si>
  <si>
    <t>Mean</t>
  </si>
  <si>
    <t>Median</t>
  </si>
  <si>
    <t>Std. Deviation</t>
  </si>
  <si>
    <t>https://www.solver.com/excel-solver-online-help</t>
  </si>
  <si>
    <t>https://faculty.insead.edu/delquie/msp/Download%20Solutions/Design%20and%20Use%20of%20Solver.pdf</t>
  </si>
  <si>
    <t>RSD, %</t>
  </si>
  <si>
    <t xml:space="preserve">    Spreadsheet for 160 data pairs; it can be expanded or shortened (to gain speed).</t>
  </si>
  <si>
    <t>factors</t>
  </si>
  <si>
    <t>Weighting</t>
  </si>
  <si>
    <r>
      <t>pH</t>
    </r>
    <r>
      <rPr>
        <sz val="10"/>
        <rFont val="Arial"/>
        <family val="2"/>
      </rPr>
      <t>reg</t>
    </r>
    <r>
      <rPr>
        <b/>
        <sz val="10"/>
        <rFont val="Arial"/>
        <family val="2"/>
      </rPr>
      <t>-pH</t>
    </r>
  </si>
  <si>
    <r>
      <t xml:space="preserve">     CH</t>
    </r>
    <r>
      <rPr>
        <b/>
        <sz val="8"/>
        <rFont val="Arial"/>
        <family val="2"/>
      </rPr>
      <t>reg</t>
    </r>
    <r>
      <rPr>
        <b/>
        <sz val="10"/>
        <rFont val="Arial"/>
        <family val="2"/>
      </rPr>
      <t xml:space="preserve"> - CH</t>
    </r>
    <r>
      <rPr>
        <b/>
        <sz val="8"/>
        <rFont val="Arial"/>
        <family val="2"/>
      </rPr>
      <t>calc</t>
    </r>
    <r>
      <rPr>
        <b/>
        <sz val="10"/>
        <rFont val="Arial"/>
        <family val="2"/>
      </rPr>
      <t xml:space="preserve"> residuals</t>
    </r>
  </si>
  <si>
    <r>
      <t xml:space="preserve">     pH</t>
    </r>
    <r>
      <rPr>
        <b/>
        <sz val="8"/>
        <rFont val="Arial"/>
        <family val="2"/>
      </rPr>
      <t>reg</t>
    </r>
    <r>
      <rPr>
        <b/>
        <sz val="10"/>
        <rFont val="Arial"/>
        <family val="2"/>
      </rPr>
      <t xml:space="preserve"> - pH residuals</t>
    </r>
  </si>
  <si>
    <r>
      <t>Sample CH</t>
    </r>
    <r>
      <rPr>
        <sz val="8"/>
        <rFont val="Arial"/>
        <family val="2"/>
      </rPr>
      <t>reg</t>
    </r>
  </si>
  <si>
    <t>To modify the axis of a plot or copy a figure, see instructions in cells  R43, 44 and 45 of Evaluation</t>
  </si>
  <si>
    <t xml:space="preserve">Reject </t>
  </si>
  <si>
    <r>
      <rPr>
        <sz val="10"/>
        <rFont val="Arial"/>
        <family val="2"/>
      </rPr>
      <t>with</t>
    </r>
    <r>
      <rPr>
        <b/>
        <sz val="10"/>
        <rFont val="Arial"/>
        <family val="2"/>
      </rPr>
      <t xml:space="preserve"> X</t>
    </r>
  </si>
  <si>
    <r>
      <t xml:space="preserve">Version 4.0, January 2014 - </t>
    </r>
    <r>
      <rPr>
        <b/>
        <sz val="12"/>
        <rFont val="Arial"/>
        <family val="2"/>
      </rPr>
      <t>Titration</t>
    </r>
    <r>
      <rPr>
        <sz val="12"/>
        <rFont val="Arial"/>
        <family val="2"/>
      </rPr>
      <t xml:space="preserve"> module for students introduced, embracing visual and instrumental end point detection; activity calculation extended to </t>
    </r>
    <r>
      <rPr>
        <b/>
        <sz val="12"/>
        <rFont val="Arial"/>
        <family val="2"/>
      </rPr>
      <t>Simulation</t>
    </r>
    <r>
      <rPr>
        <sz val="12"/>
        <rFont val="Arial"/>
        <family val="2"/>
      </rPr>
      <t xml:space="preserve"> module.</t>
    </r>
  </si>
  <si>
    <r>
      <t xml:space="preserve">Version  4.3.0, January 2018 - Marker added for (reversible) rejection of outliers in </t>
    </r>
    <r>
      <rPr>
        <b/>
        <sz val="12"/>
        <rFont val="Arial"/>
        <family val="2"/>
      </rPr>
      <t>Regression</t>
    </r>
    <r>
      <rPr>
        <sz val="12"/>
        <rFont val="Arial"/>
        <family val="2"/>
      </rPr>
      <t xml:space="preserve"> module</t>
    </r>
    <r>
      <rPr>
        <b/>
        <sz val="12"/>
        <rFont val="Arial"/>
        <family val="2"/>
      </rPr>
      <t>;</t>
    </r>
    <r>
      <rPr>
        <sz val="12"/>
        <rFont val="Arial"/>
        <family val="2"/>
      </rPr>
      <t xml:space="preserve"> Real data loading added to </t>
    </r>
    <r>
      <rPr>
        <b/>
        <sz val="12"/>
        <rFont val="Arial"/>
        <family val="2"/>
      </rPr>
      <t>Simulation</t>
    </r>
    <r>
      <rPr>
        <sz val="12"/>
        <rFont val="Arial"/>
        <family val="2"/>
      </rPr>
      <t xml:space="preserve"> for interactive curve fitting.</t>
    </r>
  </si>
  <si>
    <t>People from 100+ countries, including 200+ universities and 100+ companies,</t>
  </si>
  <si>
    <t>How to enable the macro-instructions in Excel 2016, 2013, 2010 and 2007</t>
  </si>
  <si>
    <r>
      <t>Options</t>
    </r>
    <r>
      <rPr>
        <sz val="10"/>
        <rFont val="Arial"/>
        <family val="2"/>
      </rPr>
      <t xml:space="preserve"> of the K12 slider</t>
    </r>
  </si>
  <si>
    <t>CurTiPot was used and cited in 200+ papers and thesis</t>
  </si>
  <si>
    <t>CurTiPot was written almost during weekends and holidays, in São Paulo and, sometimes, in Guaecá</t>
  </si>
  <si>
    <r>
      <rPr>
        <sz val="12"/>
        <rFont val="Symbol"/>
        <family val="1"/>
        <charset val="2"/>
      </rPr>
      <t>S(</t>
    </r>
    <r>
      <rPr>
        <sz val="10"/>
        <rFont val="Symbol"/>
        <family val="1"/>
        <charset val="2"/>
      </rPr>
      <t>|</t>
    </r>
    <r>
      <rPr>
        <sz val="10"/>
        <rFont val="Calibri"/>
        <family val="2"/>
      </rPr>
      <t>R</t>
    </r>
    <r>
      <rPr>
        <vertAlign val="subscript"/>
        <sz val="12"/>
        <rFont val="Arial"/>
        <family val="2"/>
      </rPr>
      <t>CH</t>
    </r>
    <r>
      <rPr>
        <sz val="10"/>
        <rFont val="Symbol"/>
        <family val="1"/>
        <charset val="2"/>
      </rPr>
      <t>|</t>
    </r>
    <r>
      <rPr>
        <vertAlign val="superscript"/>
        <sz val="12"/>
        <rFont val="Arial"/>
        <family val="2"/>
      </rPr>
      <t>a</t>
    </r>
    <r>
      <rPr>
        <sz val="10"/>
        <rFont val="Symbol"/>
        <family val="1"/>
        <charset val="2"/>
      </rPr>
      <t>×|</t>
    </r>
    <r>
      <rPr>
        <sz val="10"/>
        <rFont val="Calibri"/>
        <family val="2"/>
      </rPr>
      <t>d</t>
    </r>
    <r>
      <rPr>
        <vertAlign val="subscript"/>
        <sz val="12"/>
        <rFont val="Arial"/>
        <family val="2"/>
      </rPr>
      <t>pH</t>
    </r>
    <r>
      <rPr>
        <sz val="10"/>
        <rFont val="Symbol"/>
        <family val="1"/>
        <charset val="2"/>
      </rPr>
      <t>|</t>
    </r>
    <r>
      <rPr>
        <vertAlign val="superscript"/>
        <sz val="12"/>
        <rFont val="Arial"/>
        <family val="2"/>
      </rPr>
      <t>b</t>
    </r>
    <r>
      <rPr>
        <sz val="10"/>
        <rFont val="Symbol"/>
        <family val="1"/>
        <charset val="2"/>
      </rPr>
      <t>×|</t>
    </r>
    <r>
      <rPr>
        <sz val="10"/>
        <rFont val="Calibri"/>
        <family val="2"/>
      </rPr>
      <t>R</t>
    </r>
    <r>
      <rPr>
        <vertAlign val="subscript"/>
        <sz val="12"/>
        <rFont val="Arial"/>
        <family val="2"/>
      </rPr>
      <t>pH</t>
    </r>
    <r>
      <rPr>
        <sz val="10"/>
        <rFont val="Symbol"/>
        <family val="1"/>
        <charset val="2"/>
      </rPr>
      <t>|</t>
    </r>
    <r>
      <rPr>
        <vertAlign val="superscript"/>
        <sz val="12"/>
        <rFont val="Arial"/>
        <family val="2"/>
      </rPr>
      <t>c</t>
    </r>
    <r>
      <rPr>
        <sz val="12"/>
        <rFont val="Symbol"/>
        <family val="1"/>
        <charset val="2"/>
      </rPr>
      <t>)</t>
    </r>
  </si>
  <si>
    <t xml:space="preserve">      from Regression</t>
  </si>
  <si>
    <t xml:space="preserve">Mini-SCDatabase - Stability (equilibrium) constants with temperature and ionic stregth effect correction </t>
  </si>
  <si>
    <t>of counterions</t>
  </si>
  <si>
    <t>Sulfamic acid</t>
  </si>
  <si>
    <t>H3NSO3</t>
  </si>
  <si>
    <t>Sorbic acid</t>
  </si>
  <si>
    <t>C6H8O2</t>
  </si>
  <si>
    <t>Biological Buffers (with temperature dependence calculator)</t>
  </si>
  <si>
    <t>http://www.reachdevices.com/Protein/BiologicalBuffers.html</t>
  </si>
  <si>
    <t>2-(N-morpholino)ethanesulfonic acid - MES</t>
  </si>
  <si>
    <t xml:space="preserve">C6H13NO4S </t>
  </si>
  <si>
    <t>C6H9NO6</t>
  </si>
  <si>
    <t>Paracetamol = acetaminophen</t>
  </si>
  <si>
    <r>
      <rPr>
        <sz val="11"/>
        <rFont val="Arial"/>
        <family val="2"/>
      </rPr>
      <t>log</t>
    </r>
    <r>
      <rPr>
        <sz val="12"/>
        <rFont val="Symbol"/>
        <family val="1"/>
        <charset val="2"/>
      </rPr>
      <t>b</t>
    </r>
    <r>
      <rPr>
        <vertAlign val="subscript"/>
        <sz val="12"/>
        <rFont val="Arial"/>
        <family val="2"/>
      </rPr>
      <t>p,i</t>
    </r>
    <r>
      <rPr>
        <sz val="11"/>
        <rFont val="Arial"/>
        <family val="2"/>
      </rPr>
      <t xml:space="preserve"> = log</t>
    </r>
    <r>
      <rPr>
        <sz val="12"/>
        <rFont val="Symbol"/>
        <family val="1"/>
        <charset val="2"/>
      </rPr>
      <t>SK</t>
    </r>
    <r>
      <rPr>
        <vertAlign val="subscript"/>
        <sz val="12"/>
        <rFont val="Arial"/>
        <family val="2"/>
      </rPr>
      <t>p</t>
    </r>
    <r>
      <rPr>
        <sz val="11"/>
        <rFont val="Arial"/>
        <family val="2"/>
      </rPr>
      <t xml:space="preserve"> </t>
    </r>
    <r>
      <rPr>
        <sz val="10"/>
        <rFont val="Arial"/>
        <family val="2"/>
      </rPr>
      <t xml:space="preserve">and </t>
    </r>
    <r>
      <rPr>
        <sz val="12"/>
        <rFont val="Symbol"/>
        <family val="1"/>
        <charset val="2"/>
      </rPr>
      <t>b</t>
    </r>
    <r>
      <rPr>
        <vertAlign val="subscript"/>
        <sz val="12"/>
        <rFont val="Arial"/>
        <family val="2"/>
      </rPr>
      <t>p,i</t>
    </r>
    <r>
      <rPr>
        <sz val="12"/>
        <rFont val="Arial"/>
        <family val="2"/>
      </rPr>
      <t xml:space="preserve"> </t>
    </r>
    <r>
      <rPr>
        <sz val="11"/>
        <rFont val="Arial"/>
        <family val="2"/>
      </rPr>
      <t xml:space="preserve">= </t>
    </r>
    <r>
      <rPr>
        <sz val="12"/>
        <rFont val="Symbol"/>
        <family val="1"/>
        <charset val="2"/>
      </rPr>
      <t>P</t>
    </r>
    <r>
      <rPr>
        <sz val="12"/>
        <rFont val="Arial"/>
        <family val="2"/>
      </rPr>
      <t>K</t>
    </r>
    <r>
      <rPr>
        <vertAlign val="subscript"/>
        <sz val="12"/>
        <rFont val="Arial"/>
        <family val="2"/>
      </rPr>
      <t>p</t>
    </r>
  </si>
  <si>
    <t>Overall (global) protonation constants</t>
  </si>
  <si>
    <t>Identify the results and add observations (use any gray cell)</t>
  </si>
  <si>
    <t>Compilation of results of pH calculations</t>
  </si>
  <si>
    <t>Compilation of titration data and results from Evaluation</t>
  </si>
  <si>
    <t>Compilation of titration data and results from Regression analysis</t>
  </si>
  <si>
    <r>
      <rPr>
        <b/>
        <sz val="11"/>
        <rFont val="Arial"/>
        <family val="2"/>
      </rPr>
      <t>Inflection auto-finder</t>
    </r>
    <r>
      <rPr>
        <b/>
        <sz val="12"/>
        <rFont val="Arial"/>
        <family val="2"/>
      </rPr>
      <t xml:space="preserve"> </t>
    </r>
    <r>
      <rPr>
        <sz val="10"/>
        <rFont val="Arial"/>
        <family val="2"/>
      </rPr>
      <t>- derivative-based</t>
    </r>
  </si>
  <si>
    <r>
      <t xml:space="preserve">Find endpoints of your real or simulated curves with </t>
    </r>
    <r>
      <rPr>
        <b/>
        <sz val="12"/>
        <rFont val="Arial"/>
        <family val="2"/>
      </rPr>
      <t>Evaluation</t>
    </r>
    <r>
      <rPr>
        <sz val="12"/>
        <rFont val="Arial"/>
        <family val="2"/>
      </rPr>
      <t xml:space="preserve"> and save them in </t>
    </r>
    <r>
      <rPr>
        <b/>
        <sz val="12"/>
        <rFont val="Arial"/>
        <family val="2"/>
      </rPr>
      <t>+Eva</t>
    </r>
    <r>
      <rPr>
        <sz val="12"/>
        <rFont val="Arial"/>
        <family val="2"/>
      </rPr>
      <t>. There are buttons to transfer data from Simulation do Evaluation and vice-versa;</t>
    </r>
  </si>
  <si>
    <r>
      <t xml:space="preserve">Play with the </t>
    </r>
    <r>
      <rPr>
        <b/>
        <sz val="12"/>
        <rFont val="Arial"/>
        <family val="2"/>
      </rPr>
      <t>Distribution</t>
    </r>
    <r>
      <rPr>
        <sz val="12"/>
        <rFont val="Arial"/>
        <family val="2"/>
      </rPr>
      <t xml:space="preserve"> module and enjoy the </t>
    </r>
    <r>
      <rPr>
        <b/>
        <sz val="12"/>
        <rFont val="Arial"/>
        <family val="2"/>
      </rPr>
      <t>Graphs</t>
    </r>
    <r>
      <rPr>
        <sz val="12"/>
        <rFont val="Arial"/>
        <family val="2"/>
      </rPr>
      <t xml:space="preserve"> before you try curve modeling with the less simple but more powerful </t>
    </r>
    <r>
      <rPr>
        <b/>
        <sz val="12"/>
        <rFont val="Arial"/>
        <family val="2"/>
      </rPr>
      <t>Regression</t>
    </r>
    <r>
      <rPr>
        <sz val="12"/>
        <rFont val="Arial"/>
        <family val="2"/>
      </rPr>
      <t xml:space="preserve"> module to fit concentrations and pKas;</t>
    </r>
  </si>
  <si>
    <t>downloaded some 200 thousand copies of CurTipot (as tracked by Google Analytics)</t>
  </si>
  <si>
    <t xml:space="preserve">How to enable macro-instructions content of Excel worksheets </t>
  </si>
  <si>
    <t xml:space="preserve">     To enable macros with confidence that they are free of harmful codes, </t>
  </si>
  <si>
    <t xml:space="preserve">     download your copy of CurTiPot from the author's website.</t>
  </si>
  <si>
    <t>•  Data analysis of real and simulated curves of acid-base titrations</t>
  </si>
  <si>
    <r>
      <rPr>
        <b/>
        <sz val="12"/>
        <rFont val="Arial"/>
        <family val="2"/>
      </rPr>
      <t>No</t>
    </r>
    <r>
      <rPr>
        <sz val="12"/>
        <rFont val="Arial"/>
        <family val="2"/>
      </rPr>
      <t xml:space="preserve"> installation needed. Download the latest release of </t>
    </r>
    <r>
      <rPr>
        <sz val="12"/>
        <rFont val="Bookman Old Style"/>
        <family val="1"/>
      </rPr>
      <t>CurTiPot</t>
    </r>
    <r>
      <rPr>
        <sz val="12"/>
        <rFont val="Arial"/>
        <family val="2"/>
      </rPr>
      <t xml:space="preserve"> from www.iq.usp.br/gutz/Curtipot_.html and open the file with Microsoft Excel® </t>
    </r>
  </si>
  <si>
    <r>
      <t xml:space="preserve">Before using the program, make sure you </t>
    </r>
    <r>
      <rPr>
        <b/>
        <sz val="12"/>
        <rFont val="Arial"/>
        <family val="2"/>
      </rPr>
      <t>agree</t>
    </r>
    <r>
      <rPr>
        <sz val="12"/>
        <rFont val="Arial"/>
        <family val="2"/>
      </rPr>
      <t xml:space="preserve"> with all the terms of the </t>
    </r>
    <r>
      <rPr>
        <b/>
        <sz val="12"/>
        <rFont val="Arial"/>
        <family val="2"/>
      </rPr>
      <t>License</t>
    </r>
    <r>
      <rPr>
        <sz val="12"/>
        <rFont val="Arial"/>
        <family val="2"/>
      </rPr>
      <t xml:space="preserve"> reproduced at the end of this page (cells B50 to O100)</t>
    </r>
  </si>
  <si>
    <r>
      <rPr>
        <b/>
        <sz val="12"/>
        <rFont val="Arial"/>
        <family val="2"/>
      </rPr>
      <t>Titration</t>
    </r>
    <r>
      <rPr>
        <sz val="12"/>
        <rFont val="Arial"/>
        <family val="2"/>
      </rPr>
      <t xml:space="preserve"> could be a nice start for beginners; </t>
    </r>
    <r>
      <rPr>
        <b/>
        <sz val="12"/>
        <rFont val="Arial"/>
        <family val="2"/>
      </rPr>
      <t>pH_calc</t>
    </r>
    <r>
      <rPr>
        <sz val="12"/>
        <rFont val="Arial"/>
        <family val="2"/>
      </rPr>
      <t xml:space="preserve"> has too much stuff to grasp at once, but the </t>
    </r>
    <r>
      <rPr>
        <b/>
        <sz val="12"/>
        <rFont val="Arial"/>
        <family val="2"/>
      </rPr>
      <t>pH</t>
    </r>
    <r>
      <rPr>
        <sz val="12"/>
        <rFont val="Arial"/>
        <family val="2"/>
      </rPr>
      <t xml:space="preserve"> is highlighted in the dark blue cell H23;</t>
    </r>
  </si>
  <si>
    <t>Save your data, settings and results in Curtipot_anyname.xlsm files to preserve the original software (optionally deleting unused spreadsheets, with exception of this first one).</t>
  </si>
  <si>
    <r>
      <t>Version 4.1, February 2014 -</t>
    </r>
    <r>
      <rPr>
        <b/>
        <sz val="12"/>
        <rFont val="Arial"/>
        <family val="2"/>
      </rPr>
      <t xml:space="preserve"> Titration</t>
    </r>
    <r>
      <rPr>
        <sz val="12"/>
        <rFont val="Arial"/>
        <family val="2"/>
      </rPr>
      <t xml:space="preserve"> module now imports Indicator colors from Database; Distribution, Evaluation and Analysis modules import data also from Titration.</t>
    </r>
  </si>
  <si>
    <t>Version  4.2.3. March 2016 - Indicator colors are loaded in Titration (function unavailable in v. 4.2.2).</t>
  </si>
  <si>
    <r>
      <t xml:space="preserve">Read more about the name, origins and customers of </t>
    </r>
    <r>
      <rPr>
        <sz val="12"/>
        <rFont val="Bookman Old Style"/>
        <family val="1"/>
      </rPr>
      <t>CurTiPot in</t>
    </r>
    <r>
      <rPr>
        <sz val="12"/>
        <rFont val="Arial"/>
        <family val="2"/>
      </rPr>
      <t xml:space="preserve"> cells R54 to AD79</t>
    </r>
  </si>
  <si>
    <t xml:space="preserve">  Uncertainty of results increases from hundredths to tenths of pH unit in the range of 0.1 &lt; I &lt; 0.5 mol/L (Davies equation limitations - read comment in P15)</t>
  </si>
  <si>
    <t>Version  4.3.1, May 2021 - Modules for users' results saving added ( +pH, +Eva and +Reg); Regression/Simulation data exchange implemented; some instructions/notes were improved.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</si>
</sst>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_(* \(#,##0.00\);_(* &quot;-&quot;??_);_(@_)"/>
    <numFmt numFmtId="164" formatCode="0.0000"/>
    <numFmt numFmtId="165" formatCode="0.000"/>
    <numFmt numFmtId="166" formatCode="0.000E+00"/>
    <numFmt numFmtId="167" formatCode="0.000000"/>
    <numFmt numFmtId="168" formatCode="0.0"/>
    <numFmt numFmtId="169" formatCode="0.00000"/>
    <numFmt numFmtId="170" formatCode="0.0000E+00"/>
    <numFmt numFmtId="171" formatCode="0.000000E+00"/>
  </numFmts>
  <fonts count="189">
    <font>
      <sz val="10"/>
      <name val="Arial"/>
    </font>
    <font>
      <sz val="11"/>
      <color theme="1"/>
      <name val="Calibri"/>
      <family val="2"/>
      <scheme val="minor"/>
    </font>
    <font>
      <sz val="10"/>
      <name val="Arial"/>
      <family val="2"/>
    </font>
    <font>
      <b/>
      <sz val="10"/>
      <name val="Arial"/>
      <family val="2"/>
    </font>
    <font>
      <sz val="10"/>
      <name val="Symbol"/>
      <family val="1"/>
      <charset val="2"/>
    </font>
    <font>
      <sz val="10"/>
      <name val="Arial"/>
      <family val="2"/>
    </font>
    <font>
      <sz val="10"/>
      <color indexed="10"/>
      <name val="Arial"/>
      <family val="2"/>
    </font>
    <font>
      <b/>
      <sz val="10"/>
      <color indexed="43"/>
      <name val="Arial"/>
      <family val="2"/>
    </font>
    <font>
      <u/>
      <sz val="10"/>
      <color indexed="12"/>
      <name val="Arial"/>
      <family val="2"/>
    </font>
    <font>
      <b/>
      <sz val="10"/>
      <color indexed="10"/>
      <name val="Arial"/>
      <family val="2"/>
    </font>
    <font>
      <b/>
      <sz val="8"/>
      <color indexed="43"/>
      <name val="Arial"/>
      <family val="2"/>
    </font>
    <font>
      <b/>
      <sz val="12"/>
      <color indexed="23"/>
      <name val="Arial"/>
      <family val="2"/>
    </font>
    <font>
      <sz val="10"/>
      <color indexed="10"/>
      <name val="Arial"/>
      <family val="2"/>
    </font>
    <font>
      <b/>
      <sz val="11"/>
      <name val="Arial"/>
      <family val="2"/>
    </font>
    <font>
      <b/>
      <sz val="14"/>
      <name val="Arial"/>
      <family val="2"/>
    </font>
    <font>
      <vertAlign val="subscript"/>
      <sz val="10"/>
      <name val="Arial"/>
      <family val="2"/>
    </font>
    <font>
      <vertAlign val="subscript"/>
      <sz val="11"/>
      <name val="Arial"/>
      <family val="2"/>
    </font>
    <font>
      <b/>
      <sz val="12"/>
      <name val="Arial"/>
      <family val="2"/>
    </font>
    <font>
      <sz val="11"/>
      <name val="Arial"/>
      <family val="2"/>
    </font>
    <font>
      <sz val="8"/>
      <color indexed="81"/>
      <name val="Tahoma"/>
      <family val="2"/>
    </font>
    <font>
      <b/>
      <sz val="8"/>
      <color indexed="81"/>
      <name val="Tahoma"/>
      <family val="2"/>
    </font>
    <font>
      <vertAlign val="subscript"/>
      <sz val="10"/>
      <color indexed="81"/>
      <name val="Tahoma"/>
      <family val="2"/>
    </font>
    <font>
      <vertAlign val="superscript"/>
      <sz val="10"/>
      <color indexed="81"/>
      <name val="Tahoma"/>
      <family val="2"/>
    </font>
    <font>
      <sz val="10"/>
      <color indexed="81"/>
      <name val="Tahoma"/>
      <family val="2"/>
    </font>
    <font>
      <sz val="12"/>
      <name val="Arial"/>
      <family val="2"/>
    </font>
    <font>
      <sz val="10"/>
      <color indexed="17"/>
      <name val="Arial"/>
      <family val="2"/>
    </font>
    <font>
      <sz val="10"/>
      <color indexed="60"/>
      <name val="Arial"/>
      <family val="2"/>
    </font>
    <font>
      <sz val="10"/>
      <color indexed="12"/>
      <name val="Arial"/>
      <family val="2"/>
    </font>
    <font>
      <sz val="10"/>
      <color indexed="14"/>
      <name val="Arial"/>
      <family val="2"/>
    </font>
    <font>
      <sz val="10"/>
      <color indexed="53"/>
      <name val="Arial"/>
      <family val="2"/>
    </font>
    <font>
      <sz val="10"/>
      <color indexed="8"/>
      <name val="Arial"/>
      <family val="2"/>
    </font>
    <font>
      <sz val="14"/>
      <name val="Arial"/>
      <family val="2"/>
    </font>
    <font>
      <sz val="12"/>
      <name val="Arial"/>
      <family val="2"/>
    </font>
    <font>
      <sz val="10"/>
      <color indexed="13"/>
      <name val="Arial Black"/>
      <family val="2"/>
    </font>
    <font>
      <vertAlign val="superscript"/>
      <sz val="12"/>
      <name val="Arial"/>
      <family val="2"/>
    </font>
    <font>
      <sz val="16"/>
      <name val="Arial"/>
      <family val="2"/>
    </font>
    <font>
      <b/>
      <sz val="14"/>
      <color indexed="13"/>
      <name val="Arial"/>
      <family val="2"/>
    </font>
    <font>
      <sz val="10"/>
      <color indexed="13"/>
      <name val="Arial"/>
      <family val="2"/>
    </font>
    <font>
      <b/>
      <sz val="11"/>
      <color indexed="43"/>
      <name val="Arial"/>
      <family val="2"/>
    </font>
    <font>
      <sz val="10"/>
      <color indexed="81"/>
      <name val="Symbol"/>
      <family val="1"/>
      <charset val="2"/>
    </font>
    <font>
      <b/>
      <sz val="10"/>
      <color indexed="81"/>
      <name val="Tahoma"/>
      <family val="2"/>
    </font>
    <font>
      <vertAlign val="superscript"/>
      <sz val="10"/>
      <name val="Arial"/>
      <family val="2"/>
    </font>
    <font>
      <vertAlign val="subscript"/>
      <sz val="13"/>
      <name val="Arial"/>
      <family val="2"/>
    </font>
    <font>
      <b/>
      <sz val="13"/>
      <name val="Arial"/>
      <family val="2"/>
    </font>
    <font>
      <sz val="13"/>
      <name val="Arial"/>
      <family val="2"/>
    </font>
    <font>
      <b/>
      <vertAlign val="subscript"/>
      <sz val="12"/>
      <name val="Arial"/>
      <family val="2"/>
    </font>
    <font>
      <sz val="10"/>
      <color indexed="23"/>
      <name val="Arial"/>
      <family val="2"/>
    </font>
    <font>
      <b/>
      <sz val="10"/>
      <color indexed="23"/>
      <name val="Arial"/>
      <family val="2"/>
    </font>
    <font>
      <b/>
      <sz val="14"/>
      <color indexed="43"/>
      <name val="Arial"/>
      <family val="2"/>
    </font>
    <font>
      <b/>
      <sz val="10"/>
      <color indexed="43"/>
      <name val="Arial"/>
      <family val="2"/>
    </font>
    <font>
      <sz val="10"/>
      <color indexed="23"/>
      <name val="Arial"/>
      <family val="2"/>
    </font>
    <font>
      <sz val="10"/>
      <name val="Frutiger-Roman"/>
    </font>
    <font>
      <sz val="11"/>
      <name val="Arial"/>
      <family val="2"/>
    </font>
    <font>
      <sz val="12"/>
      <name val="Symbol"/>
      <family val="1"/>
      <charset val="2"/>
    </font>
    <font>
      <vertAlign val="subscript"/>
      <sz val="12"/>
      <name val="Arial"/>
      <family val="2"/>
    </font>
    <font>
      <vertAlign val="subscript"/>
      <sz val="13"/>
      <name val="Symbol"/>
      <family val="1"/>
      <charset val="2"/>
    </font>
    <font>
      <sz val="8"/>
      <name val="Arial"/>
      <family val="2"/>
    </font>
    <font>
      <vertAlign val="superscript"/>
      <sz val="10"/>
      <color indexed="8"/>
      <name val="Arial"/>
      <family val="2"/>
    </font>
    <font>
      <sz val="10"/>
      <name val="Courier New"/>
      <family val="3"/>
    </font>
    <font>
      <sz val="11"/>
      <name val="Symbol"/>
      <family val="1"/>
      <charset val="2"/>
    </font>
    <font>
      <sz val="14"/>
      <name val="Symbol"/>
      <family val="1"/>
      <charset val="2"/>
    </font>
    <font>
      <vertAlign val="subscript"/>
      <sz val="12"/>
      <color indexed="81"/>
      <name val="Tahoma"/>
      <family val="2"/>
    </font>
    <font>
      <sz val="12"/>
      <color indexed="81"/>
      <name val="Tahoma"/>
      <family val="2"/>
    </font>
    <font>
      <i/>
      <sz val="10"/>
      <color indexed="81"/>
      <name val="Tahoma"/>
      <family val="2"/>
    </font>
    <font>
      <sz val="14"/>
      <color indexed="81"/>
      <name val="Symbol"/>
      <family val="1"/>
      <charset val="2"/>
    </font>
    <font>
      <vertAlign val="superscript"/>
      <sz val="12"/>
      <color indexed="81"/>
      <name val="Tahoma"/>
      <family val="2"/>
    </font>
    <font>
      <sz val="10"/>
      <color indexed="12"/>
      <name val="Tahoma"/>
      <family val="2"/>
    </font>
    <font>
      <sz val="14"/>
      <color indexed="43"/>
      <name val="Arial"/>
      <family val="2"/>
    </font>
    <font>
      <sz val="11"/>
      <color indexed="13"/>
      <name val="Arial"/>
      <family val="2"/>
    </font>
    <font>
      <sz val="11"/>
      <color indexed="26"/>
      <name val="Arial"/>
      <family val="2"/>
    </font>
    <font>
      <b/>
      <sz val="11"/>
      <color indexed="26"/>
      <name val="Arial"/>
      <family val="2"/>
    </font>
    <font>
      <sz val="10"/>
      <color indexed="43"/>
      <name val="Arial"/>
      <family val="2"/>
    </font>
    <font>
      <sz val="13"/>
      <color indexed="81"/>
      <name val="Tahoma"/>
      <family val="2"/>
    </font>
    <font>
      <sz val="10"/>
      <color indexed="10"/>
      <name val="Arial"/>
      <family val="2"/>
    </font>
    <font>
      <sz val="10"/>
      <color indexed="8"/>
      <name val="Arial"/>
      <family val="2"/>
    </font>
    <font>
      <sz val="10"/>
      <color indexed="23"/>
      <name val="Arial"/>
      <family val="2"/>
    </font>
    <font>
      <sz val="8"/>
      <name val="Arial"/>
      <family val="2"/>
    </font>
    <font>
      <sz val="12"/>
      <name val="Arial"/>
      <family val="2"/>
    </font>
    <font>
      <b/>
      <vertAlign val="subscript"/>
      <sz val="12"/>
      <color indexed="43"/>
      <name val="Arial"/>
      <family val="2"/>
    </font>
    <font>
      <sz val="10"/>
      <color indexed="23"/>
      <name val="Arial"/>
      <family val="2"/>
    </font>
    <font>
      <sz val="11"/>
      <name val="Arial"/>
      <family val="2"/>
    </font>
    <font>
      <b/>
      <sz val="11"/>
      <color indexed="62"/>
      <name val="Arial"/>
      <family val="2"/>
    </font>
    <font>
      <sz val="10"/>
      <color indexed="10"/>
      <name val="Arial"/>
      <family val="2"/>
    </font>
    <font>
      <b/>
      <sz val="10"/>
      <color indexed="10"/>
      <name val="Arial"/>
      <family val="2"/>
    </font>
    <font>
      <b/>
      <sz val="10"/>
      <name val="Arial"/>
      <family val="2"/>
    </font>
    <font>
      <vertAlign val="subscript"/>
      <sz val="8"/>
      <color indexed="81"/>
      <name val="Tahoma"/>
      <family val="2"/>
    </font>
    <font>
      <b/>
      <sz val="10"/>
      <color indexed="23"/>
      <name val="Arial"/>
      <family val="2"/>
    </font>
    <font>
      <sz val="12"/>
      <name val="Arial"/>
      <family val="2"/>
    </font>
    <font>
      <sz val="11"/>
      <color indexed="10"/>
      <name val="Arial"/>
      <family val="2"/>
    </font>
    <font>
      <b/>
      <sz val="11"/>
      <name val="Symbol"/>
      <family val="1"/>
      <charset val="2"/>
    </font>
    <font>
      <b/>
      <sz val="18"/>
      <name val="Bookman Old Style"/>
      <family val="1"/>
    </font>
    <font>
      <u/>
      <sz val="16"/>
      <color indexed="12"/>
      <name val="Arial"/>
      <family val="2"/>
    </font>
    <font>
      <u/>
      <sz val="14"/>
      <color indexed="12"/>
      <name val="Arial"/>
      <family val="2"/>
    </font>
    <font>
      <sz val="14"/>
      <name val="Arial"/>
      <family val="2"/>
    </font>
    <font>
      <i/>
      <vertAlign val="subscript"/>
      <sz val="12"/>
      <name val="Arial"/>
      <family val="2"/>
    </font>
    <font>
      <b/>
      <vertAlign val="superscript"/>
      <sz val="11"/>
      <name val="Arial"/>
      <family val="2"/>
    </font>
    <font>
      <sz val="10"/>
      <color indexed="8"/>
      <name val="Arial"/>
      <family val="2"/>
    </font>
    <font>
      <sz val="10"/>
      <color indexed="17"/>
      <name val="Arial"/>
      <family val="2"/>
    </font>
    <font>
      <sz val="10"/>
      <color indexed="60"/>
      <name val="Arial"/>
      <family val="2"/>
    </font>
    <font>
      <sz val="10"/>
      <color indexed="12"/>
      <name val="Arial"/>
      <family val="2"/>
    </font>
    <font>
      <sz val="10"/>
      <color indexed="14"/>
      <name val="Arial"/>
      <family val="2"/>
    </font>
    <font>
      <sz val="10"/>
      <color indexed="53"/>
      <name val="Arial"/>
      <family val="2"/>
    </font>
    <font>
      <b/>
      <u/>
      <sz val="14"/>
      <color indexed="43"/>
      <name val="Arial"/>
      <family val="2"/>
    </font>
    <font>
      <vertAlign val="subscript"/>
      <sz val="14"/>
      <name val="Arial"/>
      <family val="2"/>
    </font>
    <font>
      <vertAlign val="subscript"/>
      <sz val="12"/>
      <color indexed="81"/>
      <name val="Symbol"/>
      <family val="1"/>
      <charset val="2"/>
    </font>
    <font>
      <sz val="12"/>
      <color indexed="81"/>
      <name val="Symbol"/>
      <family val="1"/>
      <charset val="2"/>
    </font>
    <font>
      <sz val="10"/>
      <name val="Bookman Old Style"/>
      <family val="1"/>
    </font>
    <font>
      <b/>
      <sz val="10"/>
      <name val="Bookman Old Style"/>
      <family val="1"/>
    </font>
    <font>
      <sz val="12"/>
      <name val="Bookman Old Style"/>
      <family val="1"/>
    </font>
    <font>
      <sz val="11"/>
      <name val="Bookman Old Style"/>
      <family val="1"/>
    </font>
    <font>
      <sz val="10"/>
      <color indexed="10"/>
      <name val="Arial"/>
      <family val="2"/>
    </font>
    <font>
      <u/>
      <sz val="10"/>
      <color indexed="81"/>
      <name val="Tahoma"/>
      <family val="2"/>
    </font>
    <font>
      <sz val="10"/>
      <name val="Arial"/>
      <family val="2"/>
    </font>
    <font>
      <sz val="10"/>
      <color indexed="81"/>
      <name val="Bookman Old Style"/>
      <family val="1"/>
    </font>
    <font>
      <strike/>
      <sz val="10"/>
      <color indexed="81"/>
      <name val="Tahoma"/>
      <family val="2"/>
    </font>
    <font>
      <vertAlign val="superscript"/>
      <sz val="11"/>
      <name val="Arial"/>
      <family val="2"/>
    </font>
    <font>
      <vertAlign val="subscript"/>
      <sz val="15"/>
      <name val="Arial"/>
      <family val="2"/>
    </font>
    <font>
      <b/>
      <sz val="16"/>
      <name val="Arial"/>
      <family val="2"/>
    </font>
    <font>
      <b/>
      <sz val="18"/>
      <name val="Arial"/>
      <family val="2"/>
    </font>
    <font>
      <b/>
      <vertAlign val="subscript"/>
      <sz val="14"/>
      <name val="Arial"/>
      <family val="2"/>
    </font>
    <font>
      <vertAlign val="subscript"/>
      <sz val="14"/>
      <color indexed="81"/>
      <name val="Tahoma"/>
      <family val="2"/>
    </font>
    <font>
      <i/>
      <sz val="10"/>
      <name val="Arial"/>
      <family val="2"/>
    </font>
    <font>
      <b/>
      <vertAlign val="subscript"/>
      <sz val="12"/>
      <color indexed="81"/>
      <name val="Tahoma"/>
      <family val="2"/>
    </font>
    <font>
      <sz val="12"/>
      <color rgb="FFC00000"/>
      <name val="Arial"/>
      <family val="2"/>
    </font>
    <font>
      <b/>
      <sz val="10"/>
      <color rgb="FFFF0000"/>
      <name val="Arial"/>
      <family val="2"/>
    </font>
    <font>
      <sz val="10"/>
      <color rgb="FFFF0000"/>
      <name val="Arial"/>
      <family val="2"/>
    </font>
    <font>
      <b/>
      <sz val="9"/>
      <color indexed="81"/>
      <name val="Tahoma"/>
      <family val="2"/>
    </font>
    <font>
      <sz val="9"/>
      <color indexed="81"/>
      <name val="Tahoma"/>
      <family val="2"/>
    </font>
    <font>
      <sz val="10"/>
      <color rgb="FF09007E"/>
      <name val="Arial"/>
      <family val="2"/>
    </font>
    <font>
      <b/>
      <sz val="11"/>
      <color rgb="FF09007E"/>
      <name val="Arial"/>
      <family val="2"/>
    </font>
    <font>
      <sz val="11"/>
      <color rgb="FF09007E"/>
      <name val="Arial"/>
      <family val="2"/>
    </font>
    <font>
      <b/>
      <sz val="10"/>
      <color rgb="FF09007E"/>
      <name val="Arial"/>
      <family val="2"/>
    </font>
    <font>
      <vertAlign val="subscript"/>
      <sz val="12"/>
      <color rgb="FF09007E"/>
      <name val="Arial"/>
      <family val="2"/>
    </font>
    <font>
      <sz val="10"/>
      <color rgb="FF09007E"/>
      <name val="Bookman Old Style"/>
      <family val="1"/>
    </font>
    <font>
      <sz val="10"/>
      <color rgb="FF09007E"/>
      <name val="Symbol"/>
      <family val="1"/>
      <charset val="2"/>
    </font>
    <font>
      <sz val="8"/>
      <color rgb="FF000000"/>
      <name val="Tahoma"/>
      <family val="2"/>
    </font>
    <font>
      <b/>
      <sz val="10"/>
      <color theme="9" tint="-0.499984740745262"/>
      <name val="Arial"/>
      <family val="2"/>
    </font>
    <font>
      <b/>
      <sz val="1"/>
      <color rgb="FF003399"/>
      <name val="Arial"/>
      <family val="2"/>
    </font>
    <font>
      <sz val="9"/>
      <name val="Arial"/>
      <family val="2"/>
    </font>
    <font>
      <sz val="10"/>
      <color rgb="FFE5F5FF"/>
      <name val="Arial"/>
      <family val="2"/>
    </font>
    <font>
      <sz val="10"/>
      <color rgb="FFCCECFF"/>
      <name val="Arial"/>
      <family val="2"/>
    </font>
    <font>
      <sz val="1"/>
      <color theme="0" tint="-0.249977111117893"/>
      <name val="Arial"/>
      <family val="2"/>
    </font>
    <font>
      <sz val="10"/>
      <color theme="9" tint="-0.499984740745262"/>
      <name val="Arial"/>
      <family val="2"/>
    </font>
    <font>
      <sz val="4"/>
      <color theme="9" tint="-0.499984740745262"/>
      <name val="Arial"/>
      <family val="2"/>
    </font>
    <font>
      <b/>
      <sz val="9"/>
      <color rgb="FF09007E"/>
      <name val="Arial"/>
      <family val="2"/>
    </font>
    <font>
      <vertAlign val="subscript"/>
      <sz val="10"/>
      <color theme="9" tint="-0.499984740745262"/>
      <name val="Arial"/>
      <family val="2"/>
    </font>
    <font>
      <sz val="10"/>
      <color theme="9" tint="-0.499984740745262"/>
      <name val="Symbol"/>
      <family val="1"/>
      <charset val="2"/>
    </font>
    <font>
      <vertAlign val="subscript"/>
      <sz val="12"/>
      <color theme="9" tint="-0.499984740745262"/>
      <name val="Arial"/>
      <family val="2"/>
    </font>
    <font>
      <sz val="11"/>
      <color theme="9" tint="-0.499984740745262"/>
      <name val="Arial"/>
      <family val="2"/>
    </font>
    <font>
      <sz val="10"/>
      <color theme="2"/>
      <name val="Arial"/>
      <family val="2"/>
    </font>
    <font>
      <sz val="10"/>
      <color theme="3"/>
      <name val="Arial"/>
      <family val="2"/>
    </font>
    <font>
      <sz val="11"/>
      <color theme="3"/>
      <name val="Arial"/>
      <family val="2"/>
    </font>
    <font>
      <vertAlign val="subscript"/>
      <sz val="11"/>
      <color theme="3"/>
      <name val="Arial"/>
      <family val="2"/>
    </font>
    <font>
      <sz val="10"/>
      <color theme="3"/>
      <name val="Symbol"/>
      <family val="1"/>
      <charset val="2"/>
    </font>
    <font>
      <vertAlign val="subscript"/>
      <sz val="12"/>
      <color theme="3"/>
      <name val="Arial"/>
      <family val="2"/>
    </font>
    <font>
      <b/>
      <sz val="10"/>
      <color theme="3"/>
      <name val="Arial"/>
      <family val="2"/>
    </font>
    <font>
      <b/>
      <sz val="11"/>
      <color theme="3"/>
      <name val="Arial"/>
      <family val="2"/>
    </font>
    <font>
      <b/>
      <sz val="11"/>
      <color theme="9" tint="-0.499984740745262"/>
      <name val="Arial"/>
      <family val="2"/>
    </font>
    <font>
      <vertAlign val="subscript"/>
      <sz val="10"/>
      <color theme="3"/>
      <name val="Arial"/>
      <family val="2"/>
    </font>
    <font>
      <b/>
      <sz val="10"/>
      <color theme="3"/>
      <name val="Symbol"/>
      <family val="1"/>
      <charset val="2"/>
    </font>
    <font>
      <b/>
      <vertAlign val="subscript"/>
      <sz val="12"/>
      <color theme="3"/>
      <name val="Arial"/>
      <family val="2"/>
    </font>
    <font>
      <sz val="9"/>
      <color rgb="FF09007E"/>
      <name val="Arial"/>
      <family val="2"/>
    </font>
    <font>
      <b/>
      <sz val="11"/>
      <color rgb="FFFFFFCC"/>
      <name val="Arial"/>
      <family val="2"/>
    </font>
    <font>
      <vertAlign val="subscript"/>
      <sz val="11"/>
      <color indexed="81"/>
      <name val="Tahoma"/>
      <family val="2"/>
    </font>
    <font>
      <sz val="11"/>
      <color indexed="56"/>
      <name val="Arial"/>
      <family val="2"/>
    </font>
    <font>
      <sz val="10"/>
      <color indexed="56"/>
      <name val="Arial"/>
      <family val="2"/>
    </font>
    <font>
      <sz val="10"/>
      <color theme="0" tint="-0.249977111117893"/>
      <name val="Arial"/>
      <family val="2"/>
    </font>
    <font>
      <sz val="10"/>
      <color theme="0" tint="-0.34998626667073579"/>
      <name val="Arial"/>
      <family val="2"/>
    </font>
    <font>
      <sz val="10"/>
      <color theme="0" tint="-0.499984740745262"/>
      <name val="Arial"/>
      <family val="2"/>
    </font>
    <font>
      <vertAlign val="superscript"/>
      <sz val="11"/>
      <color indexed="81"/>
      <name val="Tahoma"/>
      <family val="2"/>
    </font>
    <font>
      <sz val="12"/>
      <name val="Book Antiqua"/>
      <family val="1"/>
    </font>
    <font>
      <b/>
      <vertAlign val="subscript"/>
      <sz val="10"/>
      <name val="Arial"/>
      <family val="2"/>
    </font>
    <font>
      <b/>
      <u/>
      <sz val="10"/>
      <color indexed="81"/>
      <name val="Tahoma"/>
      <family val="2"/>
    </font>
    <font>
      <sz val="10"/>
      <color indexed="81"/>
      <name val="Calibri"/>
      <family val="2"/>
    </font>
    <font>
      <b/>
      <sz val="12"/>
      <color indexed="43"/>
      <name val="Symbol"/>
      <family val="1"/>
      <charset val="2"/>
    </font>
    <font>
      <sz val="10"/>
      <name val="Calibri"/>
      <family val="2"/>
    </font>
    <font>
      <sz val="11"/>
      <color rgb="FFFF0000"/>
      <name val="Arial"/>
      <family val="2"/>
    </font>
    <font>
      <b/>
      <u/>
      <sz val="12"/>
      <name val="Arial"/>
      <family val="2"/>
    </font>
    <font>
      <b/>
      <u/>
      <sz val="11"/>
      <name val="Arial"/>
      <family val="2"/>
    </font>
    <font>
      <u/>
      <sz val="11"/>
      <name val="Arial"/>
      <family val="2"/>
    </font>
    <font>
      <b/>
      <sz val="9"/>
      <color indexed="81"/>
      <name val="Segoe UI"/>
      <family val="2"/>
    </font>
    <font>
      <sz val="9"/>
      <color indexed="81"/>
      <name val="Segoe UI"/>
      <family val="2"/>
    </font>
    <font>
      <sz val="10"/>
      <color indexed="81"/>
      <name val="Segoe UI"/>
      <family val="2"/>
    </font>
    <font>
      <b/>
      <sz val="8"/>
      <name val="Arial"/>
      <family val="2"/>
    </font>
    <font>
      <sz val="10"/>
      <name val="Arial"/>
      <family val="1"/>
      <charset val="2"/>
    </font>
    <font>
      <b/>
      <vertAlign val="superscript"/>
      <sz val="10"/>
      <color indexed="81"/>
      <name val="Tahoma"/>
      <family val="2"/>
    </font>
    <font>
      <sz val="11"/>
      <color indexed="81"/>
      <name val="Symbol"/>
      <family val="1"/>
      <charset val="2"/>
    </font>
    <font>
      <sz val="12"/>
      <name val="Arial"/>
      <family val="2"/>
      <charset val="2"/>
    </font>
    <font>
      <sz val="10"/>
      <color rgb="FFFF0000"/>
      <name val="Tahoma"/>
      <family val="2"/>
    </font>
  </fonts>
  <fills count="42">
    <fill>
      <patternFill patternType="none"/>
    </fill>
    <fill>
      <patternFill patternType="gray125"/>
    </fill>
    <fill>
      <patternFill patternType="solid">
        <fgColor indexed="41"/>
        <bgColor indexed="64"/>
      </patternFill>
    </fill>
    <fill>
      <patternFill patternType="solid">
        <fgColor indexed="47"/>
        <bgColor indexed="64"/>
      </patternFill>
    </fill>
    <fill>
      <patternFill patternType="solid">
        <fgColor indexed="9"/>
        <bgColor indexed="64"/>
      </patternFill>
    </fill>
    <fill>
      <patternFill patternType="solid">
        <fgColor indexed="26"/>
        <bgColor indexed="64"/>
      </patternFill>
    </fill>
    <fill>
      <patternFill patternType="solid">
        <fgColor indexed="44"/>
        <bgColor indexed="64"/>
      </patternFill>
    </fill>
    <fill>
      <patternFill patternType="solid">
        <fgColor indexed="27"/>
        <bgColor indexed="64"/>
      </patternFill>
    </fill>
    <fill>
      <patternFill patternType="solid">
        <fgColor indexed="32"/>
        <bgColor indexed="64"/>
      </patternFill>
    </fill>
    <fill>
      <patternFill patternType="solid">
        <fgColor indexed="12"/>
        <bgColor indexed="64"/>
      </patternFill>
    </fill>
    <fill>
      <patternFill patternType="solid">
        <fgColor indexed="27"/>
        <bgColor indexed="27"/>
      </patternFill>
    </fill>
    <fill>
      <patternFill patternType="solid">
        <fgColor rgb="FFFF0000"/>
        <bgColor indexed="64"/>
      </patternFill>
    </fill>
    <fill>
      <patternFill patternType="solid">
        <fgColor theme="1"/>
        <bgColor indexed="64"/>
      </patternFill>
    </fill>
    <fill>
      <patternFill patternType="solid">
        <fgColor rgb="FF008000"/>
        <bgColor indexed="64"/>
      </patternFill>
    </fill>
    <fill>
      <patternFill patternType="solid">
        <fgColor rgb="FF800000"/>
        <bgColor indexed="64"/>
      </patternFill>
    </fill>
    <fill>
      <patternFill patternType="solid">
        <fgColor rgb="FF0000FF"/>
        <bgColor indexed="64"/>
      </patternFill>
    </fill>
    <fill>
      <patternFill patternType="solid">
        <fgColor rgb="FFFF00FF"/>
        <bgColor indexed="64"/>
      </patternFill>
    </fill>
    <fill>
      <patternFill patternType="solid">
        <fgColor rgb="FF008080"/>
        <bgColor indexed="64"/>
      </patternFill>
    </fill>
    <fill>
      <patternFill patternType="solid">
        <fgColor theme="0"/>
        <bgColor indexed="64"/>
      </patternFill>
    </fill>
    <fill>
      <patternFill patternType="solid">
        <fgColor rgb="FFF9FCDE"/>
        <bgColor indexed="64"/>
      </patternFill>
    </fill>
    <fill>
      <gradientFill degree="180">
        <stop position="0">
          <color theme="0"/>
        </stop>
        <stop position="1">
          <color theme="2" tint="-9.8025452436902985E-2"/>
        </stop>
      </gradientFill>
    </fill>
    <fill>
      <gradientFill type="path" left="0.5" right="0.5" top="0.5" bottom="0.5">
        <stop position="0">
          <color theme="0"/>
        </stop>
        <stop position="1">
          <color theme="2" tint="-0.25098422193060094"/>
        </stop>
      </gradientFill>
    </fill>
    <fill>
      <gradientFill type="path" left="1" right="1" top="1" bottom="1">
        <stop position="0">
          <color theme="0"/>
        </stop>
        <stop position="1">
          <color theme="2" tint="-9.8025452436902985E-2"/>
        </stop>
      </gradientFill>
    </fill>
    <fill>
      <gradientFill degree="270">
        <stop position="0">
          <color theme="0"/>
        </stop>
        <stop position="1">
          <color theme="2" tint="-9.8025452436902985E-2"/>
        </stop>
      </gradientFill>
    </fill>
    <fill>
      <gradientFill type="path" top="1" bottom="1">
        <stop position="0">
          <color theme="0"/>
        </stop>
        <stop position="1">
          <color theme="2" tint="-9.8025452436902985E-2"/>
        </stop>
      </gradientFill>
    </fill>
    <fill>
      <gradientFill>
        <stop position="0">
          <color theme="0"/>
        </stop>
        <stop position="1">
          <color theme="2" tint="-9.8025452436902985E-2"/>
        </stop>
      </gradientFill>
    </fill>
    <fill>
      <gradientFill type="path" left="1" right="1">
        <stop position="0">
          <color theme="0"/>
        </stop>
        <stop position="1">
          <color theme="2" tint="-9.8025452436902985E-2"/>
        </stop>
      </gradientFill>
    </fill>
    <fill>
      <gradientFill degree="90">
        <stop position="0">
          <color theme="0"/>
        </stop>
        <stop position="1">
          <color theme="2" tint="-9.8025452436902985E-2"/>
        </stop>
      </gradientFill>
    </fill>
    <fill>
      <gradientFill type="path">
        <stop position="0">
          <color theme="0"/>
        </stop>
        <stop position="1">
          <color theme="2" tint="-9.8025452436902985E-2"/>
        </stop>
      </gradientFill>
    </fill>
    <fill>
      <gradientFill degree="180">
        <stop position="0">
          <color theme="0"/>
        </stop>
        <stop position="1">
          <color theme="0" tint="-0.1490218817712943"/>
        </stop>
      </gradientFill>
    </fill>
    <fill>
      <gradientFill>
        <stop position="0">
          <color theme="0"/>
        </stop>
        <stop position="1">
          <color theme="0" tint="-0.1490218817712943"/>
        </stop>
      </gradientFill>
    </fill>
    <fill>
      <gradientFill degree="180">
        <stop position="0">
          <color theme="0"/>
        </stop>
        <stop position="1">
          <color theme="0" tint="-0.25098422193060094"/>
        </stop>
      </gradientFill>
    </fill>
    <fill>
      <gradientFill>
        <stop position="0">
          <color theme="0"/>
        </stop>
        <stop position="1">
          <color theme="0" tint="-0.25098422193060094"/>
        </stop>
      </gradientFill>
    </fill>
    <fill>
      <gradientFill degree="90">
        <stop position="0">
          <color theme="0"/>
        </stop>
        <stop position="0.5">
          <color theme="2" tint="-9.8025452436902985E-2"/>
        </stop>
        <stop position="1">
          <color theme="0"/>
        </stop>
      </gradientFill>
    </fill>
    <fill>
      <patternFill patternType="solid">
        <fgColor rgb="FFFF3F3F"/>
        <bgColor indexed="64"/>
      </patternFill>
    </fill>
    <fill>
      <patternFill patternType="solid">
        <fgColor rgb="FFFFBD4E"/>
        <bgColor indexed="64"/>
      </patternFill>
    </fill>
    <fill>
      <patternFill patternType="solid">
        <fgColor rgb="FFFFFF00"/>
        <bgColor indexed="64"/>
      </patternFill>
    </fill>
    <fill>
      <patternFill patternType="solid">
        <fgColor rgb="FF35CC00"/>
        <bgColor indexed="64"/>
      </patternFill>
    </fill>
    <fill>
      <patternFill patternType="solid">
        <fgColor rgb="FF3399FF"/>
        <bgColor indexed="64"/>
      </patternFill>
    </fill>
    <fill>
      <patternFill patternType="solid">
        <fgColor rgb="FFFCC2F9"/>
        <bgColor indexed="64"/>
      </patternFill>
    </fill>
    <fill>
      <patternFill patternType="solid">
        <fgColor rgb="FFFA8AF4"/>
        <bgColor indexed="64"/>
      </patternFill>
    </fill>
    <fill>
      <patternFill patternType="solid">
        <fgColor rgb="FFF1F4F5"/>
        <bgColor indexed="64"/>
      </patternFill>
    </fill>
  </fills>
  <borders count="323">
    <border>
      <left/>
      <right/>
      <top/>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top style="thick">
        <color indexed="62"/>
      </top>
      <bottom/>
      <diagonal/>
    </border>
    <border>
      <left style="thick">
        <color indexed="62"/>
      </left>
      <right/>
      <top/>
      <bottom/>
      <diagonal/>
    </border>
    <border>
      <left/>
      <right style="thick">
        <color indexed="62"/>
      </right>
      <top/>
      <bottom/>
      <diagonal/>
    </border>
    <border>
      <left style="thick">
        <color indexed="62"/>
      </left>
      <right style="hair">
        <color indexed="64"/>
      </right>
      <top style="thin">
        <color indexed="64"/>
      </top>
      <bottom style="thin">
        <color indexed="64"/>
      </bottom>
      <diagonal/>
    </border>
    <border>
      <left/>
      <right style="hair">
        <color indexed="64"/>
      </right>
      <top style="thin">
        <color indexed="64"/>
      </top>
      <bottom style="thin">
        <color indexed="64"/>
      </bottom>
      <diagonal/>
    </border>
    <border>
      <left style="thick">
        <color indexed="62"/>
      </left>
      <right style="hair">
        <color indexed="64"/>
      </right>
      <top style="thin">
        <color indexed="64"/>
      </top>
      <bottom style="hair">
        <color indexed="64"/>
      </bottom>
      <diagonal/>
    </border>
    <border>
      <left style="thick">
        <color indexed="62"/>
      </left>
      <right style="hair">
        <color indexed="64"/>
      </right>
      <top style="hair">
        <color indexed="64"/>
      </top>
      <bottom style="hair">
        <color indexed="64"/>
      </bottom>
      <diagonal/>
    </border>
    <border>
      <left/>
      <right style="hair">
        <color indexed="64"/>
      </right>
      <top style="thin">
        <color indexed="64"/>
      </top>
      <bottom style="hair">
        <color indexed="64"/>
      </bottom>
      <diagonal/>
    </border>
    <border>
      <left/>
      <right style="hair">
        <color indexed="64"/>
      </right>
      <top style="hair">
        <color indexed="64"/>
      </top>
      <bottom style="hair">
        <color indexed="64"/>
      </bottom>
      <diagonal/>
    </border>
    <border>
      <left/>
      <right style="thin">
        <color indexed="64"/>
      </right>
      <top/>
      <bottom/>
      <diagonal/>
    </border>
    <border>
      <left/>
      <right style="hair">
        <color indexed="64"/>
      </right>
      <top style="hair">
        <color indexed="64"/>
      </top>
      <bottom style="thin">
        <color indexed="64"/>
      </bottom>
      <diagonal/>
    </border>
    <border>
      <left style="hair">
        <color indexed="64"/>
      </left>
      <right style="thick">
        <color indexed="62"/>
      </right>
      <top style="hair">
        <color indexed="64"/>
      </top>
      <bottom/>
      <diagonal/>
    </border>
    <border>
      <left/>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style="thick">
        <color indexed="62"/>
      </right>
      <top/>
      <bottom/>
      <diagonal/>
    </border>
    <border>
      <left style="thick">
        <color indexed="62"/>
      </left>
      <right style="hair">
        <color indexed="64"/>
      </right>
      <top style="thin">
        <color indexed="64"/>
      </top>
      <bottom/>
      <diagonal/>
    </border>
    <border>
      <left/>
      <right/>
      <top style="hair">
        <color indexed="64"/>
      </top>
      <bottom/>
      <diagonal/>
    </border>
    <border>
      <left/>
      <right/>
      <top style="hair">
        <color indexed="64"/>
      </top>
      <bottom style="thick">
        <color indexed="62"/>
      </bottom>
      <diagonal/>
    </border>
    <border>
      <left/>
      <right/>
      <top/>
      <bottom style="thick">
        <color indexed="62"/>
      </bottom>
      <diagonal/>
    </border>
    <border>
      <left style="hair">
        <color indexed="64"/>
      </left>
      <right style="thick">
        <color indexed="62"/>
      </right>
      <top style="thin">
        <color indexed="64"/>
      </top>
      <bottom/>
      <diagonal/>
    </border>
    <border>
      <left style="thick">
        <color indexed="62"/>
      </left>
      <right/>
      <top style="thick">
        <color indexed="62"/>
      </top>
      <bottom style="thin">
        <color indexed="64"/>
      </bottom>
      <diagonal/>
    </border>
    <border>
      <left/>
      <right/>
      <top style="thin">
        <color indexed="64"/>
      </top>
      <bottom style="thin">
        <color indexed="64"/>
      </bottom>
      <diagonal/>
    </border>
    <border>
      <left style="thick">
        <color indexed="62"/>
      </left>
      <right style="hair">
        <color indexed="64"/>
      </right>
      <top style="hair">
        <color indexed="64"/>
      </top>
      <bottom style="thick">
        <color indexed="62"/>
      </bottom>
      <diagonal/>
    </border>
    <border>
      <left style="hair">
        <color indexed="64"/>
      </left>
      <right style="thick">
        <color indexed="62"/>
      </right>
      <top/>
      <bottom style="thick">
        <color indexed="62"/>
      </bottom>
      <diagonal/>
    </border>
    <border>
      <left style="hair">
        <color indexed="64"/>
      </left>
      <right style="thick">
        <color indexed="62"/>
      </right>
      <top style="hair">
        <color indexed="64"/>
      </top>
      <bottom style="thick">
        <color indexed="62"/>
      </bottom>
      <diagonal/>
    </border>
    <border>
      <left style="thick">
        <color indexed="64"/>
      </left>
      <right/>
      <top/>
      <bottom/>
      <diagonal/>
    </border>
    <border>
      <left/>
      <right/>
      <top style="thick">
        <color indexed="62"/>
      </top>
      <bottom style="thin">
        <color indexed="64"/>
      </bottom>
      <diagonal/>
    </border>
    <border>
      <left/>
      <right/>
      <top style="thick">
        <color indexed="62"/>
      </top>
      <bottom/>
      <diagonal/>
    </border>
    <border>
      <left/>
      <right style="thick">
        <color indexed="62"/>
      </right>
      <top style="thick">
        <color indexed="62"/>
      </top>
      <bottom style="thin">
        <color indexed="64"/>
      </bottom>
      <diagonal/>
    </border>
    <border>
      <left style="hair">
        <color indexed="64"/>
      </left>
      <right/>
      <top style="hair">
        <color indexed="64"/>
      </top>
      <bottom style="thin">
        <color indexed="64"/>
      </bottom>
      <diagonal/>
    </border>
    <border>
      <left/>
      <right style="thin">
        <color indexed="64"/>
      </right>
      <top style="thin">
        <color indexed="64"/>
      </top>
      <bottom style="thick">
        <color indexed="62"/>
      </bottom>
      <diagonal/>
    </border>
    <border>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hair">
        <color indexed="64"/>
      </left>
      <right/>
      <top style="hair">
        <color indexed="64"/>
      </top>
      <bottom/>
      <diagonal/>
    </border>
    <border>
      <left/>
      <right style="thin">
        <color indexed="64"/>
      </right>
      <top style="hair">
        <color indexed="64"/>
      </top>
      <bottom/>
      <diagonal/>
    </border>
    <border>
      <left style="thin">
        <color indexed="64"/>
      </left>
      <right style="hair">
        <color indexed="64"/>
      </right>
      <top style="thin">
        <color indexed="64"/>
      </top>
      <bottom style="hair">
        <color indexed="64"/>
      </bottom>
      <diagonal/>
    </border>
    <border>
      <left style="hair">
        <color indexed="64"/>
      </left>
      <right style="thick">
        <color indexed="62"/>
      </right>
      <top style="thin">
        <color indexed="64"/>
      </top>
      <bottom style="hair">
        <color indexed="64"/>
      </bottom>
      <diagonal/>
    </border>
    <border>
      <left style="hair">
        <color indexed="64"/>
      </left>
      <right/>
      <top/>
      <bottom/>
      <diagonal/>
    </border>
    <border>
      <left/>
      <right/>
      <top style="hair">
        <color indexed="64"/>
      </top>
      <bottom style="hair">
        <color indexed="64"/>
      </bottom>
      <diagonal/>
    </border>
    <border>
      <left style="hair">
        <color indexed="64"/>
      </left>
      <right/>
      <top/>
      <bottom style="thick">
        <color indexed="62"/>
      </bottom>
      <diagonal/>
    </border>
    <border>
      <left style="hair">
        <color indexed="64"/>
      </left>
      <right/>
      <top/>
      <bottom style="hair">
        <color indexed="64"/>
      </bottom>
      <diagonal/>
    </border>
    <border>
      <left style="thick">
        <color indexed="62"/>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style="hair">
        <color indexed="64"/>
      </right>
      <top style="thin">
        <color indexed="64"/>
      </top>
      <bottom/>
      <diagonal/>
    </border>
    <border>
      <left style="hair">
        <color indexed="64"/>
      </left>
      <right/>
      <top style="thin">
        <color indexed="64"/>
      </top>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ck">
        <color indexed="62"/>
      </left>
      <right style="hair">
        <color indexed="64"/>
      </right>
      <top/>
      <bottom style="thin">
        <color indexed="64"/>
      </bottom>
      <diagonal/>
    </border>
    <border>
      <left style="hair">
        <color indexed="64"/>
      </left>
      <right style="hair">
        <color indexed="64"/>
      </right>
      <top/>
      <bottom style="thin">
        <color indexed="64"/>
      </bottom>
      <diagonal/>
    </border>
    <border>
      <left style="hair">
        <color indexed="64"/>
      </left>
      <right/>
      <top/>
      <bottom style="thin">
        <color indexed="64"/>
      </bottom>
      <diagonal/>
    </border>
    <border>
      <left style="thick">
        <color indexed="62"/>
      </left>
      <right/>
      <top style="thick">
        <color indexed="62"/>
      </top>
      <bottom/>
      <diagonal/>
    </border>
    <border>
      <left style="hair">
        <color indexed="64"/>
      </left>
      <right style="thin">
        <color indexed="64"/>
      </right>
      <top style="hair">
        <color indexed="64"/>
      </top>
      <bottom style="thin">
        <color indexed="64"/>
      </bottom>
      <diagonal/>
    </border>
    <border>
      <left/>
      <right style="thick">
        <color indexed="62"/>
      </right>
      <top/>
      <bottom style="thin">
        <color indexed="64"/>
      </bottom>
      <diagonal/>
    </border>
    <border>
      <left style="thick">
        <color indexed="62"/>
      </left>
      <right/>
      <top/>
      <bottom style="thin">
        <color indexed="64"/>
      </bottom>
      <diagonal/>
    </border>
    <border>
      <left/>
      <right style="thick">
        <color indexed="62"/>
      </right>
      <top style="thin">
        <color indexed="64"/>
      </top>
      <bottom style="thin">
        <color indexed="64"/>
      </bottom>
      <diagonal/>
    </border>
    <border>
      <left style="thick">
        <color indexed="62"/>
      </left>
      <right/>
      <top style="thin">
        <color indexed="64"/>
      </top>
      <bottom style="thick">
        <color indexed="62"/>
      </bottom>
      <diagonal/>
    </border>
    <border>
      <left style="thick">
        <color indexed="62"/>
      </left>
      <right style="hair">
        <color indexed="64"/>
      </right>
      <top style="thin">
        <color indexed="64"/>
      </top>
      <bottom style="thick">
        <color indexed="62"/>
      </bottom>
      <diagonal/>
    </border>
    <border>
      <left style="thin">
        <color indexed="64"/>
      </left>
      <right/>
      <top style="thin">
        <color indexed="64"/>
      </top>
      <bottom style="thin">
        <color indexed="64"/>
      </bottom>
      <diagonal/>
    </border>
    <border>
      <left style="thin">
        <color indexed="64"/>
      </left>
      <right/>
      <top style="hair">
        <color indexed="64"/>
      </top>
      <bottom/>
      <diagonal/>
    </border>
    <border>
      <left style="hair">
        <color indexed="64"/>
      </left>
      <right style="hair">
        <color indexed="64"/>
      </right>
      <top style="thin">
        <color indexed="64"/>
      </top>
      <bottom style="thin">
        <color indexed="64"/>
      </bottom>
      <diagonal/>
    </border>
    <border>
      <left style="thick">
        <color indexed="62"/>
      </left>
      <right/>
      <top style="hair">
        <color indexed="64"/>
      </top>
      <bottom style="thick">
        <color indexed="62"/>
      </bottom>
      <diagonal/>
    </border>
    <border>
      <left/>
      <right style="hair">
        <color indexed="64"/>
      </right>
      <top style="hair">
        <color indexed="64"/>
      </top>
      <bottom style="thick">
        <color indexed="62"/>
      </bottom>
      <diagonal/>
    </border>
    <border>
      <left style="hair">
        <color indexed="64"/>
      </left>
      <right/>
      <top style="thin">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right style="thick">
        <color indexed="62"/>
      </right>
      <top/>
      <bottom style="thick">
        <color indexed="62"/>
      </bottom>
      <diagonal/>
    </border>
    <border>
      <left style="hair">
        <color indexed="64"/>
      </left>
      <right/>
      <top style="hair">
        <color indexed="64"/>
      </top>
      <bottom style="hair">
        <color indexed="64"/>
      </bottom>
      <diagonal/>
    </border>
    <border>
      <left style="thin">
        <color indexed="64"/>
      </left>
      <right style="thick">
        <color indexed="62"/>
      </right>
      <top style="thin">
        <color indexed="64"/>
      </top>
      <bottom style="thick">
        <color indexed="62"/>
      </bottom>
      <diagonal/>
    </border>
    <border>
      <left/>
      <right style="thick">
        <color indexed="32"/>
      </right>
      <top/>
      <bottom/>
      <diagonal/>
    </border>
    <border>
      <left style="thick">
        <color indexed="32"/>
      </left>
      <right/>
      <top/>
      <bottom/>
      <diagonal/>
    </border>
    <border>
      <left style="thick">
        <color indexed="32"/>
      </left>
      <right/>
      <top/>
      <bottom style="thick">
        <color indexed="32"/>
      </bottom>
      <diagonal/>
    </border>
    <border>
      <left/>
      <right/>
      <top/>
      <bottom style="thick">
        <color indexed="32"/>
      </bottom>
      <diagonal/>
    </border>
    <border>
      <left/>
      <right style="thick">
        <color indexed="32"/>
      </right>
      <top/>
      <bottom style="thick">
        <color indexed="32"/>
      </bottom>
      <diagonal/>
    </border>
    <border>
      <left style="hair">
        <color indexed="64"/>
      </left>
      <right style="thin">
        <color indexed="62"/>
      </right>
      <top/>
      <bottom style="thick">
        <color indexed="62"/>
      </bottom>
      <diagonal/>
    </border>
    <border>
      <left style="thin">
        <color indexed="62"/>
      </left>
      <right style="hair">
        <color indexed="64"/>
      </right>
      <top style="hair">
        <color indexed="64"/>
      </top>
      <bottom style="thick">
        <color indexed="62"/>
      </bottom>
      <diagonal/>
    </border>
    <border>
      <left style="thick">
        <color indexed="32"/>
      </left>
      <right style="hair">
        <color indexed="64"/>
      </right>
      <top style="thin">
        <color indexed="64"/>
      </top>
      <bottom style="hair">
        <color indexed="64"/>
      </bottom>
      <diagonal/>
    </border>
    <border>
      <left style="thick">
        <color indexed="32"/>
      </left>
      <right style="hair">
        <color indexed="64"/>
      </right>
      <top style="hair">
        <color indexed="64"/>
      </top>
      <bottom style="hair">
        <color indexed="64"/>
      </bottom>
      <diagonal/>
    </border>
    <border>
      <left style="thick">
        <color indexed="32"/>
      </left>
      <right style="hair">
        <color indexed="64"/>
      </right>
      <top style="hair">
        <color indexed="64"/>
      </top>
      <bottom/>
      <diagonal/>
    </border>
    <border>
      <left style="thick">
        <color indexed="32"/>
      </left>
      <right style="hair">
        <color indexed="64"/>
      </right>
      <top style="thick">
        <color indexed="62"/>
      </top>
      <bottom style="thin">
        <color indexed="64"/>
      </bottom>
      <diagonal/>
    </border>
    <border>
      <left style="thick">
        <color indexed="32"/>
      </left>
      <right style="hair">
        <color indexed="64"/>
      </right>
      <top style="hair">
        <color indexed="64"/>
      </top>
      <bottom style="thick">
        <color indexed="62"/>
      </bottom>
      <diagonal/>
    </border>
    <border>
      <left style="hair">
        <color indexed="64"/>
      </left>
      <right style="thin">
        <color indexed="62"/>
      </right>
      <top style="hair">
        <color indexed="62"/>
      </top>
      <bottom/>
      <diagonal/>
    </border>
    <border>
      <left style="thick">
        <color indexed="62"/>
      </left>
      <right style="hair">
        <color indexed="64"/>
      </right>
      <top style="hair">
        <color indexed="64"/>
      </top>
      <bottom/>
      <diagonal/>
    </border>
    <border>
      <left style="hair">
        <color indexed="64"/>
      </left>
      <right style="thick">
        <color indexed="62"/>
      </right>
      <top style="thin">
        <color indexed="64"/>
      </top>
      <bottom style="thin">
        <color indexed="64"/>
      </bottom>
      <diagonal/>
    </border>
    <border>
      <left style="thick">
        <color indexed="62"/>
      </left>
      <right/>
      <top style="thin">
        <color indexed="64"/>
      </top>
      <bottom style="thin">
        <color indexed="64"/>
      </bottom>
      <diagonal/>
    </border>
    <border>
      <left style="thin">
        <color indexed="8"/>
      </left>
      <right/>
      <top/>
      <bottom style="thin">
        <color indexed="64"/>
      </bottom>
      <diagonal/>
    </border>
    <border>
      <left style="thick">
        <color indexed="62"/>
      </left>
      <right/>
      <top/>
      <bottom style="thick">
        <color indexed="62"/>
      </bottom>
      <diagonal/>
    </border>
    <border>
      <left style="thin">
        <color indexed="64"/>
      </left>
      <right style="hair">
        <color indexed="64"/>
      </right>
      <top style="hair">
        <color indexed="64"/>
      </top>
      <bottom style="hair">
        <color indexed="64"/>
      </bottom>
      <diagonal/>
    </border>
    <border>
      <left style="hair">
        <color indexed="64"/>
      </left>
      <right/>
      <top style="thin">
        <color indexed="64"/>
      </top>
      <bottom style="hair">
        <color indexed="64"/>
      </bottom>
      <diagonal/>
    </border>
    <border>
      <left/>
      <right style="thick">
        <color indexed="62"/>
      </right>
      <top style="hair">
        <color indexed="64"/>
      </top>
      <bottom/>
      <diagonal/>
    </border>
    <border>
      <left/>
      <right style="hair">
        <color indexed="64"/>
      </right>
      <top style="hair">
        <color indexed="64"/>
      </top>
      <bottom/>
      <diagonal/>
    </border>
    <border>
      <left style="thin">
        <color indexed="64"/>
      </left>
      <right style="thin">
        <color indexed="64"/>
      </right>
      <top style="thin">
        <color indexed="64"/>
      </top>
      <bottom style="thin">
        <color indexed="64"/>
      </bottom>
      <diagonal/>
    </border>
    <border>
      <left style="hair">
        <color indexed="62"/>
      </left>
      <right/>
      <top/>
      <bottom/>
      <diagonal/>
    </border>
    <border>
      <left style="hair">
        <color indexed="62"/>
      </left>
      <right style="thin">
        <color indexed="64"/>
      </right>
      <top/>
      <bottom/>
      <diagonal/>
    </border>
    <border>
      <left style="thin">
        <color indexed="64"/>
      </left>
      <right style="hair">
        <color indexed="64"/>
      </right>
      <top style="hair">
        <color indexed="64"/>
      </top>
      <bottom/>
      <diagonal/>
    </border>
    <border>
      <left style="thin">
        <color indexed="64"/>
      </left>
      <right style="hair">
        <color indexed="64"/>
      </right>
      <top/>
      <bottom style="hair">
        <color indexed="64"/>
      </bottom>
      <diagonal/>
    </border>
    <border>
      <left style="thin">
        <color indexed="64"/>
      </left>
      <right style="thick">
        <color indexed="62"/>
      </right>
      <top/>
      <bottom/>
      <diagonal/>
    </border>
    <border>
      <left/>
      <right style="thin">
        <color indexed="64"/>
      </right>
      <top/>
      <bottom style="thick">
        <color indexed="62"/>
      </bottom>
      <diagonal/>
    </border>
    <border>
      <left style="thin">
        <color indexed="64"/>
      </left>
      <right/>
      <top/>
      <bottom/>
      <diagonal/>
    </border>
    <border>
      <left style="hair">
        <color indexed="64"/>
      </left>
      <right style="thick">
        <color indexed="62"/>
      </right>
      <top/>
      <bottom style="hair">
        <color indexed="64"/>
      </bottom>
      <diagonal/>
    </border>
    <border>
      <left/>
      <right style="thick">
        <color indexed="62"/>
      </right>
      <top style="thick">
        <color indexed="62"/>
      </top>
      <bottom/>
      <diagonal/>
    </border>
    <border>
      <left style="thick">
        <color indexed="62"/>
      </left>
      <right/>
      <top style="hair">
        <color indexed="64"/>
      </top>
      <bottom style="hair">
        <color indexed="64"/>
      </bottom>
      <diagonal/>
    </border>
    <border>
      <left style="medium">
        <color indexed="64"/>
      </left>
      <right/>
      <top/>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bottom style="thick">
        <color indexed="62"/>
      </bottom>
      <diagonal/>
    </border>
    <border>
      <left style="thick">
        <color indexed="62"/>
      </left>
      <right/>
      <top/>
      <bottom style="hair">
        <color indexed="64"/>
      </bottom>
      <diagonal/>
    </border>
    <border>
      <left/>
      <right style="hair">
        <color indexed="64"/>
      </right>
      <top/>
      <bottom style="hair">
        <color indexed="64"/>
      </bottom>
      <diagonal/>
    </border>
    <border>
      <left style="thin">
        <color indexed="62"/>
      </left>
      <right style="hair">
        <color indexed="64"/>
      </right>
      <top/>
      <bottom style="hair">
        <color indexed="64"/>
      </bottom>
      <diagonal/>
    </border>
    <border>
      <left style="thick">
        <color indexed="62"/>
      </left>
      <right/>
      <top/>
      <bottom style="thin">
        <color indexed="62"/>
      </bottom>
      <diagonal/>
    </border>
    <border>
      <left/>
      <right/>
      <top/>
      <bottom style="thin">
        <color indexed="62"/>
      </bottom>
      <diagonal/>
    </border>
    <border>
      <left/>
      <right style="thin">
        <color indexed="62"/>
      </right>
      <top/>
      <bottom style="thin">
        <color indexed="62"/>
      </bottom>
      <diagonal/>
    </border>
    <border>
      <left style="thin">
        <color indexed="62"/>
      </left>
      <right/>
      <top/>
      <bottom style="thin">
        <color indexed="62"/>
      </bottom>
      <diagonal/>
    </border>
    <border>
      <left style="thin">
        <color indexed="8"/>
      </left>
      <right/>
      <top/>
      <bottom/>
      <diagonal/>
    </border>
    <border>
      <left/>
      <right style="thick">
        <color indexed="62"/>
      </right>
      <top style="thin">
        <color indexed="64"/>
      </top>
      <bottom style="thick">
        <color indexed="62"/>
      </bottom>
      <diagonal/>
    </border>
    <border>
      <left/>
      <right/>
      <top/>
      <bottom style="hair">
        <color indexed="64"/>
      </bottom>
      <diagonal/>
    </border>
    <border>
      <left style="hair">
        <color indexed="64"/>
      </left>
      <right/>
      <top style="thick">
        <color indexed="62"/>
      </top>
      <bottom/>
      <diagonal/>
    </border>
    <border>
      <left style="thin">
        <color indexed="64"/>
      </left>
      <right style="thick">
        <color indexed="62"/>
      </right>
      <top/>
      <bottom style="hair">
        <color indexed="64"/>
      </bottom>
      <diagonal/>
    </border>
    <border>
      <left style="thin">
        <color indexed="64"/>
      </left>
      <right style="thick">
        <color indexed="62"/>
      </right>
      <top style="thick">
        <color indexed="62"/>
      </top>
      <bottom/>
      <diagonal/>
    </border>
    <border>
      <left/>
      <right style="thick">
        <color indexed="62"/>
      </right>
      <top style="thin">
        <color indexed="64"/>
      </top>
      <bottom/>
      <diagonal/>
    </border>
    <border>
      <left style="thick">
        <color indexed="62"/>
      </left>
      <right/>
      <top style="thick">
        <color indexed="62"/>
      </top>
      <bottom style="hair">
        <color indexed="64"/>
      </bottom>
      <diagonal/>
    </border>
    <border>
      <left style="thick">
        <color indexed="62"/>
      </left>
      <right style="hair">
        <color indexed="62"/>
      </right>
      <top/>
      <bottom style="thick">
        <color indexed="62"/>
      </bottom>
      <diagonal/>
    </border>
    <border>
      <left/>
      <right style="thick">
        <color indexed="62"/>
      </right>
      <top/>
      <bottom style="hair">
        <color indexed="64"/>
      </bottom>
      <diagonal/>
    </border>
    <border>
      <left style="thick">
        <color indexed="62"/>
      </left>
      <right style="hair">
        <color indexed="64"/>
      </right>
      <top/>
      <bottom/>
      <diagonal/>
    </border>
    <border>
      <left style="hair">
        <color indexed="64"/>
      </left>
      <right style="hair">
        <color indexed="64"/>
      </right>
      <top style="hair">
        <color indexed="64"/>
      </top>
      <bottom/>
      <diagonal/>
    </border>
    <border>
      <left style="hair">
        <color indexed="64"/>
      </left>
      <right style="hair">
        <color indexed="64"/>
      </right>
      <top/>
      <bottom style="hair">
        <color indexed="64"/>
      </bottom>
      <diagonal/>
    </border>
    <border>
      <left style="hair">
        <color indexed="64"/>
      </left>
      <right style="hair">
        <color indexed="64"/>
      </right>
      <top/>
      <bottom/>
      <diagonal/>
    </border>
    <border>
      <left style="hair">
        <color indexed="64"/>
      </left>
      <right/>
      <top style="thick">
        <color indexed="62"/>
      </top>
      <bottom style="thin">
        <color indexed="64"/>
      </bottom>
      <diagonal/>
    </border>
    <border>
      <left style="thin">
        <color indexed="64"/>
      </left>
      <right style="thin">
        <color indexed="64"/>
      </right>
      <top style="thick">
        <color indexed="62"/>
      </top>
      <bottom style="thin">
        <color indexed="64"/>
      </bottom>
      <diagonal/>
    </border>
    <border>
      <left style="hair">
        <color indexed="62"/>
      </left>
      <right style="hair">
        <color indexed="64"/>
      </right>
      <top/>
      <bottom style="thick">
        <color indexed="62"/>
      </bottom>
      <diagonal/>
    </border>
    <border>
      <left style="hair">
        <color indexed="62"/>
      </left>
      <right style="hair">
        <color indexed="64"/>
      </right>
      <top style="thick">
        <color indexed="62"/>
      </top>
      <bottom/>
      <diagonal/>
    </border>
    <border>
      <left style="hair">
        <color indexed="64"/>
      </left>
      <right style="thin">
        <color indexed="64"/>
      </right>
      <top/>
      <bottom style="thick">
        <color indexed="62"/>
      </bottom>
      <diagonal/>
    </border>
    <border>
      <left style="thin">
        <color indexed="64"/>
      </left>
      <right/>
      <top style="thick">
        <color indexed="62"/>
      </top>
      <bottom style="thin">
        <color indexed="64"/>
      </bottom>
      <diagonal/>
    </border>
    <border>
      <left style="thick">
        <color indexed="62"/>
      </left>
      <right style="thin">
        <color indexed="64"/>
      </right>
      <top style="thick">
        <color indexed="62"/>
      </top>
      <bottom style="hair">
        <color indexed="64"/>
      </bottom>
      <diagonal/>
    </border>
    <border>
      <left style="thin">
        <color indexed="64"/>
      </left>
      <right style="thick">
        <color indexed="62"/>
      </right>
      <top style="thick">
        <color indexed="62"/>
      </top>
      <bottom style="hair">
        <color indexed="64"/>
      </bottom>
      <diagonal/>
    </border>
    <border>
      <left style="thick">
        <color indexed="62"/>
      </left>
      <right style="thin">
        <color indexed="64"/>
      </right>
      <top style="hair">
        <color indexed="64"/>
      </top>
      <bottom style="thick">
        <color indexed="62"/>
      </bottom>
      <diagonal/>
    </border>
    <border>
      <left/>
      <right style="thin">
        <color indexed="64"/>
      </right>
      <top style="thick">
        <color indexed="62"/>
      </top>
      <bottom/>
      <diagonal/>
    </border>
    <border>
      <left style="thin">
        <color indexed="64"/>
      </left>
      <right/>
      <top/>
      <bottom style="hair">
        <color indexed="64"/>
      </bottom>
      <diagonal/>
    </border>
    <border>
      <left style="dotted">
        <color indexed="9"/>
      </left>
      <right style="hair">
        <color indexed="64"/>
      </right>
      <top style="thin">
        <color indexed="64"/>
      </top>
      <bottom style="thin">
        <color indexed="64"/>
      </bottom>
      <diagonal/>
    </border>
    <border>
      <left style="hair">
        <color indexed="64"/>
      </left>
      <right style="dotted">
        <color indexed="9"/>
      </right>
      <top style="thin">
        <color indexed="64"/>
      </top>
      <bottom style="thin">
        <color indexed="64"/>
      </bottom>
      <diagonal/>
    </border>
    <border>
      <left style="dotted">
        <color indexed="9"/>
      </left>
      <right style="dotted">
        <color indexed="9"/>
      </right>
      <top style="thin">
        <color indexed="64"/>
      </top>
      <bottom style="thin">
        <color indexed="64"/>
      </bottom>
      <diagonal/>
    </border>
    <border>
      <left style="hair">
        <color indexed="64"/>
      </left>
      <right style="hair">
        <color indexed="64"/>
      </right>
      <top/>
      <bottom style="thick">
        <color indexed="62"/>
      </bottom>
      <diagonal/>
    </border>
    <border>
      <left style="thick">
        <color indexed="62"/>
      </left>
      <right style="hair">
        <color indexed="64"/>
      </right>
      <top/>
      <bottom style="thick">
        <color indexed="62"/>
      </bottom>
      <diagonal/>
    </border>
    <border>
      <left/>
      <right style="hair">
        <color indexed="62"/>
      </right>
      <top/>
      <bottom/>
      <diagonal/>
    </border>
    <border>
      <left style="hair">
        <color indexed="64"/>
      </left>
      <right style="thick">
        <color indexed="62"/>
      </right>
      <top style="hair">
        <color indexed="64"/>
      </top>
      <bottom style="hair">
        <color indexed="64"/>
      </bottom>
      <diagonal/>
    </border>
    <border>
      <left style="thick">
        <color indexed="62"/>
      </left>
      <right style="hair">
        <color indexed="64"/>
      </right>
      <top style="hair">
        <color indexed="64"/>
      </top>
      <bottom style="thin">
        <color indexed="64"/>
      </bottom>
      <diagonal/>
    </border>
    <border>
      <left style="thin">
        <color indexed="64"/>
      </left>
      <right style="thick">
        <color indexed="62"/>
      </right>
      <top style="thin">
        <color indexed="64"/>
      </top>
      <bottom style="hair">
        <color indexed="64"/>
      </bottom>
      <diagonal/>
    </border>
    <border>
      <left style="thick">
        <color indexed="62"/>
      </left>
      <right style="hair">
        <color indexed="64"/>
      </right>
      <top style="hair">
        <color indexed="62"/>
      </top>
      <bottom style="hair">
        <color indexed="62"/>
      </bottom>
      <diagonal/>
    </border>
    <border>
      <left style="hair">
        <color indexed="64"/>
      </left>
      <right/>
      <top style="hair">
        <color indexed="62"/>
      </top>
      <bottom style="hair">
        <color indexed="62"/>
      </bottom>
      <diagonal/>
    </border>
    <border>
      <left style="thin">
        <color indexed="64"/>
      </left>
      <right style="hair">
        <color indexed="64"/>
      </right>
      <top style="hair">
        <color indexed="64"/>
      </top>
      <bottom style="thin">
        <color indexed="64"/>
      </bottom>
      <diagonal/>
    </border>
    <border>
      <left/>
      <right style="hair">
        <color indexed="64"/>
      </right>
      <top/>
      <bottom/>
      <diagonal/>
    </border>
    <border>
      <left style="hair">
        <color indexed="64"/>
      </left>
      <right style="hair">
        <color indexed="64"/>
      </right>
      <top style="hair">
        <color indexed="64"/>
      </top>
      <bottom style="thick">
        <color indexed="62"/>
      </bottom>
      <diagonal/>
    </border>
    <border>
      <left style="thick">
        <color indexed="62"/>
      </left>
      <right/>
      <top style="thick">
        <color indexed="62"/>
      </top>
      <bottom style="thick">
        <color indexed="62"/>
      </bottom>
      <diagonal/>
    </border>
    <border>
      <left/>
      <right/>
      <top style="thick">
        <color indexed="62"/>
      </top>
      <bottom style="thick">
        <color indexed="62"/>
      </bottom>
      <diagonal/>
    </border>
    <border>
      <left/>
      <right style="thick">
        <color indexed="62"/>
      </right>
      <top style="thick">
        <color indexed="62"/>
      </top>
      <bottom style="thick">
        <color indexed="62"/>
      </bottom>
      <diagonal/>
    </border>
    <border>
      <left style="hair">
        <color indexed="64"/>
      </left>
      <right/>
      <top style="hair">
        <color indexed="64"/>
      </top>
      <bottom style="thick">
        <color indexed="62"/>
      </bottom>
      <diagonal/>
    </border>
    <border>
      <left style="thick">
        <color indexed="64"/>
      </left>
      <right/>
      <top style="thick">
        <color indexed="62"/>
      </top>
      <bottom/>
      <diagonal/>
    </border>
    <border>
      <left style="thin">
        <color theme="1"/>
      </left>
      <right/>
      <top style="thin">
        <color indexed="64"/>
      </top>
      <bottom style="thin">
        <color indexed="64"/>
      </bottom>
      <diagonal/>
    </border>
    <border>
      <left/>
      <right style="thin">
        <color indexed="62"/>
      </right>
      <top/>
      <bottom/>
      <diagonal/>
    </border>
    <border>
      <left/>
      <right style="thin">
        <color indexed="62"/>
      </right>
      <top style="thin">
        <color indexed="62"/>
      </top>
      <bottom/>
      <diagonal/>
    </border>
    <border>
      <left style="thin">
        <color indexed="62"/>
      </left>
      <right/>
      <top style="thin">
        <color indexed="62"/>
      </top>
      <bottom/>
      <diagonal/>
    </border>
    <border>
      <left/>
      <right style="hair">
        <color indexed="64"/>
      </right>
      <top style="thin">
        <color indexed="62"/>
      </top>
      <bottom/>
      <diagonal/>
    </border>
    <border>
      <left/>
      <right/>
      <top style="thin">
        <color indexed="62"/>
      </top>
      <bottom/>
      <diagonal/>
    </border>
    <border>
      <left style="thin">
        <color auto="1"/>
      </left>
      <right style="hair">
        <color indexed="64"/>
      </right>
      <top style="thin">
        <color indexed="62"/>
      </top>
      <bottom style="thin">
        <color indexed="62"/>
      </bottom>
      <diagonal/>
    </border>
    <border>
      <left style="thin">
        <color indexed="62"/>
      </left>
      <right/>
      <top style="thin">
        <color indexed="64"/>
      </top>
      <bottom style="thin">
        <color indexed="64"/>
      </bottom>
      <diagonal/>
    </border>
    <border>
      <left style="thin">
        <color indexed="62"/>
      </left>
      <right/>
      <top style="hair">
        <color indexed="64"/>
      </top>
      <bottom style="thick">
        <color indexed="62"/>
      </bottom>
      <diagonal/>
    </border>
    <border>
      <left/>
      <right style="thin">
        <color indexed="62"/>
      </right>
      <top style="thin">
        <color indexed="62"/>
      </top>
      <bottom style="thick">
        <color indexed="62"/>
      </bottom>
      <diagonal/>
    </border>
    <border>
      <left style="thin">
        <color indexed="62"/>
      </left>
      <right/>
      <top style="thin">
        <color indexed="62"/>
      </top>
      <bottom style="thin">
        <color indexed="62"/>
      </bottom>
      <diagonal/>
    </border>
    <border>
      <left/>
      <right/>
      <top style="thin">
        <color indexed="62"/>
      </top>
      <bottom style="thin">
        <color indexed="62"/>
      </bottom>
      <diagonal/>
    </border>
    <border>
      <left/>
      <right style="thin">
        <color indexed="62"/>
      </right>
      <top style="thin">
        <color indexed="62"/>
      </top>
      <bottom style="thin">
        <color indexed="62"/>
      </bottom>
      <diagonal/>
    </border>
    <border>
      <left style="thick">
        <color indexed="62"/>
      </left>
      <right style="thin">
        <color auto="1"/>
      </right>
      <top style="thin">
        <color auto="1"/>
      </top>
      <bottom style="thin">
        <color indexed="64"/>
      </bottom>
      <diagonal/>
    </border>
    <border>
      <left/>
      <right style="hair">
        <color indexed="64"/>
      </right>
      <top style="thin">
        <color indexed="62"/>
      </top>
      <bottom style="thin">
        <color auto="1"/>
      </bottom>
      <diagonal/>
    </border>
    <border>
      <left style="hair">
        <color indexed="64"/>
      </left>
      <right style="hair">
        <color indexed="64"/>
      </right>
      <top style="thin">
        <color indexed="62"/>
      </top>
      <bottom style="thin">
        <color auto="1"/>
      </bottom>
      <diagonal/>
    </border>
    <border>
      <left style="hair">
        <color indexed="64"/>
      </left>
      <right style="thin">
        <color indexed="62"/>
      </right>
      <top style="thin">
        <color indexed="62"/>
      </top>
      <bottom style="thin">
        <color auto="1"/>
      </bottom>
      <diagonal/>
    </border>
    <border>
      <left/>
      <right style="thin">
        <color indexed="62"/>
      </right>
      <top/>
      <bottom style="thick">
        <color indexed="62"/>
      </bottom>
      <diagonal/>
    </border>
    <border>
      <left/>
      <right style="thin">
        <color indexed="62"/>
      </right>
      <top style="thick">
        <color indexed="62"/>
      </top>
      <bottom/>
      <diagonal/>
    </border>
    <border>
      <left/>
      <right style="thin">
        <color indexed="62"/>
      </right>
      <top/>
      <bottom style="thin">
        <color indexed="64"/>
      </bottom>
      <diagonal/>
    </border>
    <border>
      <left style="hair">
        <color auto="1"/>
      </left>
      <right style="hair">
        <color auto="1"/>
      </right>
      <top style="thin">
        <color auto="1"/>
      </top>
      <bottom/>
      <diagonal/>
    </border>
    <border>
      <left style="thin">
        <color theme="1"/>
      </left>
      <right/>
      <top style="thin">
        <color theme="1"/>
      </top>
      <bottom/>
      <diagonal/>
    </border>
    <border>
      <left/>
      <right/>
      <top style="thin">
        <color theme="1"/>
      </top>
      <bottom/>
      <diagonal/>
    </border>
    <border>
      <left style="thin">
        <color indexed="64"/>
      </left>
      <right style="thin">
        <color indexed="62"/>
      </right>
      <top style="thin">
        <color theme="1"/>
      </top>
      <bottom/>
      <diagonal/>
    </border>
    <border>
      <left/>
      <right style="hair">
        <color indexed="64"/>
      </right>
      <top style="thin">
        <color auto="1"/>
      </top>
      <bottom style="thin">
        <color indexed="64"/>
      </bottom>
      <diagonal/>
    </border>
    <border>
      <left style="thin">
        <color indexed="64"/>
      </left>
      <right style="thin">
        <color indexed="62"/>
      </right>
      <top/>
      <bottom style="thin">
        <color indexed="64"/>
      </bottom>
      <diagonal/>
    </border>
    <border>
      <left/>
      <right/>
      <top style="thin">
        <color auto="1"/>
      </top>
      <bottom/>
      <diagonal/>
    </border>
    <border>
      <left/>
      <right style="thin">
        <color indexed="62"/>
      </right>
      <top style="thin">
        <color indexed="64"/>
      </top>
      <bottom/>
      <diagonal/>
    </border>
    <border>
      <left style="thick">
        <color rgb="FF25418F"/>
      </left>
      <right/>
      <top style="thick">
        <color rgb="FF25418F"/>
      </top>
      <bottom style="thin">
        <color indexed="64"/>
      </bottom>
      <diagonal/>
    </border>
    <border>
      <left/>
      <right style="thick">
        <color rgb="FF25418F"/>
      </right>
      <top style="thick">
        <color rgb="FF25418F"/>
      </top>
      <bottom style="thin">
        <color indexed="64"/>
      </bottom>
      <diagonal/>
    </border>
    <border>
      <left style="thin">
        <color auto="1"/>
      </left>
      <right style="thin">
        <color auto="1"/>
      </right>
      <top style="thin">
        <color auto="1"/>
      </top>
      <bottom style="thin">
        <color auto="1"/>
      </bottom>
      <diagonal/>
    </border>
    <border>
      <left/>
      <right style="medium">
        <color auto="1"/>
      </right>
      <top/>
      <bottom style="medium">
        <color auto="1"/>
      </bottom>
      <diagonal/>
    </border>
    <border>
      <left style="thick">
        <color indexed="64"/>
      </left>
      <right/>
      <top style="thin">
        <color theme="0" tint="-0.34998626667073579"/>
      </top>
      <bottom/>
      <diagonal/>
    </border>
    <border>
      <left/>
      <right style="thick">
        <color auto="1"/>
      </right>
      <top style="thin">
        <color theme="0" tint="-0.34998626667073579"/>
      </top>
      <bottom/>
      <diagonal/>
    </border>
    <border>
      <left style="thick">
        <color rgb="FF25418F"/>
      </left>
      <right style="hair">
        <color auto="1"/>
      </right>
      <top style="thin">
        <color indexed="64"/>
      </top>
      <bottom/>
      <diagonal/>
    </border>
    <border>
      <left/>
      <right style="thick">
        <color rgb="FF25418F"/>
      </right>
      <top/>
      <bottom/>
      <diagonal/>
    </border>
    <border>
      <left/>
      <right style="thick">
        <color auto="1"/>
      </right>
      <top/>
      <bottom/>
      <diagonal/>
    </border>
    <border>
      <left style="thick">
        <color rgb="FF25418F"/>
      </left>
      <right style="hair">
        <color rgb="FF25418F"/>
      </right>
      <top style="thin">
        <color auto="1"/>
      </top>
      <bottom style="thin">
        <color indexed="64"/>
      </bottom>
      <diagonal/>
    </border>
    <border>
      <left/>
      <right/>
      <top style="thin">
        <color indexed="64"/>
      </top>
      <bottom style="thin">
        <color indexed="64"/>
      </bottom>
      <diagonal/>
    </border>
    <border>
      <left style="thick">
        <color rgb="FF25418F"/>
      </left>
      <right/>
      <top style="thin">
        <color indexed="64"/>
      </top>
      <bottom style="thin">
        <color rgb="FF25418F"/>
      </bottom>
      <diagonal/>
    </border>
    <border>
      <left style="thick">
        <color rgb="FF25418F"/>
      </left>
      <right/>
      <top style="thin">
        <color rgb="FF25418F"/>
      </top>
      <bottom style="thin">
        <color rgb="FF25418F"/>
      </bottom>
      <diagonal/>
    </border>
    <border>
      <left style="thick">
        <color rgb="FF25418F"/>
      </left>
      <right/>
      <top style="thin">
        <color rgb="FF25418F"/>
      </top>
      <bottom/>
      <diagonal/>
    </border>
    <border>
      <left style="thick">
        <color indexed="62"/>
      </left>
      <right/>
      <top style="medium">
        <color indexed="62"/>
      </top>
      <bottom style="thin">
        <color indexed="64"/>
      </bottom>
      <diagonal/>
    </border>
    <border>
      <left style="thick">
        <color theme="9" tint="-0.499984740745262"/>
      </left>
      <right/>
      <top style="thick">
        <color indexed="64"/>
      </top>
      <bottom/>
      <diagonal/>
    </border>
    <border>
      <left/>
      <right style="thick">
        <color theme="9" tint="-0.499984740745262"/>
      </right>
      <top style="thick">
        <color indexed="64"/>
      </top>
      <bottom/>
      <diagonal/>
    </border>
    <border>
      <left style="thick">
        <color theme="9" tint="-0.499984740745262"/>
      </left>
      <right/>
      <top/>
      <bottom style="thick">
        <color theme="9" tint="-0.499984740745262"/>
      </bottom>
      <diagonal/>
    </border>
    <border>
      <left/>
      <right style="thick">
        <color theme="9" tint="-0.499984740745262"/>
      </right>
      <top/>
      <bottom style="thick">
        <color theme="9" tint="-0.499984740745262"/>
      </bottom>
      <diagonal/>
    </border>
    <border>
      <left/>
      <right/>
      <top style="thin">
        <color indexed="64"/>
      </top>
      <bottom style="thick">
        <color indexed="62"/>
      </bottom>
      <diagonal/>
    </border>
    <border>
      <left style="hair">
        <color indexed="64"/>
      </left>
      <right style="thin">
        <color indexed="64"/>
      </right>
      <top/>
      <bottom style="thin">
        <color indexed="64"/>
      </bottom>
      <diagonal/>
    </border>
    <border>
      <left style="thick">
        <color indexed="62"/>
      </left>
      <right/>
      <top style="thin">
        <color auto="1"/>
      </top>
      <bottom/>
      <diagonal/>
    </border>
    <border>
      <left style="hair">
        <color indexed="64"/>
      </left>
      <right style="hair">
        <color indexed="64"/>
      </right>
      <top style="thin">
        <color indexed="64"/>
      </top>
      <bottom style="thick">
        <color indexed="62"/>
      </bottom>
      <diagonal/>
    </border>
    <border>
      <left style="hair">
        <color theme="1"/>
      </left>
      <right/>
      <top style="thick">
        <color indexed="62"/>
      </top>
      <bottom style="thin">
        <color indexed="64"/>
      </bottom>
      <diagonal/>
    </border>
    <border>
      <left/>
      <right style="thick">
        <color indexed="62"/>
      </right>
      <top style="thin">
        <color indexed="64"/>
      </top>
      <bottom style="thin">
        <color indexed="64"/>
      </bottom>
      <diagonal/>
    </border>
    <border>
      <left style="hair">
        <color indexed="64"/>
      </left>
      <right style="thick">
        <color indexed="62"/>
      </right>
      <top style="thin">
        <color indexed="64"/>
      </top>
      <bottom/>
      <diagonal/>
    </border>
    <border>
      <left style="hair">
        <color auto="1"/>
      </left>
      <right/>
      <top style="thin">
        <color indexed="64"/>
      </top>
      <bottom style="thin">
        <color indexed="64"/>
      </bottom>
      <diagonal/>
    </border>
    <border>
      <left style="thin">
        <color indexed="64"/>
      </left>
      <right/>
      <top style="thin">
        <color indexed="64"/>
      </top>
      <bottom style="thin">
        <color indexed="64"/>
      </bottom>
      <diagonal/>
    </border>
    <border>
      <left style="thin">
        <color auto="1"/>
      </left>
      <right/>
      <top style="thin">
        <color indexed="64"/>
      </top>
      <bottom style="thick">
        <color indexed="62"/>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ck">
        <color indexed="62"/>
      </left>
      <right/>
      <top style="thin">
        <color auto="1"/>
      </top>
      <bottom style="thin">
        <color indexed="64"/>
      </bottom>
      <diagonal/>
    </border>
    <border>
      <left style="hair">
        <color indexed="64"/>
      </left>
      <right style="thick">
        <color indexed="62"/>
      </right>
      <top style="thin">
        <color indexed="64"/>
      </top>
      <bottom style="thin">
        <color indexed="64"/>
      </bottom>
      <diagonal/>
    </border>
    <border>
      <left/>
      <right style="hair">
        <color indexed="64"/>
      </right>
      <top/>
      <bottom style="thick">
        <color indexed="62"/>
      </bottom>
      <diagonal/>
    </border>
    <border>
      <left style="thin">
        <color auto="1"/>
      </left>
      <right style="hair">
        <color auto="1"/>
      </right>
      <top style="thin">
        <color indexed="64"/>
      </top>
      <bottom style="thin">
        <color indexed="64"/>
      </bottom>
      <diagonal/>
    </border>
    <border>
      <left style="hair">
        <color auto="1"/>
      </left>
      <right style="hair">
        <color auto="1"/>
      </right>
      <top style="thin">
        <color auto="1"/>
      </top>
      <bottom style="thin">
        <color auto="1"/>
      </bottom>
      <diagonal/>
    </border>
    <border>
      <left style="hair">
        <color indexed="64"/>
      </left>
      <right/>
      <top style="thin">
        <color indexed="64"/>
      </top>
      <bottom style="thick">
        <color indexed="62"/>
      </bottom>
      <diagonal/>
    </border>
    <border>
      <left style="thick">
        <color indexed="62"/>
      </left>
      <right style="hair">
        <color indexed="64"/>
      </right>
      <top style="thick">
        <color indexed="62"/>
      </top>
      <bottom style="hair">
        <color indexed="64"/>
      </bottom>
      <diagonal/>
    </border>
    <border>
      <left/>
      <right style="hair">
        <color indexed="64"/>
      </right>
      <top style="thin">
        <color indexed="64"/>
      </top>
      <bottom/>
      <diagonal/>
    </border>
    <border>
      <left style="hair">
        <color indexed="64"/>
      </left>
      <right/>
      <top style="thin">
        <color indexed="64"/>
      </top>
      <bottom/>
      <diagonal/>
    </border>
    <border>
      <left/>
      <right style="hair">
        <color indexed="64"/>
      </right>
      <top/>
      <bottom style="thin">
        <color indexed="64"/>
      </bottom>
      <diagonal/>
    </border>
    <border>
      <left style="thick">
        <color indexed="62"/>
      </left>
      <right style="hair">
        <color indexed="64"/>
      </right>
      <top style="thin">
        <color auto="1"/>
      </top>
      <bottom style="thin">
        <color indexed="64"/>
      </bottom>
      <diagonal/>
    </border>
    <border>
      <left style="thin">
        <color indexed="64"/>
      </left>
      <right style="hair">
        <color indexed="64"/>
      </right>
      <top/>
      <bottom style="thick">
        <color indexed="62"/>
      </bottom>
      <diagonal/>
    </border>
    <border>
      <left style="medium">
        <color auto="1"/>
      </left>
      <right/>
      <top/>
      <bottom style="medium">
        <color auto="1"/>
      </bottom>
      <diagonal/>
    </border>
    <border>
      <left style="medium">
        <color indexed="64"/>
      </left>
      <right/>
      <top style="medium">
        <color indexed="64"/>
      </top>
      <bottom/>
      <diagonal/>
    </border>
    <border>
      <left/>
      <right style="medium">
        <color indexed="64"/>
      </right>
      <top style="medium">
        <color indexed="64"/>
      </top>
      <bottom/>
      <diagonal/>
    </border>
    <border>
      <left/>
      <right style="thick">
        <color rgb="FF25418F"/>
      </right>
      <top style="thin">
        <color indexed="64"/>
      </top>
      <bottom style="thin">
        <color indexed="64"/>
      </bottom>
      <diagonal/>
    </border>
    <border>
      <left style="hair">
        <color rgb="FF25418F"/>
      </left>
      <right style="thick">
        <color rgb="FF25418F"/>
      </right>
      <top style="thin">
        <color indexed="64"/>
      </top>
      <bottom style="thin">
        <color rgb="FF25418F"/>
      </bottom>
      <diagonal/>
    </border>
    <border>
      <left style="hair">
        <color rgb="FF25418F"/>
      </left>
      <right style="thick">
        <color rgb="FF25418F"/>
      </right>
      <top style="thin">
        <color rgb="FF25418F"/>
      </top>
      <bottom style="thin">
        <color rgb="FF25418F"/>
      </bottom>
      <diagonal/>
    </border>
    <border>
      <left style="hair">
        <color rgb="FF25418F"/>
      </left>
      <right style="thick">
        <color rgb="FF25418F"/>
      </right>
      <top style="thin">
        <color rgb="FF25418F"/>
      </top>
      <bottom/>
      <diagonal/>
    </border>
    <border>
      <left/>
      <right style="thick">
        <color rgb="FF25418F"/>
      </right>
      <top style="medium">
        <color indexed="62"/>
      </top>
      <bottom style="thin">
        <color indexed="64"/>
      </bottom>
      <diagonal/>
    </border>
    <border>
      <left style="hair">
        <color indexed="64"/>
      </left>
      <right style="thick">
        <color rgb="FF25418F"/>
      </right>
      <top style="thin">
        <color indexed="64"/>
      </top>
      <bottom style="hair">
        <color indexed="64"/>
      </bottom>
      <diagonal/>
    </border>
    <border>
      <left/>
      <right style="thick">
        <color rgb="FF25418F"/>
      </right>
      <top/>
      <bottom style="thick">
        <color indexed="62"/>
      </bottom>
      <diagonal/>
    </border>
    <border>
      <left style="medium">
        <color indexed="64"/>
      </left>
      <right/>
      <top style="thin">
        <color theme="0" tint="-0.34998626667073579"/>
      </top>
      <bottom/>
      <diagonal/>
    </border>
    <border>
      <left/>
      <right style="medium">
        <color indexed="64"/>
      </right>
      <top style="thin">
        <color theme="0" tint="-0.34998626667073579"/>
      </top>
      <bottom/>
      <diagonal/>
    </border>
    <border>
      <left style="double">
        <color auto="1"/>
      </left>
      <right/>
      <top style="double">
        <color auto="1"/>
      </top>
      <bottom/>
      <diagonal/>
    </border>
    <border>
      <left style="medium">
        <color auto="1"/>
      </left>
      <right style="medium">
        <color auto="1"/>
      </right>
      <top style="double">
        <color auto="1"/>
      </top>
      <bottom/>
      <diagonal/>
    </border>
    <border>
      <left style="medium">
        <color auto="1"/>
      </left>
      <right style="double">
        <color auto="1"/>
      </right>
      <top style="double">
        <color auto="1"/>
      </top>
      <bottom style="medium">
        <color auto="1"/>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right/>
      <top style="double">
        <color auto="1"/>
      </top>
      <bottom/>
      <diagonal/>
    </border>
    <border>
      <left/>
      <right style="double">
        <color auto="1"/>
      </right>
      <top style="double">
        <color auto="1"/>
      </top>
      <bottom/>
      <diagonal/>
    </border>
    <border>
      <left style="hair">
        <color indexed="64"/>
      </left>
      <right style="thin">
        <color indexed="64"/>
      </right>
      <top style="thick">
        <color indexed="62"/>
      </top>
      <bottom style="thin">
        <color indexed="64"/>
      </bottom>
      <diagonal/>
    </border>
    <border>
      <left style="hair">
        <color indexed="64"/>
      </left>
      <right style="hair">
        <color indexed="64"/>
      </right>
      <top style="thick">
        <color indexed="62"/>
      </top>
      <bottom style="thin">
        <color indexed="64"/>
      </bottom>
      <diagonal/>
    </border>
    <border>
      <left style="thick">
        <color indexed="62"/>
      </left>
      <right style="hair">
        <color indexed="64"/>
      </right>
      <top style="thin">
        <color indexed="64"/>
      </top>
      <bottom/>
      <diagonal/>
    </border>
    <border>
      <left/>
      <right style="thick">
        <color indexed="43"/>
      </right>
      <top/>
      <bottom style="thin">
        <color rgb="FFFFFFCC"/>
      </bottom>
      <diagonal/>
    </border>
    <border>
      <left/>
      <right style="thick">
        <color theme="3"/>
      </right>
      <top/>
      <bottom style="thin">
        <color rgb="FFFFFFCC"/>
      </bottom>
      <diagonal/>
    </border>
    <border>
      <left style="hair">
        <color indexed="64"/>
      </left>
      <right/>
      <top style="thin">
        <color rgb="FFFFFFCC"/>
      </top>
      <bottom/>
      <diagonal/>
    </border>
    <border>
      <left/>
      <right/>
      <top style="thin">
        <color rgb="FFFFFFCC"/>
      </top>
      <bottom/>
      <diagonal/>
    </border>
    <border>
      <left/>
      <right style="thick">
        <color theme="3"/>
      </right>
      <top style="thin">
        <color rgb="FFFFFFCC"/>
      </top>
      <bottom/>
      <diagonal/>
    </border>
    <border>
      <left style="hair">
        <color indexed="62"/>
      </left>
      <right/>
      <top/>
      <bottom style="thin">
        <color rgb="FFFFFFCC"/>
      </bottom>
      <diagonal/>
    </border>
    <border>
      <left style="hair">
        <color indexed="62"/>
      </left>
      <right/>
      <top style="thin">
        <color rgb="FFFFFFCC"/>
      </top>
      <bottom/>
      <diagonal/>
    </border>
    <border>
      <left style="hair">
        <color indexed="64"/>
      </left>
      <right style="thin">
        <color indexed="64"/>
      </right>
      <top/>
      <bottom style="hair">
        <color indexed="64"/>
      </bottom>
      <diagonal/>
    </border>
    <border>
      <left style="hair">
        <color indexed="64"/>
      </left>
      <right style="thick">
        <color indexed="62"/>
      </right>
      <top style="thick">
        <color indexed="18"/>
      </top>
      <bottom style="thin">
        <color indexed="64"/>
      </bottom>
      <diagonal/>
    </border>
    <border>
      <left style="thin">
        <color auto="1"/>
      </left>
      <right style="hair">
        <color auto="1"/>
      </right>
      <top style="thin">
        <color indexed="64"/>
      </top>
      <bottom/>
      <diagonal/>
    </border>
    <border>
      <left style="hair">
        <color indexed="64"/>
      </left>
      <right/>
      <top style="thick">
        <color indexed="62"/>
      </top>
      <bottom style="thick">
        <color theme="3"/>
      </bottom>
      <diagonal/>
    </border>
    <border>
      <left/>
      <right/>
      <top style="thick">
        <color indexed="62"/>
      </top>
      <bottom style="thick">
        <color theme="3"/>
      </bottom>
      <diagonal/>
    </border>
    <border>
      <left/>
      <right style="thick">
        <color indexed="62"/>
      </right>
      <top style="thick">
        <color indexed="62"/>
      </top>
      <bottom style="thick">
        <color theme="3"/>
      </bottom>
      <diagonal/>
    </border>
    <border>
      <left style="thick">
        <color theme="3"/>
      </left>
      <right/>
      <top style="thick">
        <color indexed="62"/>
      </top>
      <bottom style="thick">
        <color theme="3"/>
      </bottom>
      <diagonal/>
    </border>
    <border>
      <left style="thick">
        <color indexed="62"/>
      </left>
      <right style="hair">
        <color auto="1"/>
      </right>
      <top style="thick">
        <color indexed="62"/>
      </top>
      <bottom style="thick">
        <color indexed="62"/>
      </bottom>
      <diagonal/>
    </border>
    <border>
      <left style="hair">
        <color auto="1"/>
      </left>
      <right/>
      <top style="thick">
        <color indexed="62"/>
      </top>
      <bottom style="thick">
        <color indexed="62"/>
      </bottom>
      <diagonal/>
    </border>
    <border>
      <left style="hair">
        <color indexed="64"/>
      </left>
      <right style="hair">
        <color indexed="64"/>
      </right>
      <top style="hair">
        <color indexed="62"/>
      </top>
      <bottom style="hair">
        <color indexed="64"/>
      </bottom>
      <diagonal/>
    </border>
    <border>
      <left style="hair">
        <color auto="1"/>
      </left>
      <right style="thick">
        <color indexed="62"/>
      </right>
      <top style="hair">
        <color indexed="62"/>
      </top>
      <bottom style="hair">
        <color auto="1"/>
      </bottom>
      <diagonal/>
    </border>
    <border>
      <left style="hair">
        <color indexed="64"/>
      </left>
      <right/>
      <top style="hair">
        <color auto="1"/>
      </top>
      <bottom style="thick">
        <color indexed="62"/>
      </bottom>
      <diagonal/>
    </border>
    <border>
      <left style="thin">
        <color indexed="64"/>
      </left>
      <right style="hair">
        <color indexed="64"/>
      </right>
      <top style="hair">
        <color indexed="64"/>
      </top>
      <bottom style="thick">
        <color indexed="62"/>
      </bottom>
      <diagonal/>
    </border>
    <border>
      <left style="hair">
        <color indexed="64"/>
      </left>
      <right style="thick">
        <color theme="3"/>
      </right>
      <top/>
      <bottom/>
      <diagonal/>
    </border>
    <border>
      <left style="hair">
        <color indexed="64"/>
      </left>
      <right style="thick">
        <color theme="3"/>
      </right>
      <top/>
      <bottom style="thin">
        <color indexed="64"/>
      </bottom>
      <diagonal/>
    </border>
    <border>
      <left style="thick">
        <color indexed="62"/>
      </left>
      <right style="hair">
        <color indexed="64"/>
      </right>
      <top style="hair">
        <color indexed="64"/>
      </top>
      <bottom/>
      <diagonal/>
    </border>
    <border>
      <left style="hair">
        <color indexed="64"/>
      </left>
      <right style="thick">
        <color indexed="62"/>
      </right>
      <top/>
      <bottom style="hair">
        <color indexed="62"/>
      </bottom>
      <diagonal/>
    </border>
    <border>
      <left style="thin">
        <color indexed="64"/>
      </left>
      <right style="thin">
        <color indexed="64"/>
      </right>
      <top style="thin">
        <color indexed="64"/>
      </top>
      <bottom/>
      <diagonal/>
    </border>
    <border>
      <left/>
      <right style="thick">
        <color indexed="62"/>
      </right>
      <top style="hair">
        <color indexed="64"/>
      </top>
      <bottom/>
      <diagonal/>
    </border>
    <border>
      <left style="thin">
        <color indexed="64"/>
      </left>
      <right/>
      <top style="hair">
        <color indexed="64"/>
      </top>
      <bottom/>
      <diagonal/>
    </border>
    <border>
      <left/>
      <right/>
      <top style="hair">
        <color indexed="64"/>
      </top>
      <bottom/>
      <diagonal/>
    </border>
    <border>
      <left style="hair">
        <color indexed="64"/>
      </left>
      <right style="thin">
        <color indexed="64"/>
      </right>
      <top/>
      <bottom/>
      <diagonal/>
    </border>
    <border>
      <left style="thick">
        <color indexed="62"/>
      </left>
      <right/>
      <top style="thin">
        <color indexed="64"/>
      </top>
      <bottom style="hair">
        <color indexed="64"/>
      </bottom>
      <diagonal/>
    </border>
    <border>
      <left style="thin">
        <color indexed="64"/>
      </left>
      <right style="thick">
        <color indexed="62"/>
      </right>
      <top style="thin">
        <color indexed="64"/>
      </top>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diagonal/>
    </border>
    <border>
      <left/>
      <right style="thick">
        <color indexed="62"/>
      </right>
      <top style="thin">
        <color auto="1"/>
      </top>
      <bottom/>
      <diagonal/>
    </border>
    <border>
      <left/>
      <right style="thin">
        <color indexed="64"/>
      </right>
      <top style="thin">
        <color indexed="64"/>
      </top>
      <bottom style="hair">
        <color indexed="64"/>
      </bottom>
      <diagonal/>
    </border>
    <border>
      <left style="thin">
        <color indexed="64"/>
      </left>
      <right style="thick">
        <color indexed="62"/>
      </right>
      <top/>
      <bottom style="thin">
        <color indexed="64"/>
      </bottom>
      <diagonal/>
    </border>
    <border>
      <left/>
      <right style="hair">
        <color indexed="64"/>
      </right>
      <top style="thin">
        <color indexed="64"/>
      </top>
      <bottom style="thick">
        <color indexed="62"/>
      </bottom>
      <diagonal/>
    </border>
    <border>
      <left style="hair">
        <color indexed="62"/>
      </left>
      <right style="hair">
        <color indexed="64"/>
      </right>
      <top/>
      <bottom style="hair">
        <color auto="1"/>
      </bottom>
      <diagonal/>
    </border>
    <border>
      <left style="hair">
        <color indexed="64"/>
      </left>
      <right style="thin">
        <color indexed="64"/>
      </right>
      <top style="thin">
        <color indexed="62"/>
      </top>
      <bottom style="hair">
        <color indexed="64"/>
      </bottom>
      <diagonal/>
    </border>
    <border>
      <left style="thin">
        <color indexed="64"/>
      </left>
      <right/>
      <top style="thin">
        <color indexed="64"/>
      </top>
      <bottom/>
      <diagonal/>
    </border>
    <border>
      <left style="thin">
        <color indexed="64"/>
      </left>
      <right style="thin">
        <color indexed="64"/>
      </right>
      <top style="thin">
        <color indexed="62"/>
      </top>
      <bottom style="hair">
        <color indexed="64"/>
      </bottom>
      <diagonal/>
    </border>
    <border>
      <left style="thin">
        <color indexed="64"/>
      </left>
      <right style="thin">
        <color indexed="64"/>
      </right>
      <top style="hair">
        <color indexed="64"/>
      </top>
      <bottom style="thin">
        <color indexed="64"/>
      </bottom>
      <diagonal/>
    </border>
    <border>
      <left/>
      <right style="thick">
        <color indexed="62"/>
      </right>
      <top style="thin">
        <color indexed="64"/>
      </top>
      <bottom/>
      <diagonal/>
    </border>
    <border>
      <left/>
      <right/>
      <top/>
      <bottom style="thin">
        <color auto="1"/>
      </bottom>
      <diagonal/>
    </border>
    <border>
      <left/>
      <right style="thick">
        <color indexed="62"/>
      </right>
      <top/>
      <bottom style="thin">
        <color auto="1"/>
      </bottom>
      <diagonal/>
    </border>
    <border>
      <left style="thin">
        <color indexed="64"/>
      </left>
      <right style="thin">
        <color indexed="64"/>
      </right>
      <top style="thin">
        <color indexed="64"/>
      </top>
      <bottom style="thick">
        <color indexed="62"/>
      </bottom>
      <diagonal/>
    </border>
    <border>
      <left style="hair">
        <color indexed="64"/>
      </left>
      <right style="thin">
        <color indexed="64"/>
      </right>
      <top style="thin">
        <color auto="1"/>
      </top>
      <bottom style="thick">
        <color indexed="62"/>
      </bottom>
      <diagonal/>
    </border>
    <border>
      <left style="hair">
        <color indexed="64"/>
      </left>
      <right style="thick">
        <color indexed="62"/>
      </right>
      <top style="thin">
        <color auto="1"/>
      </top>
      <bottom style="thick">
        <color indexed="62"/>
      </bottom>
      <diagonal/>
    </border>
    <border>
      <left style="hair">
        <color indexed="64"/>
      </left>
      <right/>
      <top style="hair">
        <color indexed="64"/>
      </top>
      <bottom/>
      <diagonal/>
    </border>
    <border>
      <left style="thick">
        <color indexed="62"/>
      </left>
      <right style="hair">
        <color indexed="64"/>
      </right>
      <top style="hair">
        <color indexed="64"/>
      </top>
      <bottom style="thick">
        <color indexed="62"/>
      </bottom>
      <diagonal/>
    </border>
    <border>
      <left/>
      <right/>
      <top style="hair">
        <color indexed="64"/>
      </top>
      <bottom style="thick">
        <color indexed="62"/>
      </bottom>
      <diagonal/>
    </border>
    <border>
      <left/>
      <right style="thin">
        <color indexed="64"/>
      </right>
      <top style="hair">
        <color indexed="64"/>
      </top>
      <bottom style="thick">
        <color indexed="62"/>
      </bottom>
      <diagonal/>
    </border>
    <border>
      <left style="thin">
        <color indexed="64"/>
      </left>
      <right style="hair">
        <color indexed="64"/>
      </right>
      <top style="thin">
        <color indexed="64"/>
      </top>
      <bottom style="thick">
        <color indexed="62"/>
      </bottom>
      <diagonal/>
    </border>
    <border>
      <left/>
      <right style="thin">
        <color indexed="64"/>
      </right>
      <top/>
      <bottom style="thin">
        <color indexed="64"/>
      </bottom>
      <diagonal/>
    </border>
    <border>
      <left/>
      <right style="thick">
        <color indexed="62"/>
      </right>
      <top style="thin">
        <color indexed="64"/>
      </top>
      <bottom style="hair">
        <color indexed="64"/>
      </bottom>
      <diagonal/>
    </border>
    <border>
      <left style="hair">
        <color indexed="64"/>
      </left>
      <right/>
      <top/>
      <bottom style="medium">
        <color rgb="FF00B050"/>
      </bottom>
      <diagonal/>
    </border>
    <border>
      <left/>
      <right/>
      <top/>
      <bottom style="medium">
        <color rgb="FF00B050"/>
      </bottom>
      <diagonal/>
    </border>
    <border>
      <left/>
      <right/>
      <top style="thin">
        <color indexed="64"/>
      </top>
      <bottom style="medium">
        <color rgb="FF00B050"/>
      </bottom>
      <diagonal/>
    </border>
    <border>
      <left/>
      <right style="thin">
        <color indexed="64"/>
      </right>
      <top/>
      <bottom style="medium">
        <color rgb="FF00B050"/>
      </bottom>
      <diagonal/>
    </border>
    <border>
      <left/>
      <right style="thin">
        <color indexed="64"/>
      </right>
      <top style="thin">
        <color indexed="64"/>
      </top>
      <bottom/>
      <diagonal/>
    </border>
    <border>
      <left/>
      <right/>
      <top style="thin">
        <color indexed="64"/>
      </top>
      <bottom/>
      <diagonal/>
    </border>
    <border>
      <left style="thick">
        <color indexed="62"/>
      </left>
      <right/>
      <top/>
      <bottom style="hair">
        <color indexed="64"/>
      </bottom>
      <diagonal/>
    </border>
    <border>
      <left style="thick">
        <color indexed="62"/>
      </left>
      <right/>
      <top style="hair">
        <color indexed="64"/>
      </top>
      <bottom style="thick">
        <color indexed="62"/>
      </bottom>
      <diagonal/>
    </border>
    <border>
      <left style="hair">
        <color indexed="64"/>
      </left>
      <right style="thick">
        <color indexed="62"/>
      </right>
      <top/>
      <bottom style="thin">
        <color indexed="64"/>
      </bottom>
      <diagonal/>
    </border>
  </borders>
  <cellStyleXfs count="3">
    <xf numFmtId="0" fontId="0" fillId="0" borderId="0"/>
    <xf numFmtId="0" fontId="8" fillId="0" borderId="0" applyNumberFormat="0" applyFill="0" applyBorder="0" applyAlignment="0" applyProtection="0">
      <alignment vertical="top"/>
      <protection locked="0"/>
    </xf>
    <xf numFmtId="43" fontId="2" fillId="0" borderId="0" applyFont="0" applyFill="0" applyBorder="0" applyAlignment="0" applyProtection="0"/>
  </cellStyleXfs>
  <cellXfs count="1385">
    <xf numFmtId="0" fontId="0" fillId="0" borderId="0" xfId="0"/>
    <xf numFmtId="0" fontId="0" fillId="0" borderId="0" xfId="0" applyAlignment="1">
      <alignment horizontal="center"/>
    </xf>
    <xf numFmtId="0" fontId="0" fillId="2" borderId="0" xfId="0" applyFill="1" applyAlignment="1">
      <alignment horizontal="center"/>
    </xf>
    <xf numFmtId="164" fontId="0" fillId="0" borderId="0" xfId="0" applyNumberFormat="1" applyAlignment="1">
      <alignment horizontal="center"/>
    </xf>
    <xf numFmtId="0" fontId="3" fillId="0" borderId="0" xfId="0" applyFont="1" applyAlignment="1">
      <alignment horizontal="center"/>
    </xf>
    <xf numFmtId="165" fontId="0" fillId="0" borderId="0" xfId="0" applyNumberFormat="1"/>
    <xf numFmtId="165" fontId="0" fillId="0" borderId="0" xfId="0" applyNumberFormat="1" applyFill="1"/>
    <xf numFmtId="0" fontId="0" fillId="3" borderId="1" xfId="0" applyFill="1" applyBorder="1" applyAlignment="1">
      <alignment horizontal="center"/>
    </xf>
    <xf numFmtId="0" fontId="0" fillId="0" borderId="0" xfId="0" applyFill="1"/>
    <xf numFmtId="11" fontId="0" fillId="2" borderId="0" xfId="0" applyNumberFormat="1" applyFill="1"/>
    <xf numFmtId="0" fontId="0" fillId="0" borderId="0" xfId="0" applyNumberFormat="1"/>
    <xf numFmtId="0" fontId="0" fillId="4" borderId="0" xfId="0" applyFill="1"/>
    <xf numFmtId="0" fontId="31" fillId="0" borderId="0" xfId="0" applyFont="1"/>
    <xf numFmtId="0" fontId="32" fillId="0" borderId="0" xfId="0" applyFont="1"/>
    <xf numFmtId="0" fontId="33" fillId="0" borderId="0" xfId="0" applyFont="1" applyFill="1"/>
    <xf numFmtId="0" fontId="0" fillId="0" borderId="0" xfId="0" applyAlignment="1">
      <alignment vertical="center"/>
    </xf>
    <xf numFmtId="0" fontId="0" fillId="5" borderId="0" xfId="0" applyFill="1" applyAlignment="1">
      <alignment horizontal="center"/>
    </xf>
    <xf numFmtId="0" fontId="0" fillId="5" borderId="0" xfId="0" applyFill="1"/>
    <xf numFmtId="0" fontId="0" fillId="5" borderId="0" xfId="0" applyFill="1" applyBorder="1"/>
    <xf numFmtId="165" fontId="0" fillId="5" borderId="0" xfId="0" applyNumberFormat="1" applyFill="1" applyAlignment="1">
      <alignment horizontal="center"/>
    </xf>
    <xf numFmtId="0" fontId="0" fillId="3" borderId="2" xfId="0" applyFill="1" applyBorder="1" applyAlignment="1">
      <alignment horizontal="center"/>
    </xf>
    <xf numFmtId="0" fontId="24" fillId="0" borderId="0" xfId="0" applyFont="1" applyFill="1"/>
    <xf numFmtId="11" fontId="0" fillId="5" borderId="0" xfId="0" applyNumberFormat="1" applyFill="1" applyBorder="1" applyAlignment="1" applyProtection="1">
      <alignment vertical="center"/>
      <protection hidden="1"/>
    </xf>
    <xf numFmtId="0" fontId="2" fillId="5" borderId="0" xfId="0" applyNumberFormat="1" applyFont="1" applyFill="1" applyBorder="1" applyAlignment="1">
      <alignment horizontal="center" vertical="center"/>
    </xf>
    <xf numFmtId="0" fontId="2" fillId="0" borderId="0" xfId="0" applyFont="1"/>
    <xf numFmtId="0" fontId="3" fillId="6" borderId="3" xfId="0" applyFont="1" applyFill="1" applyBorder="1" applyAlignment="1" applyProtection="1">
      <alignment horizontal="left" vertical="center"/>
      <protection hidden="1"/>
    </xf>
    <xf numFmtId="0" fontId="0" fillId="2" borderId="0" xfId="0" applyFill="1"/>
    <xf numFmtId="0" fontId="13" fillId="6" borderId="4" xfId="0" applyFont="1" applyFill="1" applyBorder="1" applyAlignment="1">
      <alignment vertical="center"/>
    </xf>
    <xf numFmtId="0" fontId="13" fillId="6" borderId="0" xfId="0" applyFont="1" applyFill="1" applyBorder="1" applyAlignment="1">
      <alignment vertical="center"/>
    </xf>
    <xf numFmtId="0" fontId="0" fillId="2" borderId="0" xfId="0" applyFill="1" applyAlignment="1">
      <alignment vertical="center"/>
    </xf>
    <xf numFmtId="0" fontId="3" fillId="6" borderId="6" xfId="0" applyFont="1" applyFill="1" applyBorder="1" applyAlignment="1">
      <alignment horizontal="center" vertical="center" wrapText="1"/>
    </xf>
    <xf numFmtId="0" fontId="3" fillId="6" borderId="7" xfId="0" applyFont="1" applyFill="1" applyBorder="1" applyAlignment="1">
      <alignment horizontal="center" vertical="center" wrapText="1"/>
    </xf>
    <xf numFmtId="0" fontId="0" fillId="3" borderId="8" xfId="0" applyFill="1" applyBorder="1" applyAlignment="1">
      <alignment horizontal="centerContinuous" vertical="center"/>
    </xf>
    <xf numFmtId="49" fontId="53" fillId="3" borderId="10" xfId="0" applyNumberFormat="1" applyFont="1" applyFill="1" applyBorder="1" applyAlignment="1">
      <alignment horizontal="center"/>
    </xf>
    <xf numFmtId="11" fontId="0" fillId="5" borderId="5" xfId="0" applyNumberFormat="1" applyFill="1" applyBorder="1" applyAlignment="1" applyProtection="1">
      <alignment vertical="center"/>
      <protection hidden="1"/>
    </xf>
    <xf numFmtId="49" fontId="53" fillId="3" borderId="11" xfId="0" applyNumberFormat="1" applyFont="1" applyFill="1" applyBorder="1" applyAlignment="1">
      <alignment horizontal="center"/>
    </xf>
    <xf numFmtId="49" fontId="53" fillId="3" borderId="13" xfId="0" applyNumberFormat="1" applyFont="1" applyFill="1" applyBorder="1" applyAlignment="1">
      <alignment horizontal="center"/>
    </xf>
    <xf numFmtId="11" fontId="0" fillId="5" borderId="2" xfId="0" applyNumberFormat="1" applyFill="1" applyBorder="1" applyAlignment="1" applyProtection="1">
      <alignment vertical="center"/>
      <protection hidden="1"/>
    </xf>
    <xf numFmtId="166" fontId="2" fillId="5" borderId="14" xfId="0" applyNumberFormat="1" applyFont="1" applyFill="1" applyBorder="1" applyAlignment="1">
      <alignment horizontal="center" vertical="center"/>
    </xf>
    <xf numFmtId="49" fontId="0" fillId="0" borderId="15" xfId="0" applyNumberFormat="1" applyFill="1" applyBorder="1" applyAlignment="1">
      <alignment horizontal="center" vertical="top" wrapText="1"/>
    </xf>
    <xf numFmtId="49" fontId="0" fillId="0" borderId="16" xfId="0" applyNumberFormat="1" applyFill="1" applyBorder="1" applyAlignment="1">
      <alignment horizontal="center" vertical="top" wrapText="1"/>
    </xf>
    <xf numFmtId="166" fontId="2" fillId="5" borderId="18" xfId="0" applyNumberFormat="1" applyFont="1" applyFill="1" applyBorder="1" applyAlignment="1">
      <alignment horizontal="center" vertical="center"/>
    </xf>
    <xf numFmtId="0" fontId="9" fillId="6" borderId="19" xfId="0" applyFont="1" applyFill="1" applyBorder="1" applyAlignment="1">
      <alignment horizontal="center" vertical="center"/>
    </xf>
    <xf numFmtId="1" fontId="9" fillId="0" borderId="20" xfId="0" applyNumberFormat="1" applyFont="1" applyFill="1" applyBorder="1" applyAlignment="1">
      <alignment horizontal="center" vertical="center"/>
    </xf>
    <xf numFmtId="1" fontId="9" fillId="0" borderId="21" xfId="0" applyNumberFormat="1" applyFont="1" applyFill="1" applyBorder="1" applyAlignment="1">
      <alignment horizontal="center" vertical="center"/>
    </xf>
    <xf numFmtId="0" fontId="0" fillId="3" borderId="19" xfId="0" applyFill="1" applyBorder="1" applyAlignment="1">
      <alignment horizontal="center" vertical="center"/>
    </xf>
    <xf numFmtId="165" fontId="0" fillId="2" borderId="23" xfId="0" applyNumberFormat="1" applyFill="1" applyBorder="1" applyAlignment="1">
      <alignment horizontal="center" vertical="center"/>
    </xf>
    <xf numFmtId="0" fontId="3" fillId="6" borderId="6" xfId="0" applyFont="1" applyFill="1" applyBorder="1" applyAlignment="1">
      <alignment horizontal="center" vertical="center"/>
    </xf>
    <xf numFmtId="0" fontId="3" fillId="6" borderId="24" xfId="0" applyFont="1" applyFill="1" applyBorder="1" applyAlignment="1">
      <alignment horizontal="left" vertical="center"/>
    </xf>
    <xf numFmtId="0" fontId="50" fillId="6" borderId="25" xfId="0" applyFont="1" applyFill="1" applyBorder="1" applyAlignment="1">
      <alignment horizontal="center" vertical="center"/>
    </xf>
    <xf numFmtId="0" fontId="50" fillId="2" borderId="0" xfId="0" applyFont="1" applyFill="1" applyAlignment="1">
      <alignment vertical="center"/>
    </xf>
    <xf numFmtId="0" fontId="0" fillId="3" borderId="26" xfId="0" applyFill="1" applyBorder="1" applyAlignment="1">
      <alignment horizontal="centerContinuous" vertical="center"/>
    </xf>
    <xf numFmtId="0" fontId="2" fillId="5" borderId="27" xfId="0" applyNumberFormat="1" applyFont="1" applyFill="1" applyBorder="1" applyAlignment="1">
      <alignment horizontal="center" vertical="center"/>
    </xf>
    <xf numFmtId="0" fontId="0" fillId="3" borderId="26" xfId="0" applyFill="1" applyBorder="1" applyAlignment="1">
      <alignment horizontal="center" vertical="center"/>
    </xf>
    <xf numFmtId="165" fontId="0" fillId="7" borderId="28" xfId="0" applyNumberFormat="1" applyFill="1" applyBorder="1" applyAlignment="1">
      <alignment horizontal="center" vertical="center"/>
    </xf>
    <xf numFmtId="0" fontId="50" fillId="2" borderId="29" xfId="0" applyFont="1" applyFill="1" applyBorder="1" applyAlignment="1">
      <alignment vertical="center"/>
    </xf>
    <xf numFmtId="0" fontId="50" fillId="2" borderId="0" xfId="0" applyFont="1" applyFill="1" applyBorder="1" applyAlignment="1">
      <alignment vertical="center"/>
    </xf>
    <xf numFmtId="0" fontId="0" fillId="2" borderId="0" xfId="0" applyFill="1" applyBorder="1"/>
    <xf numFmtId="0" fontId="0" fillId="2" borderId="29" xfId="0" applyFill="1" applyBorder="1"/>
    <xf numFmtId="0" fontId="0" fillId="2" borderId="0" xfId="0" applyFill="1" applyBorder="1" applyAlignment="1">
      <alignment horizontal="center"/>
    </xf>
    <xf numFmtId="165" fontId="0" fillId="2" borderId="0" xfId="0" applyNumberFormat="1" applyFill="1"/>
    <xf numFmtId="0" fontId="13" fillId="6" borderId="24" xfId="0" applyFont="1" applyFill="1" applyBorder="1" applyAlignment="1">
      <alignment horizontal="left" vertical="center"/>
    </xf>
    <xf numFmtId="0" fontId="13" fillId="6" borderId="30" xfId="0" applyFont="1" applyFill="1" applyBorder="1" applyAlignment="1">
      <alignment horizontal="left" vertical="center"/>
    </xf>
    <xf numFmtId="0" fontId="17" fillId="6" borderId="30" xfId="0" applyFont="1" applyFill="1" applyBorder="1" applyAlignment="1">
      <alignment horizontal="left" vertical="center"/>
    </xf>
    <xf numFmtId="0" fontId="18" fillId="6" borderId="0" xfId="0" applyFont="1" applyFill="1" applyBorder="1" applyAlignment="1">
      <alignment horizontal="right" vertical="center"/>
    </xf>
    <xf numFmtId="0" fontId="3" fillId="6" borderId="31" xfId="0" applyFont="1" applyFill="1" applyBorder="1" applyAlignment="1" applyProtection="1">
      <alignment horizontal="left" vertical="center"/>
      <protection hidden="1"/>
    </xf>
    <xf numFmtId="0" fontId="0" fillId="6" borderId="31" xfId="0" applyFill="1" applyBorder="1" applyAlignment="1" applyProtection="1">
      <alignment horizontal="center" vertical="center"/>
      <protection hidden="1"/>
    </xf>
    <xf numFmtId="169" fontId="0" fillId="6" borderId="31" xfId="0" applyNumberFormat="1" applyFill="1" applyBorder="1" applyAlignment="1" applyProtection="1">
      <alignment horizontal="left" vertical="center"/>
      <protection hidden="1"/>
    </xf>
    <xf numFmtId="0" fontId="0" fillId="6" borderId="30" xfId="0" applyFill="1" applyBorder="1" applyAlignment="1">
      <alignment vertical="center"/>
    </xf>
    <xf numFmtId="0" fontId="0" fillId="6" borderId="32" xfId="0" applyFill="1" applyBorder="1" applyAlignment="1">
      <alignment vertical="center"/>
    </xf>
    <xf numFmtId="166" fontId="0" fillId="5" borderId="0" xfId="0" applyNumberFormat="1" applyFill="1" applyBorder="1" applyAlignment="1">
      <alignment horizontal="center" vertical="center"/>
    </xf>
    <xf numFmtId="166" fontId="0" fillId="5" borderId="12" xfId="0" applyNumberFormat="1" applyFill="1" applyBorder="1" applyAlignment="1">
      <alignment horizontal="center" vertical="center"/>
    </xf>
    <xf numFmtId="49" fontId="2" fillId="3" borderId="10" xfId="0" applyNumberFormat="1" applyFont="1" applyFill="1" applyBorder="1" applyAlignment="1">
      <alignment horizontal="center"/>
    </xf>
    <xf numFmtId="165" fontId="0" fillId="5" borderId="0" xfId="0" applyNumberFormat="1" applyFill="1" applyBorder="1" applyAlignment="1">
      <alignment horizontal="center" vertical="center"/>
    </xf>
    <xf numFmtId="165" fontId="0" fillId="5" borderId="12" xfId="0" applyNumberFormat="1" applyFill="1" applyBorder="1" applyAlignment="1">
      <alignment horizontal="center" vertical="center"/>
    </xf>
    <xf numFmtId="49" fontId="2" fillId="3" borderId="11" xfId="0" applyNumberFormat="1" applyFont="1" applyFill="1" applyBorder="1" applyAlignment="1">
      <alignment horizontal="center"/>
    </xf>
    <xf numFmtId="165" fontId="0" fillId="5" borderId="2" xfId="0" applyNumberFormat="1" applyFill="1" applyBorder="1" applyAlignment="1">
      <alignment horizontal="center" vertical="center"/>
    </xf>
    <xf numFmtId="11" fontId="0" fillId="5" borderId="34" xfId="0" applyNumberFormat="1" applyFill="1" applyBorder="1" applyAlignment="1">
      <alignment horizontal="center" vertical="center"/>
    </xf>
    <xf numFmtId="165" fontId="2" fillId="6" borderId="25" xfId="0" applyNumberFormat="1" applyFont="1" applyFill="1" applyBorder="1" applyAlignment="1">
      <alignment horizontal="left" vertical="center"/>
    </xf>
    <xf numFmtId="165" fontId="2" fillId="6" borderId="25" xfId="0" applyNumberFormat="1" applyFont="1" applyFill="1" applyBorder="1" applyAlignment="1">
      <alignment horizontal="right" vertical="center"/>
    </xf>
    <xf numFmtId="164" fontId="0" fillId="2" borderId="0" xfId="0" applyNumberFormat="1" applyFill="1"/>
    <xf numFmtId="2" fontId="0" fillId="5" borderId="0" xfId="0" applyNumberFormat="1" applyFill="1" applyBorder="1" applyAlignment="1">
      <alignment horizontal="center" vertical="center"/>
    </xf>
    <xf numFmtId="164" fontId="58" fillId="2" borderId="0" xfId="0" applyNumberFormat="1" applyFont="1" applyFill="1" applyAlignment="1">
      <alignment horizontal="center"/>
    </xf>
    <xf numFmtId="164" fontId="58" fillId="2" borderId="0" xfId="0" applyNumberFormat="1" applyFont="1" applyFill="1"/>
    <xf numFmtId="169" fontId="0" fillId="2" borderId="0" xfId="0" applyNumberFormat="1" applyFill="1"/>
    <xf numFmtId="0" fontId="0" fillId="6" borderId="5" xfId="0" applyFill="1" applyBorder="1" applyAlignment="1">
      <alignment vertical="center"/>
    </xf>
    <xf numFmtId="0" fontId="0" fillId="3" borderId="16" xfId="0" applyNumberFormat="1" applyFill="1" applyBorder="1" applyAlignment="1">
      <alignment horizontal="center" vertical="center" wrapText="1"/>
    </xf>
    <xf numFmtId="49" fontId="48" fillId="8" borderId="0" xfId="0" applyNumberFormat="1" applyFont="1" applyFill="1" applyBorder="1" applyAlignment="1">
      <alignment horizontal="right" vertical="center"/>
    </xf>
    <xf numFmtId="0" fontId="48" fillId="8" borderId="0" xfId="0" applyFont="1" applyFill="1" applyBorder="1" applyAlignment="1">
      <alignment vertical="center"/>
    </xf>
    <xf numFmtId="0" fontId="49" fillId="8" borderId="0" xfId="0" applyNumberFormat="1" applyFont="1" applyFill="1" applyBorder="1" applyAlignment="1">
      <alignment vertical="center"/>
    </xf>
    <xf numFmtId="0" fontId="0" fillId="6" borderId="35" xfId="0" applyFill="1" applyBorder="1" applyAlignment="1">
      <alignment horizontal="center"/>
    </xf>
    <xf numFmtId="0" fontId="0" fillId="3" borderId="35" xfId="0" applyFill="1" applyBorder="1" applyAlignment="1">
      <alignment horizontal="center"/>
    </xf>
    <xf numFmtId="0" fontId="2" fillId="3" borderId="37" xfId="0" applyFont="1" applyFill="1" applyBorder="1" applyAlignment="1">
      <alignment horizontal="center"/>
    </xf>
    <xf numFmtId="0" fontId="0" fillId="2" borderId="0" xfId="0" applyNumberFormat="1" applyFill="1"/>
    <xf numFmtId="0" fontId="2" fillId="2" borderId="0" xfId="0" applyFont="1" applyFill="1"/>
    <xf numFmtId="0" fontId="0" fillId="3" borderId="25" xfId="0" applyFill="1" applyBorder="1" applyAlignment="1">
      <alignment horizontal="left" vertical="center"/>
    </xf>
    <xf numFmtId="0" fontId="0" fillId="3" borderId="25" xfId="0" applyFill="1" applyBorder="1" applyAlignment="1">
      <alignment horizontal="center" vertical="center"/>
    </xf>
    <xf numFmtId="49" fontId="0" fillId="3" borderId="25" xfId="0" applyNumberFormat="1" applyFill="1" applyBorder="1" applyAlignment="1">
      <alignment horizontal="left" vertical="center"/>
    </xf>
    <xf numFmtId="0" fontId="2" fillId="5" borderId="18" xfId="0" applyNumberFormat="1" applyFont="1" applyFill="1" applyBorder="1" applyAlignment="1">
      <alignment horizontal="center" vertical="center"/>
    </xf>
    <xf numFmtId="0" fontId="0" fillId="6" borderId="1" xfId="0" applyFill="1" applyBorder="1" applyAlignment="1">
      <alignment horizontal="center"/>
    </xf>
    <xf numFmtId="0" fontId="0" fillId="6" borderId="25" xfId="0" applyFill="1" applyBorder="1" applyAlignment="1">
      <alignment horizontal="center"/>
    </xf>
    <xf numFmtId="0" fontId="0" fillId="6" borderId="0" xfId="0" applyFill="1" applyBorder="1" applyAlignment="1" applyProtection="1">
      <alignment horizontal="left" vertical="center"/>
      <protection hidden="1"/>
    </xf>
    <xf numFmtId="166" fontId="0" fillId="5" borderId="38" xfId="0" applyNumberFormat="1" applyFill="1" applyBorder="1" applyAlignment="1" applyProtection="1">
      <alignment horizontal="center" vertical="center"/>
      <protection hidden="1"/>
    </xf>
    <xf numFmtId="166" fontId="0" fillId="5" borderId="39" xfId="0" applyNumberFormat="1" applyFill="1" applyBorder="1" applyAlignment="1" applyProtection="1">
      <alignment horizontal="center" vertical="center"/>
      <protection hidden="1"/>
    </xf>
    <xf numFmtId="49" fontId="53" fillId="3" borderId="43" xfId="0" applyNumberFormat="1" applyFont="1" applyFill="1" applyBorder="1" applyAlignment="1">
      <alignment horizontal="center"/>
    </xf>
    <xf numFmtId="166" fontId="0" fillId="5" borderId="42" xfId="0" applyNumberFormat="1" applyFill="1" applyBorder="1" applyAlignment="1" applyProtection="1">
      <alignment horizontal="center" vertical="center"/>
      <protection hidden="1"/>
    </xf>
    <xf numFmtId="166" fontId="0" fillId="5" borderId="0" xfId="0" applyNumberFormat="1" applyFill="1" applyBorder="1" applyAlignment="1" applyProtection="1">
      <alignment horizontal="center" vertical="center"/>
      <protection hidden="1"/>
    </xf>
    <xf numFmtId="166" fontId="0" fillId="5" borderId="12" xfId="0" applyNumberFormat="1" applyFill="1" applyBorder="1" applyAlignment="1" applyProtection="1">
      <alignment horizontal="center" vertical="center"/>
      <protection hidden="1"/>
    </xf>
    <xf numFmtId="166" fontId="0" fillId="5" borderId="5" xfId="0" applyNumberFormat="1" applyFill="1" applyBorder="1" applyAlignment="1" applyProtection="1">
      <alignment horizontal="center" vertical="center"/>
      <protection hidden="1"/>
    </xf>
    <xf numFmtId="166" fontId="0" fillId="5" borderId="5" xfId="0" applyNumberFormat="1" applyFill="1" applyBorder="1" applyAlignment="1">
      <alignment horizontal="center" vertical="center"/>
    </xf>
    <xf numFmtId="0" fontId="5" fillId="3" borderId="2" xfId="0" applyFont="1" applyFill="1" applyBorder="1" applyAlignment="1">
      <alignment horizontal="center" vertical="center"/>
    </xf>
    <xf numFmtId="0" fontId="5" fillId="3" borderId="52" xfId="0" applyFont="1" applyFill="1" applyBorder="1" applyAlignment="1">
      <alignment horizontal="center" vertical="center"/>
    </xf>
    <xf numFmtId="0" fontId="0" fillId="2" borderId="0" xfId="0" applyFill="1" applyAlignment="1" applyProtection="1">
      <alignment vertical="center"/>
      <protection hidden="1"/>
    </xf>
    <xf numFmtId="0" fontId="3" fillId="6" borderId="57" xfId="0" applyFont="1" applyFill="1" applyBorder="1" applyAlignment="1">
      <alignment horizontal="left" vertical="top"/>
    </xf>
    <xf numFmtId="0" fontId="3" fillId="6" borderId="58" xfId="0" applyFont="1" applyFill="1" applyBorder="1" applyAlignment="1">
      <alignment horizontal="left" vertical="top"/>
    </xf>
    <xf numFmtId="0" fontId="0" fillId="3" borderId="61" xfId="0" applyFill="1" applyBorder="1" applyAlignment="1">
      <alignment horizontal="center" vertical="center"/>
    </xf>
    <xf numFmtId="0" fontId="0" fillId="2" borderId="0" xfId="0" applyFill="1" applyAlignment="1"/>
    <xf numFmtId="11" fontId="0" fillId="2" borderId="0" xfId="0" applyNumberFormat="1" applyFill="1" applyBorder="1" applyAlignment="1">
      <alignment horizontal="center"/>
    </xf>
    <xf numFmtId="0" fontId="50" fillId="2" borderId="0" xfId="0" applyFont="1" applyFill="1" applyBorder="1" applyAlignment="1"/>
    <xf numFmtId="0" fontId="50" fillId="2" borderId="0" xfId="0" applyFont="1" applyFill="1" applyBorder="1"/>
    <xf numFmtId="0" fontId="3" fillId="3" borderId="35" xfId="0" applyFont="1" applyFill="1" applyBorder="1" applyAlignment="1">
      <alignment horizontal="center"/>
    </xf>
    <xf numFmtId="165" fontId="50" fillId="5" borderId="0" xfId="0" applyNumberFormat="1" applyFont="1" applyFill="1" applyAlignment="1">
      <alignment horizontal="center"/>
    </xf>
    <xf numFmtId="166" fontId="0" fillId="5" borderId="0" xfId="0" applyNumberFormat="1" applyFill="1" applyAlignment="1">
      <alignment horizontal="center"/>
    </xf>
    <xf numFmtId="11" fontId="0" fillId="5" borderId="0" xfId="0" applyNumberFormat="1" applyFill="1" applyAlignment="1">
      <alignment horizontal="center"/>
    </xf>
    <xf numFmtId="164" fontId="0" fillId="5" borderId="0" xfId="0" applyNumberFormat="1" applyFill="1" applyAlignment="1">
      <alignment horizontal="center"/>
    </xf>
    <xf numFmtId="165" fontId="0" fillId="8" borderId="29" xfId="0" applyNumberFormat="1" applyFill="1" applyBorder="1"/>
    <xf numFmtId="0" fontId="0" fillId="3" borderId="0" xfId="0" applyFill="1" applyBorder="1"/>
    <xf numFmtId="166" fontId="0" fillId="2" borderId="0" xfId="0" applyNumberFormat="1" applyFill="1"/>
    <xf numFmtId="165" fontId="0" fillId="2" borderId="0" xfId="0" applyNumberFormat="1" applyFill="1" applyAlignment="1">
      <alignment horizontal="center"/>
    </xf>
    <xf numFmtId="165" fontId="3" fillId="3" borderId="35" xfId="0" applyNumberFormat="1" applyFont="1" applyFill="1" applyBorder="1" applyAlignment="1">
      <alignment horizontal="center"/>
    </xf>
    <xf numFmtId="166" fontId="0" fillId="5" borderId="0" xfId="0" applyNumberFormat="1" applyFill="1"/>
    <xf numFmtId="164" fontId="0" fillId="5" borderId="0" xfId="0" applyNumberFormat="1" applyFill="1"/>
    <xf numFmtId="0" fontId="0" fillId="3" borderId="0" xfId="0" applyFill="1" applyBorder="1" applyAlignment="1">
      <alignment vertical="center"/>
    </xf>
    <xf numFmtId="0" fontId="0" fillId="3" borderId="16" xfId="0" applyFill="1" applyBorder="1" applyAlignment="1">
      <alignment horizontal="center" vertical="justify" wrapText="1"/>
    </xf>
    <xf numFmtId="0" fontId="0" fillId="2" borderId="0" xfId="0" applyFill="1" applyAlignment="1">
      <alignment vertical="justify"/>
    </xf>
    <xf numFmtId="0" fontId="0" fillId="0" borderId="0" xfId="0" applyAlignment="1">
      <alignment vertical="justify"/>
    </xf>
    <xf numFmtId="165" fontId="0" fillId="3" borderId="2" xfId="0" applyNumberFormat="1" applyFill="1" applyBorder="1" applyAlignment="1">
      <alignment horizontal="center" vertical="justify" wrapText="1"/>
    </xf>
    <xf numFmtId="0" fontId="0" fillId="3" borderId="2" xfId="0" applyFill="1" applyBorder="1" applyAlignment="1">
      <alignment horizontal="center" vertical="justify" wrapText="1"/>
    </xf>
    <xf numFmtId="0" fontId="0" fillId="0" borderId="0" xfId="0" applyAlignment="1">
      <alignment horizontal="center" vertical="justify" wrapText="1"/>
    </xf>
    <xf numFmtId="0" fontId="50" fillId="2" borderId="0" xfId="0" applyFont="1" applyFill="1" applyAlignment="1">
      <alignment horizontal="left"/>
    </xf>
    <xf numFmtId="0" fontId="50" fillId="2" borderId="0" xfId="0" applyFont="1" applyFill="1"/>
    <xf numFmtId="0" fontId="11" fillId="2" borderId="0" xfId="0" applyFont="1" applyFill="1" applyAlignment="1">
      <alignment horizontal="center"/>
    </xf>
    <xf numFmtId="164" fontId="0" fillId="2" borderId="0" xfId="0" applyNumberFormat="1" applyFill="1" applyAlignment="1">
      <alignment horizontal="center"/>
    </xf>
    <xf numFmtId="0" fontId="50" fillId="2" borderId="0" xfId="0" applyFont="1" applyFill="1" applyAlignment="1">
      <alignment horizontal="left" vertical="center"/>
    </xf>
    <xf numFmtId="164" fontId="0" fillId="2" borderId="0" xfId="0" applyNumberFormat="1" applyFill="1" applyAlignment="1">
      <alignment horizontal="center" vertical="center"/>
    </xf>
    <xf numFmtId="0" fontId="0" fillId="3" borderId="65" xfId="0" applyFill="1" applyBorder="1" applyAlignment="1">
      <alignment vertical="center"/>
    </xf>
    <xf numFmtId="0" fontId="0" fillId="3" borderId="66" xfId="0" applyFill="1" applyBorder="1" applyAlignment="1">
      <alignment horizontal="right" vertical="center"/>
    </xf>
    <xf numFmtId="0" fontId="3" fillId="3" borderId="7" xfId="0" applyFont="1" applyFill="1" applyBorder="1" applyAlignment="1">
      <alignment horizontal="center" vertical="center"/>
    </xf>
    <xf numFmtId="0" fontId="3" fillId="3" borderId="64" xfId="0" applyFont="1" applyFill="1" applyBorder="1" applyAlignment="1">
      <alignment horizontal="center" vertical="center"/>
    </xf>
    <xf numFmtId="164" fontId="3" fillId="3" borderId="64" xfId="0" applyNumberFormat="1" applyFont="1" applyFill="1" applyBorder="1" applyAlignment="1">
      <alignment horizontal="center" vertical="center"/>
    </xf>
    <xf numFmtId="164" fontId="3" fillId="3" borderId="67" xfId="0" applyNumberFormat="1" applyFont="1" applyFill="1" applyBorder="1" applyAlignment="1">
      <alignment horizontal="center" vertical="center"/>
    </xf>
    <xf numFmtId="0" fontId="46" fillId="2" borderId="0" xfId="0" applyFont="1" applyFill="1"/>
    <xf numFmtId="0" fontId="17" fillId="6" borderId="22" xfId="0" applyFont="1" applyFill="1" applyBorder="1" applyAlignment="1">
      <alignment horizontal="center" vertical="center"/>
    </xf>
    <xf numFmtId="164" fontId="0" fillId="6" borderId="22" xfId="0" applyNumberFormat="1" applyFill="1" applyBorder="1" applyAlignment="1">
      <alignment horizontal="center" vertical="center"/>
    </xf>
    <xf numFmtId="164" fontId="0" fillId="6" borderId="70" xfId="0" applyNumberFormat="1" applyFill="1" applyBorder="1" applyAlignment="1">
      <alignment horizontal="center" vertical="center"/>
    </xf>
    <xf numFmtId="0" fontId="0" fillId="0" borderId="0" xfId="0" applyAlignment="1">
      <alignment horizontal="center" vertical="justify"/>
    </xf>
    <xf numFmtId="0" fontId="46" fillId="2" borderId="0" xfId="0" applyFont="1" applyFill="1" applyBorder="1"/>
    <xf numFmtId="0" fontId="0" fillId="3" borderId="0" xfId="0" applyFill="1"/>
    <xf numFmtId="0" fontId="0" fillId="3" borderId="35" xfId="0" applyFill="1" applyBorder="1"/>
    <xf numFmtId="0" fontId="30" fillId="3" borderId="35" xfId="0" applyFont="1" applyFill="1" applyBorder="1" applyAlignment="1">
      <alignment horizontal="center"/>
    </xf>
    <xf numFmtId="0" fontId="25" fillId="3" borderId="35" xfId="0" applyFont="1" applyFill="1" applyBorder="1" applyAlignment="1">
      <alignment horizontal="center"/>
    </xf>
    <xf numFmtId="0" fontId="26" fillId="3" borderId="35" xfId="0" applyFont="1" applyFill="1" applyBorder="1" applyAlignment="1">
      <alignment horizontal="center"/>
    </xf>
    <xf numFmtId="0" fontId="27" fillId="3" borderId="35" xfId="0" applyFont="1" applyFill="1" applyBorder="1" applyAlignment="1">
      <alignment horizontal="center"/>
    </xf>
    <xf numFmtId="0" fontId="28" fillId="3" borderId="35" xfId="0" applyFont="1" applyFill="1" applyBorder="1" applyAlignment="1">
      <alignment horizontal="center"/>
    </xf>
    <xf numFmtId="0" fontId="29" fillId="3" borderId="35" xfId="0" applyFont="1" applyFill="1" applyBorder="1" applyAlignment="1">
      <alignment horizontal="center"/>
    </xf>
    <xf numFmtId="0" fontId="24" fillId="3" borderId="2" xfId="0" applyFont="1" applyFill="1" applyBorder="1" applyAlignment="1">
      <alignment horizontal="center"/>
    </xf>
    <xf numFmtId="165" fontId="0" fillId="5" borderId="0" xfId="0" applyNumberFormat="1" applyFill="1"/>
    <xf numFmtId="0" fontId="24" fillId="2" borderId="0" xfId="0" applyFont="1" applyFill="1"/>
    <xf numFmtId="0" fontId="46" fillId="2" borderId="73" xfId="0" applyFont="1" applyFill="1" applyBorder="1"/>
    <xf numFmtId="49" fontId="69" fillId="5" borderId="74" xfId="0" applyNumberFormat="1" applyFont="1" applyFill="1" applyBorder="1"/>
    <xf numFmtId="0" fontId="70" fillId="5" borderId="0" xfId="0" applyFont="1" applyFill="1" applyBorder="1"/>
    <xf numFmtId="0" fontId="69" fillId="5" borderId="0" xfId="0" applyFont="1" applyFill="1" applyBorder="1"/>
    <xf numFmtId="0" fontId="47" fillId="2" borderId="0" xfId="0" applyFont="1" applyFill="1" applyBorder="1"/>
    <xf numFmtId="0" fontId="69" fillId="5" borderId="74" xfId="0" applyFont="1" applyFill="1" applyBorder="1"/>
    <xf numFmtId="0" fontId="18" fillId="5" borderId="75" xfId="0" applyFont="1" applyFill="1" applyBorder="1"/>
    <xf numFmtId="0" fontId="18" fillId="5" borderId="76" xfId="0" applyFont="1" applyFill="1" applyBorder="1"/>
    <xf numFmtId="0" fontId="0" fillId="2" borderId="76" xfId="0" applyFill="1" applyBorder="1"/>
    <xf numFmtId="0" fontId="0" fillId="2" borderId="77" xfId="0" applyFill="1" applyBorder="1"/>
    <xf numFmtId="0" fontId="52" fillId="0" borderId="78" xfId="0" applyFont="1" applyFill="1" applyBorder="1" applyAlignment="1">
      <alignment horizontal="center" vertical="center"/>
    </xf>
    <xf numFmtId="0" fontId="0" fillId="3" borderId="79" xfId="0" applyFill="1" applyBorder="1" applyAlignment="1">
      <alignment horizontal="right" vertical="center"/>
    </xf>
    <xf numFmtId="165" fontId="52" fillId="0" borderId="78" xfId="0" applyNumberFormat="1" applyFont="1" applyFill="1" applyBorder="1" applyAlignment="1">
      <alignment horizontal="center" vertical="center"/>
    </xf>
    <xf numFmtId="0" fontId="52" fillId="0" borderId="85" xfId="0" applyFont="1" applyFill="1" applyBorder="1" applyAlignment="1">
      <alignment horizontal="center" vertical="center"/>
    </xf>
    <xf numFmtId="165" fontId="52" fillId="0" borderId="85" xfId="0" applyNumberFormat="1" applyFont="1" applyFill="1" applyBorder="1" applyAlignment="1">
      <alignment horizontal="center" vertical="center"/>
    </xf>
    <xf numFmtId="0" fontId="24" fillId="3" borderId="0" xfId="0" applyFont="1" applyFill="1"/>
    <xf numFmtId="0" fontId="0" fillId="6" borderId="0" xfId="0" applyFill="1"/>
    <xf numFmtId="0" fontId="31" fillId="4" borderId="0" xfId="0" applyFont="1" applyFill="1"/>
    <xf numFmtId="0" fontId="24" fillId="0" borderId="0" xfId="0" applyFont="1"/>
    <xf numFmtId="0" fontId="24" fillId="4" borderId="0" xfId="0" applyFont="1" applyFill="1"/>
    <xf numFmtId="166" fontId="0" fillId="5" borderId="45" xfId="0" applyNumberFormat="1" applyFill="1" applyBorder="1" applyAlignment="1" applyProtection="1">
      <alignment horizontal="center" vertical="center"/>
      <protection hidden="1"/>
    </xf>
    <xf numFmtId="49" fontId="0" fillId="3" borderId="8" xfId="0" applyNumberFormat="1" applyFill="1" applyBorder="1" applyAlignment="1">
      <alignment horizontal="center"/>
    </xf>
    <xf numFmtId="49" fontId="0" fillId="3" borderId="9" xfId="0" applyNumberFormat="1" applyFill="1" applyBorder="1" applyAlignment="1">
      <alignment horizontal="center"/>
    </xf>
    <xf numFmtId="49" fontId="0" fillId="3" borderId="86" xfId="0" applyNumberFormat="1" applyFill="1" applyBorder="1" applyAlignment="1">
      <alignment horizontal="center"/>
    </xf>
    <xf numFmtId="49" fontId="0" fillId="3" borderId="68" xfId="0" applyNumberFormat="1" applyFill="1" applyBorder="1" applyAlignment="1" applyProtection="1">
      <alignment horizontal="center" vertical="center" wrapText="1"/>
      <protection hidden="1"/>
    </xf>
    <xf numFmtId="49" fontId="0" fillId="3" borderId="64" xfId="0" applyNumberFormat="1" applyFill="1" applyBorder="1" applyAlignment="1" applyProtection="1">
      <alignment horizontal="center" vertical="center" wrapText="1"/>
      <protection hidden="1"/>
    </xf>
    <xf numFmtId="49" fontId="0" fillId="3" borderId="87" xfId="0" applyNumberFormat="1" applyFill="1" applyBorder="1" applyAlignment="1" applyProtection="1">
      <alignment horizontal="center" vertical="center" wrapText="1"/>
      <protection hidden="1"/>
    </xf>
    <xf numFmtId="0" fontId="3" fillId="6" borderId="62" xfId="0" applyFont="1" applyFill="1" applyBorder="1" applyAlignment="1">
      <alignment horizontal="center" vertical="center"/>
    </xf>
    <xf numFmtId="0" fontId="0" fillId="6" borderId="25" xfId="0" applyFill="1" applyBorder="1" applyAlignment="1">
      <alignment vertical="center"/>
    </xf>
    <xf numFmtId="0" fontId="3" fillId="6" borderId="25" xfId="0" applyFont="1" applyFill="1" applyBorder="1" applyAlignment="1">
      <alignment horizontal="center" vertical="center"/>
    </xf>
    <xf numFmtId="0" fontId="0" fillId="6" borderId="25" xfId="0" applyFill="1" applyBorder="1" applyAlignment="1">
      <alignment horizontal="center" vertical="center"/>
    </xf>
    <xf numFmtId="0" fontId="50" fillId="6" borderId="25" xfId="0" applyFont="1" applyFill="1" applyBorder="1" applyAlignment="1">
      <alignment horizontal="left" vertical="center"/>
    </xf>
    <xf numFmtId="0" fontId="0" fillId="6" borderId="59" xfId="0" applyFill="1" applyBorder="1" applyAlignment="1">
      <alignment horizontal="center" vertical="center"/>
    </xf>
    <xf numFmtId="166" fontId="0" fillId="5" borderId="20" xfId="0" applyNumberFormat="1" applyFill="1" applyBorder="1" applyAlignment="1">
      <alignment horizontal="center" vertical="center"/>
    </xf>
    <xf numFmtId="0" fontId="5" fillId="3" borderId="0" xfId="0" applyFont="1" applyFill="1"/>
    <xf numFmtId="0" fontId="6" fillId="5" borderId="67" xfId="0" applyFont="1" applyFill="1" applyBorder="1" applyAlignment="1">
      <alignment horizontal="center" vertical="center" wrapText="1"/>
    </xf>
    <xf numFmtId="0" fontId="0" fillId="0" borderId="4" xfId="0" applyBorder="1"/>
    <xf numFmtId="0" fontId="13" fillId="6" borderId="58" xfId="0" applyFont="1" applyFill="1" applyBorder="1" applyAlignment="1">
      <alignment horizontal="left" vertical="center"/>
    </xf>
    <xf numFmtId="0" fontId="13" fillId="6" borderId="2" xfId="0" applyFont="1" applyFill="1" applyBorder="1" applyAlignment="1">
      <alignment vertical="center"/>
    </xf>
    <xf numFmtId="0" fontId="0" fillId="2" borderId="22" xfId="0" applyFill="1" applyBorder="1"/>
    <xf numFmtId="0" fontId="37" fillId="8" borderId="0" xfId="0" applyFont="1" applyFill="1" applyBorder="1" applyAlignment="1">
      <alignment vertical="center"/>
    </xf>
    <xf numFmtId="0" fontId="6" fillId="3" borderId="35" xfId="0" applyFont="1" applyFill="1" applyBorder="1" applyAlignment="1">
      <alignment horizontal="center"/>
    </xf>
    <xf numFmtId="1" fontId="74" fillId="3" borderId="92" xfId="0" applyNumberFormat="1" applyFont="1" applyFill="1" applyBorder="1" applyAlignment="1">
      <alignment horizontal="center" vertical="center" wrapText="1"/>
    </xf>
    <xf numFmtId="49" fontId="0" fillId="3" borderId="26" xfId="0" applyNumberFormat="1" applyFill="1" applyBorder="1" applyAlignment="1">
      <alignment horizontal="center"/>
    </xf>
    <xf numFmtId="166" fontId="0" fillId="5" borderId="93" xfId="0" applyNumberFormat="1" applyFill="1" applyBorder="1" applyAlignment="1" applyProtection="1">
      <alignment horizontal="center" vertical="center"/>
      <protection hidden="1"/>
    </xf>
    <xf numFmtId="0" fontId="0" fillId="6" borderId="0" xfId="0" applyFill="1" applyBorder="1"/>
    <xf numFmtId="0" fontId="3" fillId="6" borderId="0" xfId="0" applyFont="1" applyFill="1" applyBorder="1" applyAlignment="1" applyProtection="1">
      <alignment horizontal="left" vertical="center"/>
      <protection hidden="1"/>
    </xf>
    <xf numFmtId="0" fontId="0" fillId="6" borderId="0" xfId="0" applyFill="1" applyBorder="1" applyAlignment="1" applyProtection="1">
      <alignment horizontal="center" vertical="center"/>
      <protection hidden="1"/>
    </xf>
    <xf numFmtId="0" fontId="0" fillId="6" borderId="5" xfId="0" applyFill="1" applyBorder="1"/>
    <xf numFmtId="1" fontId="74" fillId="3" borderId="2" xfId="0" applyNumberFormat="1" applyFont="1" applyFill="1" applyBorder="1" applyAlignment="1">
      <alignment horizontal="center" vertical="center" wrapText="1"/>
    </xf>
    <xf numFmtId="0" fontId="0" fillId="2" borderId="0" xfId="0" applyFill="1" applyAlignment="1">
      <alignment horizontal="left"/>
    </xf>
    <xf numFmtId="166" fontId="0" fillId="5" borderId="94" xfId="0" applyNumberFormat="1" applyFill="1" applyBorder="1" applyAlignment="1">
      <alignment horizontal="center" vertical="center"/>
    </xf>
    <xf numFmtId="0" fontId="9" fillId="3" borderId="6" xfId="0" applyFont="1" applyFill="1" applyBorder="1" applyAlignment="1">
      <alignment horizontal="center" vertical="center" wrapText="1"/>
    </xf>
    <xf numFmtId="0" fontId="9" fillId="3" borderId="95" xfId="0" applyFont="1" applyFill="1" applyBorder="1" applyAlignment="1">
      <alignment horizontal="center" vertical="center" wrapText="1"/>
    </xf>
    <xf numFmtId="0" fontId="0" fillId="3" borderId="41" xfId="0" applyFill="1" applyBorder="1" applyAlignment="1">
      <alignment horizontal="center" vertical="justify" wrapText="1"/>
    </xf>
    <xf numFmtId="0" fontId="7" fillId="8" borderId="5" xfId="0" applyFont="1" applyFill="1" applyBorder="1" applyAlignment="1">
      <alignment vertical="center"/>
    </xf>
    <xf numFmtId="166" fontId="0" fillId="5" borderId="96" xfId="0" applyNumberFormat="1" applyFill="1" applyBorder="1" applyAlignment="1">
      <alignment horizontal="center" vertical="center"/>
    </xf>
    <xf numFmtId="166" fontId="3" fillId="5" borderId="96" xfId="0" applyNumberFormat="1" applyFont="1" applyFill="1" applyBorder="1" applyAlignment="1">
      <alignment horizontal="center" vertical="center"/>
    </xf>
    <xf numFmtId="166" fontId="0" fillId="5" borderId="97" xfId="0" applyNumberFormat="1" applyFill="1" applyBorder="1" applyAlignment="1">
      <alignment horizontal="center" vertical="center"/>
    </xf>
    <xf numFmtId="165" fontId="0" fillId="5" borderId="98" xfId="0" applyNumberFormat="1" applyFill="1" applyBorder="1" applyAlignment="1">
      <alignment horizontal="center" vertical="center"/>
    </xf>
    <xf numFmtId="165" fontId="0" fillId="5" borderId="99" xfId="0" applyNumberFormat="1" applyFill="1" applyBorder="1" applyAlignment="1">
      <alignment horizontal="center"/>
    </xf>
    <xf numFmtId="0" fontId="74" fillId="3" borderId="92" xfId="0" applyNumberFormat="1" applyFont="1" applyFill="1" applyBorder="1" applyAlignment="1">
      <alignment horizontal="center" vertical="center" wrapText="1"/>
    </xf>
    <xf numFmtId="0" fontId="0" fillId="2" borderId="0" xfId="0" applyFill="1" applyBorder="1" applyAlignment="1">
      <alignment vertical="center"/>
    </xf>
    <xf numFmtId="1" fontId="74" fillId="3" borderId="41" xfId="0" applyNumberFormat="1" applyFont="1" applyFill="1" applyBorder="1" applyAlignment="1">
      <alignment horizontal="center" vertical="center" wrapText="1"/>
    </xf>
    <xf numFmtId="1" fontId="0" fillId="3" borderId="2" xfId="0" applyNumberFormat="1" applyFill="1" applyBorder="1" applyAlignment="1">
      <alignment horizontal="center" vertical="center" wrapText="1"/>
    </xf>
    <xf numFmtId="1" fontId="73" fillId="5" borderId="92" xfId="0" applyNumberFormat="1" applyFont="1" applyFill="1" applyBorder="1" applyAlignment="1">
      <alignment horizontal="center" vertical="center"/>
    </xf>
    <xf numFmtId="165" fontId="0" fillId="5" borderId="42" xfId="2" applyNumberFormat="1" applyFont="1" applyFill="1" applyBorder="1" applyAlignment="1">
      <alignment horizontal="center" vertical="center"/>
    </xf>
    <xf numFmtId="165" fontId="0" fillId="5" borderId="0" xfId="2" applyNumberFormat="1" applyFont="1" applyFill="1" applyBorder="1" applyAlignment="1">
      <alignment horizontal="center" vertical="center"/>
    </xf>
    <xf numFmtId="165" fontId="0" fillId="5" borderId="5" xfId="2" applyNumberFormat="1" applyFont="1" applyFill="1" applyBorder="1" applyAlignment="1">
      <alignment horizontal="center" vertical="center"/>
    </xf>
    <xf numFmtId="165" fontId="0" fillId="5" borderId="22" xfId="2" applyNumberFormat="1" applyFont="1" applyFill="1" applyBorder="1" applyAlignment="1">
      <alignment horizontal="center" vertical="center"/>
    </xf>
    <xf numFmtId="165" fontId="0" fillId="5" borderId="70" xfId="2" applyNumberFormat="1" applyFont="1" applyFill="1" applyBorder="1" applyAlignment="1">
      <alignment horizontal="center" vertical="center"/>
    </xf>
    <xf numFmtId="0" fontId="5" fillId="6" borderId="62" xfId="0" applyFont="1" applyFill="1" applyBorder="1" applyAlignment="1">
      <alignment horizontal="left" vertical="center"/>
    </xf>
    <xf numFmtId="1" fontId="73" fillId="5" borderId="41" xfId="0" applyNumberFormat="1" applyFont="1" applyFill="1" applyBorder="1" applyAlignment="1">
      <alignment horizontal="center" vertical="center"/>
    </xf>
    <xf numFmtId="165" fontId="0" fillId="5" borderId="38" xfId="2" applyNumberFormat="1" applyFont="1" applyFill="1" applyBorder="1" applyAlignment="1">
      <alignment horizontal="center" vertical="center"/>
    </xf>
    <xf numFmtId="0" fontId="0" fillId="3" borderId="2" xfId="0" applyFill="1" applyBorder="1" applyAlignment="1">
      <alignment horizontal="center" vertical="center" wrapText="1"/>
    </xf>
    <xf numFmtId="166" fontId="0" fillId="5" borderId="44" xfId="0" applyNumberFormat="1" applyFill="1" applyBorder="1" applyAlignment="1" applyProtection="1">
      <alignment horizontal="center" vertical="center"/>
      <protection hidden="1"/>
    </xf>
    <xf numFmtId="165" fontId="0" fillId="5" borderId="44" xfId="2" applyNumberFormat="1" applyFont="1" applyFill="1" applyBorder="1" applyAlignment="1">
      <alignment horizontal="center" vertical="center"/>
    </xf>
    <xf numFmtId="0" fontId="80" fillId="0" borderId="0" xfId="0" applyNumberFormat="1" applyFont="1" applyFill="1" applyBorder="1" applyAlignment="1">
      <alignment horizontal="center" vertical="center"/>
    </xf>
    <xf numFmtId="0" fontId="80" fillId="0" borderId="12" xfId="0" applyNumberFormat="1" applyFont="1" applyFill="1" applyBorder="1" applyAlignment="1">
      <alignment horizontal="center" vertical="center"/>
    </xf>
    <xf numFmtId="0" fontId="4" fillId="5" borderId="100" xfId="0" applyFont="1" applyFill="1" applyBorder="1" applyAlignment="1">
      <alignment horizontal="center" vertical="center"/>
    </xf>
    <xf numFmtId="0" fontId="2" fillId="0" borderId="25" xfId="0" applyNumberFormat="1" applyFont="1" applyBorder="1" applyAlignment="1">
      <alignment horizontal="center" vertical="center"/>
    </xf>
    <xf numFmtId="0" fontId="2" fillId="0" borderId="1" xfId="0" applyNumberFormat="1" applyFont="1" applyBorder="1" applyAlignment="1">
      <alignment horizontal="center" vertical="center"/>
    </xf>
    <xf numFmtId="0" fontId="81" fillId="5" borderId="44" xfId="0" applyFont="1" applyFill="1" applyBorder="1" applyAlignment="1">
      <alignment horizontal="center" vertical="center"/>
    </xf>
    <xf numFmtId="0" fontId="82" fillId="5" borderId="22" xfId="0" applyFont="1" applyFill="1" applyBorder="1" applyAlignment="1">
      <alignment horizontal="left" vertical="center"/>
    </xf>
    <xf numFmtId="0" fontId="83" fillId="5" borderId="22" xfId="0" applyFont="1" applyFill="1" applyBorder="1" applyAlignment="1">
      <alignment horizontal="center" vertical="center"/>
    </xf>
    <xf numFmtId="0" fontId="82" fillId="5" borderId="22" xfId="0" applyFont="1" applyFill="1" applyBorder="1" applyAlignment="1">
      <alignment horizontal="center" vertical="center"/>
    </xf>
    <xf numFmtId="0" fontId="84" fillId="5" borderId="22" xfId="0" applyFont="1" applyFill="1" applyBorder="1" applyAlignment="1">
      <alignment vertical="center"/>
    </xf>
    <xf numFmtId="1" fontId="73" fillId="7" borderId="92" xfId="0" applyNumberFormat="1" applyFont="1" applyFill="1" applyBorder="1" applyAlignment="1">
      <alignment horizontal="center" vertical="center"/>
    </xf>
    <xf numFmtId="165" fontId="0" fillId="7" borderId="0" xfId="2" applyNumberFormat="1" applyFont="1" applyFill="1" applyBorder="1" applyAlignment="1">
      <alignment horizontal="center" vertical="center"/>
    </xf>
    <xf numFmtId="165" fontId="0" fillId="7" borderId="39" xfId="2" applyNumberFormat="1" applyFont="1" applyFill="1" applyBorder="1" applyAlignment="1">
      <alignment horizontal="center" vertical="center"/>
    </xf>
    <xf numFmtId="165" fontId="0" fillId="7" borderId="12" xfId="2" applyNumberFormat="1" applyFont="1" applyFill="1" applyBorder="1" applyAlignment="1">
      <alignment horizontal="center" vertical="center"/>
    </xf>
    <xf numFmtId="165" fontId="0" fillId="7" borderId="2" xfId="2" applyNumberFormat="1" applyFont="1" applyFill="1" applyBorder="1" applyAlignment="1">
      <alignment horizontal="center" vertical="center"/>
    </xf>
    <xf numFmtId="165" fontId="0" fillId="7" borderId="37" xfId="2" applyNumberFormat="1" applyFont="1" applyFill="1" applyBorder="1" applyAlignment="1">
      <alignment horizontal="center" vertical="center"/>
    </xf>
    <xf numFmtId="1" fontId="74" fillId="7" borderId="92" xfId="0" applyNumberFormat="1" applyFont="1" applyFill="1" applyBorder="1" applyAlignment="1">
      <alignment horizontal="center" vertical="center" wrapText="1"/>
    </xf>
    <xf numFmtId="165" fontId="0" fillId="7" borderId="44" xfId="2" applyNumberFormat="1" applyFont="1" applyFill="1" applyBorder="1" applyAlignment="1">
      <alignment horizontal="center" vertical="center"/>
    </xf>
    <xf numFmtId="165" fontId="0" fillId="7" borderId="22" xfId="2" applyNumberFormat="1" applyFont="1" applyFill="1" applyBorder="1" applyAlignment="1">
      <alignment horizontal="center" vertical="center"/>
    </xf>
    <xf numFmtId="165" fontId="0" fillId="7" borderId="101" xfId="2" applyNumberFormat="1" applyFont="1" applyFill="1" applyBorder="1" applyAlignment="1">
      <alignment horizontal="center" vertical="center"/>
    </xf>
    <xf numFmtId="0" fontId="0" fillId="7" borderId="63" xfId="0" applyNumberFormat="1" applyFill="1" applyBorder="1" applyAlignment="1">
      <alignment horizontal="center" vertical="center"/>
    </xf>
    <xf numFmtId="165" fontId="0" fillId="7" borderId="20" xfId="0" applyNumberFormat="1" applyFill="1" applyBorder="1" applyAlignment="1">
      <alignment horizontal="center" vertical="center"/>
    </xf>
    <xf numFmtId="0" fontId="0" fillId="7" borderId="68" xfId="0" applyFill="1" applyBorder="1" applyAlignment="1">
      <alignment horizontal="center" vertical="center" wrapText="1"/>
    </xf>
    <xf numFmtId="0" fontId="0" fillId="7" borderId="64" xfId="0" applyFill="1" applyBorder="1" applyAlignment="1">
      <alignment horizontal="center" vertical="center" wrapText="1"/>
    </xf>
    <xf numFmtId="0" fontId="0" fillId="7" borderId="69" xfId="0" applyFill="1" applyBorder="1" applyAlignment="1">
      <alignment horizontal="center" vertical="center" wrapText="1"/>
    </xf>
    <xf numFmtId="0" fontId="9" fillId="7" borderId="40" xfId="0" applyNumberFormat="1" applyFont="1" applyFill="1" applyBorder="1" applyAlignment="1">
      <alignment horizontal="center" vertical="center"/>
    </xf>
    <xf numFmtId="0" fontId="9" fillId="7" borderId="16" xfId="0" applyNumberFormat="1" applyFont="1" applyFill="1" applyBorder="1" applyAlignment="1">
      <alignment horizontal="center" vertical="center"/>
    </xf>
    <xf numFmtId="0" fontId="0" fillId="6" borderId="102" xfId="0" applyFill="1" applyBorder="1" applyAlignment="1" applyProtection="1">
      <alignment horizontal="left" vertical="center"/>
      <protection hidden="1"/>
    </xf>
    <xf numFmtId="0" fontId="0" fillId="6" borderId="5" xfId="0" applyFill="1" applyBorder="1" applyAlignment="1" applyProtection="1">
      <alignment horizontal="center" vertical="center"/>
      <protection hidden="1"/>
    </xf>
    <xf numFmtId="0" fontId="18" fillId="6" borderId="74" xfId="0" applyFont="1" applyFill="1" applyBorder="1" applyAlignment="1">
      <alignment vertical="center"/>
    </xf>
    <xf numFmtId="0" fontId="68" fillId="6" borderId="0" xfId="0" applyFont="1" applyFill="1" applyBorder="1" applyAlignment="1">
      <alignment vertical="center"/>
    </xf>
    <xf numFmtId="0" fontId="18" fillId="6" borderId="0" xfId="0" applyFont="1" applyFill="1" applyBorder="1" applyAlignment="1">
      <alignment vertical="center"/>
    </xf>
    <xf numFmtId="0" fontId="46" fillId="5" borderId="4" xfId="0" applyNumberFormat="1" applyFont="1" applyFill="1" applyBorder="1" applyAlignment="1">
      <alignment horizontal="center"/>
    </xf>
    <xf numFmtId="0" fontId="13" fillId="5" borderId="0" xfId="0" applyNumberFormat="1" applyFont="1" applyFill="1" applyBorder="1" applyAlignment="1">
      <alignment horizontal="center"/>
    </xf>
    <xf numFmtId="0" fontId="46" fillId="5" borderId="5" xfId="0" applyNumberFormat="1" applyFont="1" applyFill="1" applyBorder="1" applyAlignment="1">
      <alignment horizontal="center"/>
    </xf>
    <xf numFmtId="0" fontId="0" fillId="6" borderId="4" xfId="0" applyNumberFormat="1" applyFill="1" applyBorder="1"/>
    <xf numFmtId="0" fontId="0" fillId="6" borderId="0" xfId="0" applyNumberFormat="1" applyFill="1" applyBorder="1"/>
    <xf numFmtId="0" fontId="0" fillId="6" borderId="5" xfId="0" applyNumberFormat="1" applyFill="1" applyBorder="1"/>
    <xf numFmtId="0" fontId="46" fillId="6" borderId="4" xfId="0" applyNumberFormat="1" applyFont="1" applyFill="1" applyBorder="1"/>
    <xf numFmtId="0" fontId="46" fillId="6" borderId="0" xfId="0" applyNumberFormat="1" applyFont="1" applyFill="1" applyBorder="1"/>
    <xf numFmtId="0" fontId="46" fillId="6" borderId="5" xfId="0" applyNumberFormat="1" applyFont="1" applyFill="1" applyBorder="1"/>
    <xf numFmtId="0" fontId="46" fillId="3" borderId="4" xfId="0" applyNumberFormat="1" applyFont="1" applyFill="1" applyBorder="1"/>
    <xf numFmtId="0" fontId="46" fillId="3" borderId="0" xfId="0" applyNumberFormat="1" applyFont="1" applyFill="1" applyBorder="1"/>
    <xf numFmtId="0" fontId="46" fillId="3" borderId="5" xfId="0" applyNumberFormat="1" applyFont="1" applyFill="1" applyBorder="1"/>
    <xf numFmtId="0" fontId="0" fillId="3" borderId="4" xfId="0" applyNumberFormat="1" applyFill="1" applyBorder="1"/>
    <xf numFmtId="0" fontId="18" fillId="3" borderId="0" xfId="0" applyNumberFormat="1" applyFont="1" applyFill="1" applyBorder="1" applyAlignment="1">
      <alignment horizontal="center"/>
    </xf>
    <xf numFmtId="0" fontId="0" fillId="3" borderId="5" xfId="0" applyNumberFormat="1" applyFill="1" applyBorder="1" applyAlignment="1">
      <alignment horizontal="center"/>
    </xf>
    <xf numFmtId="0" fontId="0" fillId="3" borderId="46" xfId="0" applyFill="1" applyBorder="1" applyAlignment="1">
      <alignment horizontal="center" vertical="center"/>
    </xf>
    <xf numFmtId="165" fontId="0" fillId="7" borderId="103" xfId="0" applyNumberFormat="1" applyFill="1" applyBorder="1" applyAlignment="1">
      <alignment horizontal="center" vertical="center"/>
    </xf>
    <xf numFmtId="0" fontId="3" fillId="6" borderId="55" xfId="0" applyFont="1" applyFill="1" applyBorder="1" applyAlignment="1">
      <alignment horizontal="left" vertical="center"/>
    </xf>
    <xf numFmtId="165" fontId="0" fillId="6" borderId="104" xfId="0" applyNumberFormat="1" applyFill="1" applyBorder="1" applyAlignment="1">
      <alignment horizontal="center" vertical="center"/>
    </xf>
    <xf numFmtId="0" fontId="5" fillId="6" borderId="58" xfId="0" applyFont="1" applyFill="1" applyBorder="1" applyAlignment="1">
      <alignment horizontal="left" vertical="center"/>
    </xf>
    <xf numFmtId="165" fontId="0" fillId="6" borderId="57" xfId="0" applyNumberFormat="1" applyFill="1" applyBorder="1" applyAlignment="1">
      <alignment horizontal="center" vertical="center"/>
    </xf>
    <xf numFmtId="0" fontId="86" fillId="5" borderId="62" xfId="0" applyFont="1" applyFill="1" applyBorder="1" applyAlignment="1">
      <alignment horizontal="center" vertical="center"/>
    </xf>
    <xf numFmtId="0" fontId="79" fillId="7" borderId="62" xfId="0" applyFont="1" applyFill="1" applyBorder="1" applyAlignment="1">
      <alignment horizontal="center" vertical="center"/>
    </xf>
    <xf numFmtId="0" fontId="79" fillId="7" borderId="1" xfId="0" applyFont="1" applyFill="1" applyBorder="1" applyAlignment="1">
      <alignment horizontal="center" vertical="center"/>
    </xf>
    <xf numFmtId="0" fontId="5" fillId="6" borderId="25" xfId="0" applyFont="1" applyFill="1" applyBorder="1" applyAlignment="1">
      <alignment horizontal="left" vertical="center"/>
    </xf>
    <xf numFmtId="0" fontId="0" fillId="6" borderId="2" xfId="0" applyFill="1" applyBorder="1" applyAlignment="1" applyProtection="1">
      <alignment horizontal="center" vertical="center"/>
      <protection hidden="1"/>
    </xf>
    <xf numFmtId="0" fontId="3" fillId="6" borderId="2" xfId="0" applyFont="1" applyFill="1" applyBorder="1" applyAlignment="1" applyProtection="1">
      <alignment horizontal="left" vertical="center"/>
      <protection hidden="1"/>
    </xf>
    <xf numFmtId="0" fontId="0" fillId="6" borderId="57" xfId="0" applyFill="1" applyBorder="1" applyAlignment="1" applyProtection="1">
      <alignment horizontal="center"/>
      <protection hidden="1"/>
    </xf>
    <xf numFmtId="0" fontId="0" fillId="7" borderId="67" xfId="0" applyFill="1" applyBorder="1" applyAlignment="1">
      <alignment horizontal="center" vertical="center" wrapText="1"/>
    </xf>
    <xf numFmtId="0" fontId="9" fillId="7" borderId="92" xfId="0" applyNumberFormat="1" applyFont="1" applyFill="1" applyBorder="1" applyAlignment="1">
      <alignment horizontal="center" vertical="center"/>
    </xf>
    <xf numFmtId="0" fontId="0" fillId="7" borderId="20" xfId="0" applyNumberFormat="1" applyFill="1" applyBorder="1" applyAlignment="1">
      <alignment horizontal="center" vertical="center"/>
    </xf>
    <xf numFmtId="0" fontId="0" fillId="6" borderId="4" xfId="0" applyFill="1" applyBorder="1" applyAlignment="1" applyProtection="1">
      <alignment horizontal="left" vertical="center"/>
      <protection hidden="1"/>
    </xf>
    <xf numFmtId="49" fontId="53" fillId="3" borderId="105" xfId="0" applyNumberFormat="1" applyFont="1" applyFill="1" applyBorder="1" applyAlignment="1">
      <alignment horizontal="center"/>
    </xf>
    <xf numFmtId="49" fontId="53" fillId="3" borderId="9" xfId="0" applyNumberFormat="1" applyFont="1" applyFill="1" applyBorder="1" applyAlignment="1">
      <alignment horizontal="center"/>
    </xf>
    <xf numFmtId="49" fontId="53" fillId="3" borderId="26" xfId="0" applyNumberFormat="1" applyFont="1" applyFill="1" applyBorder="1" applyAlignment="1">
      <alignment horizontal="center"/>
    </xf>
    <xf numFmtId="0" fontId="87" fillId="6" borderId="0" xfId="0" applyFont="1" applyFill="1" applyBorder="1" applyAlignment="1" applyProtection="1">
      <alignment horizontal="left" vertical="center"/>
      <protection hidden="1"/>
    </xf>
    <xf numFmtId="0" fontId="86" fillId="3" borderId="25" xfId="0" applyFont="1" applyFill="1" applyBorder="1" applyAlignment="1">
      <alignment horizontal="center" vertical="center"/>
    </xf>
    <xf numFmtId="0" fontId="79" fillId="4" borderId="62" xfId="0" applyFont="1" applyFill="1" applyBorder="1" applyAlignment="1">
      <alignment horizontal="center" vertical="center"/>
    </xf>
    <xf numFmtId="0" fontId="79" fillId="4" borderId="1" xfId="0" applyFont="1" applyFill="1" applyBorder="1" applyAlignment="1">
      <alignment horizontal="center" vertical="center"/>
    </xf>
    <xf numFmtId="165" fontId="0" fillId="3" borderId="2" xfId="0" applyNumberFormat="1" applyFill="1" applyBorder="1" applyAlignment="1">
      <alignment horizontal="center" vertical="center" wrapText="1"/>
    </xf>
    <xf numFmtId="165" fontId="3" fillId="3" borderId="2" xfId="0" applyNumberFormat="1" applyFont="1" applyFill="1" applyBorder="1" applyAlignment="1">
      <alignment horizontal="center" vertical="center" wrapText="1"/>
    </xf>
    <xf numFmtId="0" fontId="3" fillId="3" borderId="2" xfId="0" applyFont="1" applyFill="1" applyBorder="1" applyAlignment="1">
      <alignment horizontal="center" vertical="center" wrapText="1"/>
    </xf>
    <xf numFmtId="0" fontId="13" fillId="6" borderId="4" xfId="0" applyFont="1" applyFill="1" applyBorder="1" applyAlignment="1">
      <alignment horizontal="left" vertical="center"/>
    </xf>
    <xf numFmtId="0" fontId="79" fillId="2" borderId="0" xfId="0" applyFont="1" applyFill="1" applyAlignment="1">
      <alignment vertical="center"/>
    </xf>
    <xf numFmtId="0" fontId="0" fillId="3" borderId="16" xfId="0" applyFill="1" applyBorder="1" applyAlignment="1">
      <alignment horizontal="center" vertical="center" wrapText="1"/>
    </xf>
    <xf numFmtId="0" fontId="13" fillId="6" borderId="106" xfId="0" applyFont="1" applyFill="1" applyBorder="1" applyAlignment="1">
      <alignment horizontal="left" vertical="center"/>
    </xf>
    <xf numFmtId="0" fontId="13" fillId="6" borderId="4" xfId="0" applyFont="1" applyFill="1" applyBorder="1" applyAlignment="1" applyProtection="1">
      <alignment horizontal="left" vertical="center"/>
      <protection hidden="1"/>
    </xf>
    <xf numFmtId="0" fontId="91" fillId="2" borderId="0" xfId="1" applyFont="1" applyFill="1" applyAlignment="1" applyProtection="1"/>
    <xf numFmtId="0" fontId="92" fillId="2" borderId="0" xfId="1" applyFont="1" applyFill="1" applyAlignment="1" applyProtection="1"/>
    <xf numFmtId="0" fontId="87" fillId="2" borderId="0" xfId="0" applyFont="1" applyFill="1"/>
    <xf numFmtId="0" fontId="93" fillId="2" borderId="0" xfId="0" applyFont="1" applyFill="1"/>
    <xf numFmtId="0" fontId="87" fillId="5" borderId="0" xfId="0" applyFont="1" applyFill="1"/>
    <xf numFmtId="0" fontId="87" fillId="3" borderId="0" xfId="0" applyFont="1" applyFill="1"/>
    <xf numFmtId="0" fontId="24" fillId="3" borderId="0" xfId="0" applyFont="1" applyFill="1" applyAlignment="1">
      <alignment horizontal="left"/>
    </xf>
    <xf numFmtId="0" fontId="87" fillId="6" borderId="0" xfId="0" applyFont="1" applyFill="1"/>
    <xf numFmtId="49" fontId="17" fillId="4" borderId="0" xfId="0" applyNumberFormat="1" applyFont="1" applyFill="1"/>
    <xf numFmtId="0" fontId="87" fillId="4" borderId="0" xfId="0" applyFont="1" applyFill="1"/>
    <xf numFmtId="0" fontId="3" fillId="6" borderId="95" xfId="0" applyFont="1" applyFill="1" applyBorder="1" applyAlignment="1">
      <alignment horizontal="center" vertical="center" wrapText="1"/>
    </xf>
    <xf numFmtId="49" fontId="48" fillId="8" borderId="0" xfId="0" applyNumberFormat="1" applyFont="1" applyFill="1" applyBorder="1" applyAlignment="1">
      <alignment horizontal="left" vertical="center"/>
    </xf>
    <xf numFmtId="0" fontId="0" fillId="2" borderId="0" xfId="0" applyFill="1" applyBorder="1" applyAlignment="1">
      <alignment horizontal="left"/>
    </xf>
    <xf numFmtId="0" fontId="0" fillId="6" borderId="0" xfId="0" applyFill="1" applyAlignment="1">
      <alignment horizontal="center" vertical="center"/>
    </xf>
    <xf numFmtId="0" fontId="2" fillId="0" borderId="0" xfId="0" applyFont="1" applyAlignment="1">
      <alignment vertical="center"/>
    </xf>
    <xf numFmtId="0" fontId="0" fillId="6" borderId="0" xfId="0" applyFill="1" applyAlignment="1">
      <alignment horizontal="left" vertical="center"/>
    </xf>
    <xf numFmtId="0" fontId="3" fillId="6" borderId="0" xfId="0" applyFont="1" applyFill="1" applyAlignment="1">
      <alignment horizontal="left" vertical="center"/>
    </xf>
    <xf numFmtId="0" fontId="0" fillId="6" borderId="2" xfId="0" applyFill="1" applyBorder="1" applyAlignment="1">
      <alignment horizontal="center"/>
    </xf>
    <xf numFmtId="0" fontId="0" fillId="7" borderId="0" xfId="0" applyFill="1" applyAlignment="1">
      <alignment horizontal="center"/>
    </xf>
    <xf numFmtId="0" fontId="86" fillId="6" borderId="1" xfId="0" applyFont="1" applyFill="1" applyBorder="1" applyAlignment="1">
      <alignment horizontal="center" vertical="center"/>
    </xf>
    <xf numFmtId="0" fontId="2" fillId="0" borderId="0" xfId="0" applyFont="1" applyFill="1" applyAlignment="1">
      <alignment vertical="center"/>
    </xf>
    <xf numFmtId="0" fontId="0" fillId="0" borderId="0" xfId="0" applyFill="1" applyAlignment="1">
      <alignment vertical="center"/>
    </xf>
    <xf numFmtId="0" fontId="77" fillId="5" borderId="0" xfId="0" applyFont="1" applyFill="1" applyAlignment="1">
      <alignment horizontal="left" vertical="center"/>
    </xf>
    <xf numFmtId="0" fontId="0" fillId="5" borderId="0" xfId="0" applyFill="1" applyAlignment="1">
      <alignment horizontal="center" vertical="center"/>
    </xf>
    <xf numFmtId="0" fontId="0" fillId="5" borderId="0" xfId="0" applyFill="1" applyAlignment="1">
      <alignment horizontal="left"/>
    </xf>
    <xf numFmtId="0" fontId="5" fillId="5" borderId="0" xfId="0" applyFont="1" applyFill="1" applyAlignment="1">
      <alignment horizontal="left"/>
    </xf>
    <xf numFmtId="0" fontId="5" fillId="5" borderId="0" xfId="0" applyFont="1" applyFill="1" applyBorder="1" applyAlignment="1">
      <alignment horizontal="left"/>
    </xf>
    <xf numFmtId="0" fontId="0" fillId="5" borderId="0" xfId="0" applyFill="1" applyBorder="1" applyAlignment="1">
      <alignment horizontal="left"/>
    </xf>
    <xf numFmtId="0" fontId="3" fillId="5" borderId="0" xfId="0" applyFont="1" applyFill="1" applyAlignment="1">
      <alignment horizontal="left" vertical="center"/>
    </xf>
    <xf numFmtId="0" fontId="13" fillId="6" borderId="2" xfId="0" applyFont="1" applyFill="1" applyBorder="1" applyAlignment="1">
      <alignment horizontal="left" vertical="center"/>
    </xf>
    <xf numFmtId="0" fontId="75" fillId="6" borderId="35" xfId="0" applyFont="1" applyFill="1" applyBorder="1" applyAlignment="1">
      <alignment horizontal="center"/>
    </xf>
    <xf numFmtId="0" fontId="46" fillId="6" borderId="49" xfId="0" applyFont="1" applyFill="1" applyBorder="1" applyAlignment="1">
      <alignment horizontal="center"/>
    </xf>
    <xf numFmtId="0" fontId="3" fillId="6" borderId="25" xfId="0" applyFont="1" applyFill="1" applyBorder="1" applyAlignment="1">
      <alignment horizontal="right" vertical="center"/>
    </xf>
    <xf numFmtId="0" fontId="0" fillId="3" borderId="107" xfId="0" applyFill="1" applyBorder="1"/>
    <xf numFmtId="0" fontId="0" fillId="3" borderId="36" xfId="0" applyFill="1" applyBorder="1"/>
    <xf numFmtId="0" fontId="0" fillId="3" borderId="108" xfId="0" applyFill="1" applyBorder="1" applyAlignment="1">
      <alignment horizontal="center"/>
    </xf>
    <xf numFmtId="0" fontId="0" fillId="3" borderId="37" xfId="0" applyFill="1" applyBorder="1" applyAlignment="1">
      <alignment horizontal="center"/>
    </xf>
    <xf numFmtId="0" fontId="48" fillId="8" borderId="0" xfId="0" applyFont="1" applyFill="1" applyAlignment="1">
      <alignment vertical="center"/>
    </xf>
    <xf numFmtId="0" fontId="3" fillId="6" borderId="52" xfId="0" applyFont="1" applyFill="1" applyBorder="1" applyAlignment="1">
      <alignment horizontal="center" vertical="center" wrapText="1"/>
    </xf>
    <xf numFmtId="165" fontId="0" fillId="5" borderId="20" xfId="2" applyNumberFormat="1" applyFont="1" applyFill="1" applyBorder="1" applyAlignment="1">
      <alignment horizontal="center" vertical="center"/>
    </xf>
    <xf numFmtId="165" fontId="0" fillId="5" borderId="93" xfId="2" applyNumberFormat="1" applyFont="1" applyFill="1" applyBorder="1" applyAlignment="1">
      <alignment horizontal="center" vertical="center"/>
    </xf>
    <xf numFmtId="0" fontId="0" fillId="2" borderId="0" xfId="0" applyFill="1" applyBorder="1" applyAlignment="1">
      <alignment horizontal="left" vertical="center"/>
    </xf>
    <xf numFmtId="0" fontId="3" fillId="2" borderId="4" xfId="0" applyFont="1" applyFill="1" applyBorder="1" applyAlignment="1">
      <alignment horizontal="left" vertical="center"/>
    </xf>
    <xf numFmtId="165" fontId="0" fillId="2" borderId="0" xfId="0" applyNumberFormat="1" applyFill="1" applyBorder="1" applyAlignment="1">
      <alignment horizontal="center" vertical="center"/>
    </xf>
    <xf numFmtId="0" fontId="6" fillId="5" borderId="92" xfId="0" applyNumberFormat="1" applyFont="1" applyFill="1" applyBorder="1" applyAlignment="1">
      <alignment horizontal="center" vertical="center" wrapText="1"/>
    </xf>
    <xf numFmtId="0" fontId="0" fillId="2" borderId="31" xfId="0" applyFill="1" applyBorder="1" applyAlignment="1">
      <alignment vertical="center"/>
    </xf>
    <xf numFmtId="166" fontId="0" fillId="2" borderId="31" xfId="0" applyNumberFormat="1" applyFill="1" applyBorder="1" applyAlignment="1">
      <alignment horizontal="center" vertical="center"/>
    </xf>
    <xf numFmtId="165" fontId="0" fillId="2" borderId="31" xfId="2" applyNumberFormat="1" applyFont="1" applyFill="1" applyBorder="1" applyAlignment="1">
      <alignment horizontal="center" vertical="center"/>
    </xf>
    <xf numFmtId="0" fontId="32" fillId="2" borderId="55" xfId="0" applyFont="1" applyFill="1" applyBorder="1"/>
    <xf numFmtId="0" fontId="0" fillId="2" borderId="31" xfId="0" applyFill="1" applyBorder="1" applyAlignment="1" applyProtection="1">
      <alignment vertical="center"/>
      <protection hidden="1"/>
    </xf>
    <xf numFmtId="0" fontId="0" fillId="2" borderId="55" xfId="0" applyFill="1" applyBorder="1" applyAlignment="1" applyProtection="1">
      <alignment vertical="center"/>
      <protection hidden="1"/>
    </xf>
    <xf numFmtId="0" fontId="3" fillId="3" borderId="110" xfId="0" applyFont="1" applyFill="1" applyBorder="1" applyAlignment="1">
      <alignment horizontal="center" vertical="center" wrapText="1"/>
    </xf>
    <xf numFmtId="0" fontId="0" fillId="3" borderId="111" xfId="0" applyFill="1" applyBorder="1" applyAlignment="1">
      <alignment horizontal="right" vertical="center"/>
    </xf>
    <xf numFmtId="0" fontId="0" fillId="3" borderId="112" xfId="0" applyFill="1" applyBorder="1" applyAlignment="1">
      <alignment horizontal="right" vertical="center"/>
    </xf>
    <xf numFmtId="0" fontId="3" fillId="6" borderId="113" xfId="0" applyFont="1" applyFill="1" applyBorder="1" applyAlignment="1">
      <alignment horizontal="center" vertical="center"/>
    </xf>
    <xf numFmtId="0" fontId="3" fillId="6" borderId="114" xfId="0" applyFont="1" applyFill="1" applyBorder="1" applyAlignment="1">
      <alignment horizontal="center" vertical="center"/>
    </xf>
    <xf numFmtId="0" fontId="3" fillId="6" borderId="115" xfId="0" applyFont="1" applyFill="1" applyBorder="1" applyAlignment="1">
      <alignment horizontal="center" vertical="center" wrapText="1"/>
    </xf>
    <xf numFmtId="0" fontId="3" fillId="6" borderId="116" xfId="0" applyFont="1" applyFill="1" applyBorder="1" applyAlignment="1">
      <alignment horizontal="left" vertical="center"/>
    </xf>
    <xf numFmtId="0" fontId="3" fillId="6" borderId="115" xfId="0" applyFont="1" applyFill="1" applyBorder="1" applyAlignment="1">
      <alignment vertical="center"/>
    </xf>
    <xf numFmtId="0" fontId="3" fillId="3" borderId="4" xfId="0" applyFont="1" applyFill="1" applyBorder="1" applyAlignment="1">
      <alignment horizontal="left" vertical="center"/>
    </xf>
    <xf numFmtId="0" fontId="82" fillId="3" borderId="35" xfId="0" applyFont="1" applyFill="1" applyBorder="1" applyAlignment="1">
      <alignment horizontal="center"/>
    </xf>
    <xf numFmtId="0" fontId="96" fillId="3" borderId="35" xfId="0" applyFont="1" applyFill="1" applyBorder="1" applyAlignment="1">
      <alignment horizontal="center"/>
    </xf>
    <xf numFmtId="0" fontId="97" fillId="3" borderId="35" xfId="0" applyFont="1" applyFill="1" applyBorder="1" applyAlignment="1">
      <alignment horizontal="center"/>
    </xf>
    <xf numFmtId="0" fontId="98" fillId="3" borderId="35" xfId="0" applyFont="1" applyFill="1" applyBorder="1" applyAlignment="1">
      <alignment horizontal="center"/>
    </xf>
    <xf numFmtId="0" fontId="99" fillId="3" borderId="35" xfId="0" applyFont="1" applyFill="1" applyBorder="1" applyAlignment="1">
      <alignment horizontal="center"/>
    </xf>
    <xf numFmtId="0" fontId="100" fillId="3" borderId="35" xfId="0" applyFont="1" applyFill="1" applyBorder="1" applyAlignment="1">
      <alignment horizontal="center"/>
    </xf>
    <xf numFmtId="0" fontId="101" fillId="3" borderId="35" xfId="0" applyFont="1" applyFill="1" applyBorder="1" applyAlignment="1">
      <alignment horizontal="center"/>
    </xf>
    <xf numFmtId="0" fontId="17" fillId="6" borderId="90" xfId="0" applyFont="1" applyFill="1" applyBorder="1" applyAlignment="1">
      <alignment horizontal="left" vertical="center"/>
    </xf>
    <xf numFmtId="0" fontId="3" fillId="6" borderId="0" xfId="0" applyFont="1" applyFill="1" applyBorder="1" applyAlignment="1" applyProtection="1">
      <alignment horizontal="center" vertical="center"/>
      <protection hidden="1"/>
    </xf>
    <xf numFmtId="0" fontId="0" fillId="3" borderId="5" xfId="0" applyFill="1" applyBorder="1" applyAlignment="1">
      <alignment horizontal="center"/>
    </xf>
    <xf numFmtId="0" fontId="0" fillId="3" borderId="31" xfId="0" applyFill="1" applyBorder="1" applyAlignment="1">
      <alignment vertical="center"/>
    </xf>
    <xf numFmtId="0" fontId="0" fillId="3" borderId="5" xfId="0" applyFill="1" applyBorder="1"/>
    <xf numFmtId="0" fontId="4" fillId="3" borderId="120" xfId="0" applyFont="1" applyFill="1" applyBorder="1" applyAlignment="1">
      <alignment horizontal="left" vertical="center"/>
    </xf>
    <xf numFmtId="0" fontId="4" fillId="3" borderId="42" xfId="0" applyFont="1" applyFill="1" applyBorder="1" applyAlignment="1">
      <alignment horizontal="left" vertical="center"/>
    </xf>
    <xf numFmtId="0" fontId="4" fillId="3" borderId="42" xfId="0" applyFont="1" applyFill="1" applyBorder="1" applyAlignment="1">
      <alignment vertical="center"/>
    </xf>
    <xf numFmtId="0" fontId="36" fillId="8" borderId="4" xfId="0" applyFont="1" applyFill="1" applyBorder="1" applyAlignment="1">
      <alignment vertical="center"/>
    </xf>
    <xf numFmtId="0" fontId="47" fillId="6" borderId="2" xfId="0" applyFont="1" applyFill="1" applyBorder="1" applyAlignment="1">
      <alignment horizontal="left" vertical="center"/>
    </xf>
    <xf numFmtId="0" fontId="37" fillId="8" borderId="5" xfId="0" applyFont="1" applyFill="1" applyBorder="1" applyAlignment="1">
      <alignment vertical="center"/>
    </xf>
    <xf numFmtId="0" fontId="13" fillId="6" borderId="102" xfId="0" applyFont="1" applyFill="1" applyBorder="1" applyAlignment="1" applyProtection="1">
      <alignment horizontal="left" vertical="center"/>
      <protection hidden="1"/>
    </xf>
    <xf numFmtId="0" fontId="0" fillId="6" borderId="0" xfId="0" applyFill="1" applyBorder="1" applyAlignment="1" applyProtection="1">
      <alignment horizontal="center"/>
      <protection hidden="1"/>
    </xf>
    <xf numFmtId="0" fontId="0" fillId="6" borderId="5" xfId="0" applyFill="1" applyBorder="1" applyAlignment="1" applyProtection="1">
      <alignment horizontal="center"/>
      <protection hidden="1"/>
    </xf>
    <xf numFmtId="0" fontId="36" fillId="8" borderId="0" xfId="0" applyFont="1" applyFill="1" applyBorder="1" applyAlignment="1">
      <alignment horizontal="left" vertical="center"/>
    </xf>
    <xf numFmtId="0" fontId="48" fillId="8" borderId="0" xfId="0" applyFont="1" applyFill="1" applyBorder="1" applyAlignment="1">
      <alignment horizontal="left" vertical="center"/>
    </xf>
    <xf numFmtId="164" fontId="37" fillId="8" borderId="0" xfId="0" applyNumberFormat="1" applyFont="1" applyFill="1" applyBorder="1" applyAlignment="1">
      <alignment horizontal="center" vertical="center"/>
    </xf>
    <xf numFmtId="0" fontId="37" fillId="8" borderId="0" xfId="0" applyFont="1" applyFill="1" applyBorder="1"/>
    <xf numFmtId="0" fontId="36" fillId="8" borderId="0" xfId="0" applyFont="1" applyFill="1" applyBorder="1"/>
    <xf numFmtId="0" fontId="10" fillId="8" borderId="0" xfId="0" applyFont="1" applyFill="1" applyBorder="1" applyAlignment="1">
      <alignment horizontal="left"/>
    </xf>
    <xf numFmtId="0" fontId="102" fillId="8" borderId="0" xfId="0" applyFont="1" applyFill="1" applyBorder="1" applyAlignment="1">
      <alignment vertical="center"/>
    </xf>
    <xf numFmtId="0" fontId="0" fillId="5" borderId="12" xfId="0" applyFill="1" applyBorder="1"/>
    <xf numFmtId="0" fontId="5" fillId="5" borderId="108" xfId="0" applyFont="1" applyFill="1" applyBorder="1"/>
    <xf numFmtId="0" fontId="0" fillId="5" borderId="2" xfId="0" applyFill="1" applyBorder="1"/>
    <xf numFmtId="0" fontId="0" fillId="5" borderId="37" xfId="0" applyFill="1" applyBorder="1"/>
    <xf numFmtId="0" fontId="3" fillId="6" borderId="107" xfId="0" applyFont="1" applyFill="1" applyBorder="1"/>
    <xf numFmtId="0" fontId="0" fillId="6" borderId="35" xfId="0" applyFill="1" applyBorder="1"/>
    <xf numFmtId="0" fontId="0" fillId="6" borderId="36" xfId="0" applyFill="1" applyBorder="1"/>
    <xf numFmtId="165" fontId="5" fillId="3" borderId="35" xfId="0" applyNumberFormat="1" applyFont="1" applyFill="1" applyBorder="1" applyAlignment="1">
      <alignment horizontal="center"/>
    </xf>
    <xf numFmtId="164" fontId="5" fillId="7" borderId="4" xfId="0" applyNumberFormat="1" applyFont="1" applyFill="1" applyBorder="1" applyAlignment="1">
      <alignment horizontal="center" vertical="center"/>
    </xf>
    <xf numFmtId="0" fontId="13" fillId="6" borderId="2" xfId="0" applyFont="1" applyFill="1" applyBorder="1" applyAlignment="1">
      <alignment horizontal="right" vertical="center"/>
    </xf>
    <xf numFmtId="11" fontId="0" fillId="5" borderId="0" xfId="0" applyNumberFormat="1" applyFill="1" applyBorder="1" applyAlignment="1" applyProtection="1">
      <alignment horizontal="center" vertical="center"/>
      <protection hidden="1"/>
    </xf>
    <xf numFmtId="11" fontId="0" fillId="5" borderId="35" xfId="0" applyNumberFormat="1" applyFill="1" applyBorder="1" applyAlignment="1" applyProtection="1">
      <alignment horizontal="center" vertical="center"/>
      <protection hidden="1"/>
    </xf>
    <xf numFmtId="11" fontId="0" fillId="5" borderId="22" xfId="0" applyNumberFormat="1" applyFill="1" applyBorder="1" applyAlignment="1" applyProtection="1">
      <alignment horizontal="center" vertical="center"/>
      <protection hidden="1"/>
    </xf>
    <xf numFmtId="0" fontId="0" fillId="3" borderId="104" xfId="0" applyFill="1" applyBorder="1" applyAlignment="1">
      <alignment horizontal="center" vertical="center"/>
    </xf>
    <xf numFmtId="0" fontId="0" fillId="6" borderId="124" xfId="0" applyFill="1" applyBorder="1" applyAlignment="1">
      <alignment vertical="center"/>
    </xf>
    <xf numFmtId="0" fontId="0" fillId="6" borderId="31" xfId="0" applyFill="1" applyBorder="1" applyAlignment="1">
      <alignment vertical="center"/>
    </xf>
    <xf numFmtId="0" fontId="0" fillId="6" borderId="104" xfId="0" applyFill="1" applyBorder="1" applyAlignment="1">
      <alignment vertical="center"/>
    </xf>
    <xf numFmtId="0" fontId="80" fillId="6" borderId="0" xfId="0" applyFont="1" applyFill="1" applyBorder="1" applyAlignment="1" applyProtection="1">
      <alignment horizontal="left" vertical="center"/>
      <protection hidden="1"/>
    </xf>
    <xf numFmtId="0" fontId="53" fillId="3" borderId="35" xfId="0" applyFont="1" applyFill="1" applyBorder="1" applyAlignment="1">
      <alignment horizontal="center" vertical="center"/>
    </xf>
    <xf numFmtId="0" fontId="107" fillId="3" borderId="35" xfId="0" applyFont="1" applyFill="1" applyBorder="1" applyAlignment="1">
      <alignment horizontal="center"/>
    </xf>
    <xf numFmtId="0" fontId="107" fillId="3" borderId="35" xfId="0" applyFont="1" applyFill="1" applyBorder="1" applyAlignment="1">
      <alignment horizontal="center" vertical="center"/>
    </xf>
    <xf numFmtId="1" fontId="30" fillId="3" borderId="2" xfId="0" applyNumberFormat="1" applyFont="1" applyFill="1" applyBorder="1" applyAlignment="1">
      <alignment horizontal="center" vertical="center" wrapText="1"/>
    </xf>
    <xf numFmtId="0" fontId="5" fillId="3" borderId="0" xfId="0" applyFont="1" applyFill="1" applyBorder="1"/>
    <xf numFmtId="11" fontId="5" fillId="2" borderId="0" xfId="0" applyNumberFormat="1" applyFont="1" applyFill="1"/>
    <xf numFmtId="2" fontId="0" fillId="3" borderId="0" xfId="0" applyNumberFormat="1" applyFill="1" applyAlignment="1">
      <alignment horizontal="center"/>
    </xf>
    <xf numFmtId="0" fontId="3" fillId="3" borderId="2" xfId="0" applyFont="1" applyFill="1" applyBorder="1" applyAlignment="1">
      <alignment horizontal="center" vertical="justify" wrapText="1"/>
    </xf>
    <xf numFmtId="0" fontId="3" fillId="3" borderId="35" xfId="0" applyFont="1" applyFill="1" applyBorder="1" applyAlignment="1">
      <alignment horizontal="center" vertical="center"/>
    </xf>
    <xf numFmtId="0" fontId="5" fillId="2" borderId="0" xfId="0" applyFont="1" applyFill="1"/>
    <xf numFmtId="165" fontId="5" fillId="6" borderId="30" xfId="0" applyNumberFormat="1" applyFont="1" applyFill="1" applyBorder="1" applyAlignment="1">
      <alignment horizontal="center" vertical="center"/>
    </xf>
    <xf numFmtId="0" fontId="24" fillId="6" borderId="30" xfId="0" applyFont="1" applyFill="1" applyBorder="1" applyAlignment="1">
      <alignment horizontal="center"/>
    </xf>
    <xf numFmtId="167" fontId="0" fillId="5" borderId="0" xfId="0" applyNumberFormat="1" applyFill="1"/>
    <xf numFmtId="0" fontId="2" fillId="3" borderId="64" xfId="0" applyFont="1" applyFill="1" applyBorder="1" applyAlignment="1">
      <alignment horizontal="center" vertical="center" wrapText="1"/>
    </xf>
    <xf numFmtId="0" fontId="2" fillId="3" borderId="69" xfId="0" applyFont="1" applyFill="1" applyBorder="1" applyAlignment="1">
      <alignment horizontal="center" vertical="center" wrapText="1"/>
    </xf>
    <xf numFmtId="49" fontId="53" fillId="3" borderId="46" xfId="0" applyNumberFormat="1" applyFont="1" applyFill="1" applyBorder="1" applyAlignment="1">
      <alignment horizontal="center"/>
    </xf>
    <xf numFmtId="0" fontId="13" fillId="6" borderId="24" xfId="0" applyFont="1" applyFill="1" applyBorder="1" applyAlignment="1" applyProtection="1">
      <alignment horizontal="left" vertical="center"/>
      <protection hidden="1"/>
    </xf>
    <xf numFmtId="11" fontId="0" fillId="5" borderId="126" xfId="0" applyNumberFormat="1" applyFill="1" applyBorder="1" applyAlignment="1" applyProtection="1">
      <alignment horizontal="center" vertical="center"/>
      <protection hidden="1"/>
    </xf>
    <xf numFmtId="49" fontId="53" fillId="3" borderId="9" xfId="0" applyNumberFormat="1" applyFont="1" applyFill="1" applyBorder="1" applyAlignment="1">
      <alignment horizontal="center" vertical="top"/>
    </xf>
    <xf numFmtId="49" fontId="53" fillId="3" borderId="66" xfId="0" applyNumberFormat="1" applyFont="1" applyFill="1" applyBorder="1" applyAlignment="1">
      <alignment horizontal="center"/>
    </xf>
    <xf numFmtId="0" fontId="4" fillId="3" borderId="50" xfId="0" applyFont="1" applyFill="1" applyBorder="1" applyAlignment="1">
      <alignment horizontal="center"/>
    </xf>
    <xf numFmtId="0" fontId="4" fillId="3" borderId="47" xfId="0" applyFont="1" applyFill="1" applyBorder="1" applyAlignment="1">
      <alignment horizontal="center" vertical="center"/>
    </xf>
    <xf numFmtId="0" fontId="5" fillId="3" borderId="127" xfId="0" applyFont="1" applyFill="1" applyBorder="1" applyAlignment="1">
      <alignment horizontal="center"/>
    </xf>
    <xf numFmtId="0" fontId="5" fillId="3" borderId="16" xfId="0" applyFont="1" applyFill="1" applyBorder="1" applyAlignment="1">
      <alignment horizontal="centerContinuous"/>
    </xf>
    <xf numFmtId="0" fontId="5" fillId="3" borderId="47" xfId="0" applyFont="1" applyFill="1" applyBorder="1" applyAlignment="1">
      <alignment horizontal="centerContinuous"/>
    </xf>
    <xf numFmtId="0" fontId="5" fillId="3" borderId="19" xfId="0" applyFont="1" applyFill="1" applyBorder="1" applyAlignment="1">
      <alignment horizontal="centerContinuous"/>
    </xf>
    <xf numFmtId="0" fontId="5" fillId="3" borderId="52" xfId="0" applyFont="1" applyFill="1" applyBorder="1" applyAlignment="1">
      <alignment horizontal="centerContinuous"/>
    </xf>
    <xf numFmtId="0" fontId="5" fillId="3" borderId="127" xfId="0" applyFont="1" applyFill="1" applyBorder="1" applyAlignment="1">
      <alignment horizontal="centerContinuous"/>
    </xf>
    <xf numFmtId="167" fontId="0" fillId="5" borderId="128" xfId="0" applyNumberFormat="1" applyFill="1" applyBorder="1" applyAlignment="1">
      <alignment horizontal="center" vertical="center"/>
    </xf>
    <xf numFmtId="167" fontId="0" fillId="5" borderId="93" xfId="0" applyNumberFormat="1" applyFill="1" applyBorder="1" applyAlignment="1">
      <alignment horizontal="center" vertical="center"/>
    </xf>
    <xf numFmtId="167" fontId="0" fillId="5" borderId="48" xfId="0" applyNumberFormat="1" applyFill="1" applyBorder="1" applyAlignment="1">
      <alignment horizontal="center" vertical="center"/>
    </xf>
    <xf numFmtId="167" fontId="0" fillId="5" borderId="129" xfId="0" applyNumberFormat="1" applyFill="1" applyBorder="1" applyAlignment="1">
      <alignment horizontal="center" vertical="center"/>
    </xf>
    <xf numFmtId="167" fontId="0" fillId="5" borderId="126" xfId="0" applyNumberFormat="1" applyFill="1" applyBorder="1" applyAlignment="1">
      <alignment horizontal="center" vertical="center"/>
    </xf>
    <xf numFmtId="1" fontId="0" fillId="0" borderId="53" xfId="0" applyNumberFormat="1" applyFill="1" applyBorder="1" applyAlignment="1">
      <alignment horizontal="center" vertical="center"/>
    </xf>
    <xf numFmtId="1" fontId="0" fillId="0" borderId="57" xfId="0" applyNumberFormat="1" applyFill="1" applyBorder="1" applyAlignment="1">
      <alignment horizontal="center" vertical="center"/>
    </xf>
    <xf numFmtId="167" fontId="0" fillId="5" borderId="130" xfId="0" applyNumberFormat="1" applyFill="1" applyBorder="1" applyAlignment="1">
      <alignment horizontal="center" vertical="center"/>
    </xf>
    <xf numFmtId="0" fontId="5" fillId="6" borderId="24" xfId="0" applyFont="1" applyFill="1" applyBorder="1" applyAlignment="1">
      <alignment vertical="center"/>
    </xf>
    <xf numFmtId="0" fontId="0" fillId="6" borderId="131" xfId="0" applyFill="1" applyBorder="1" applyAlignment="1">
      <alignment vertical="center"/>
    </xf>
    <xf numFmtId="0" fontId="3" fillId="6" borderId="132" xfId="0" applyFont="1" applyFill="1" applyBorder="1" applyAlignment="1">
      <alignment horizontal="center" vertical="center"/>
    </xf>
    <xf numFmtId="0" fontId="3" fillId="6" borderId="32" xfId="0" applyFont="1" applyFill="1" applyBorder="1" applyAlignment="1">
      <alignment horizontal="center" vertical="center"/>
    </xf>
    <xf numFmtId="0" fontId="5" fillId="3" borderId="128" xfId="0" applyFont="1" applyFill="1" applyBorder="1" applyAlignment="1">
      <alignment horizontal="centerContinuous"/>
    </xf>
    <xf numFmtId="1" fontId="110" fillId="2" borderId="0" xfId="0" applyNumberFormat="1" applyFont="1" applyFill="1" applyAlignment="1">
      <alignment horizontal="center" vertical="center"/>
    </xf>
    <xf numFmtId="167" fontId="0" fillId="2" borderId="0" xfId="0" applyNumberFormat="1" applyFill="1" applyBorder="1" applyAlignment="1">
      <alignment horizontal="center"/>
    </xf>
    <xf numFmtId="0" fontId="5" fillId="2" borderId="0" xfId="0" applyFont="1" applyFill="1" applyAlignment="1">
      <alignment horizontal="right"/>
    </xf>
    <xf numFmtId="167" fontId="0" fillId="5" borderId="0" xfId="0" applyNumberFormat="1" applyFill="1" applyBorder="1" applyAlignment="1">
      <alignment horizontal="center" vertical="center"/>
    </xf>
    <xf numFmtId="0" fontId="4" fillId="3" borderId="133" xfId="0" applyFont="1" applyFill="1" applyBorder="1" applyAlignment="1">
      <alignment horizontal="centerContinuous" vertical="center"/>
    </xf>
    <xf numFmtId="0" fontId="4" fillId="3" borderId="134" xfId="0" applyFont="1" applyFill="1" applyBorder="1" applyAlignment="1">
      <alignment horizontal="centerContinuous" vertical="center"/>
    </xf>
    <xf numFmtId="167" fontId="0" fillId="5" borderId="70" xfId="0" applyNumberFormat="1" applyFill="1" applyBorder="1" applyAlignment="1">
      <alignment horizontal="center"/>
    </xf>
    <xf numFmtId="0" fontId="5" fillId="3" borderId="127" xfId="0" applyFont="1" applyFill="1" applyBorder="1" applyAlignment="1">
      <alignment horizontal="center" vertical="distributed"/>
    </xf>
    <xf numFmtId="167" fontId="0" fillId="0" borderId="48" xfId="0" applyNumberFormat="1" applyFill="1" applyBorder="1" applyAlignment="1">
      <alignment horizontal="center" vertical="center"/>
    </xf>
    <xf numFmtId="167" fontId="0" fillId="0" borderId="5" xfId="0" applyNumberFormat="1" applyFill="1" applyBorder="1" applyAlignment="1">
      <alignment horizontal="center" vertical="center"/>
    </xf>
    <xf numFmtId="167" fontId="0" fillId="0" borderId="130" xfId="0" applyNumberFormat="1" applyFill="1" applyBorder="1" applyAlignment="1">
      <alignment horizontal="center" vertical="center"/>
    </xf>
    <xf numFmtId="0" fontId="46" fillId="2" borderId="0" xfId="0" applyFont="1" applyFill="1" applyAlignment="1">
      <alignment vertical="center"/>
    </xf>
    <xf numFmtId="165" fontId="112" fillId="7" borderId="0" xfId="2" applyNumberFormat="1" applyFont="1" applyFill="1" applyBorder="1" applyAlignment="1">
      <alignment horizontal="center" vertical="center"/>
    </xf>
    <xf numFmtId="165" fontId="112" fillId="10" borderId="0" xfId="2" applyNumberFormat="1" applyFont="1" applyFill="1" applyBorder="1" applyAlignment="1">
      <alignment horizontal="center" vertical="center"/>
    </xf>
    <xf numFmtId="165" fontId="0" fillId="7" borderId="135" xfId="2" applyNumberFormat="1" applyFont="1" applyFill="1" applyBorder="1" applyAlignment="1">
      <alignment horizontal="center" vertical="center"/>
    </xf>
    <xf numFmtId="0" fontId="0" fillId="3" borderId="137" xfId="0" applyFill="1" applyBorder="1" applyAlignment="1">
      <alignment horizontal="center" vertical="center"/>
    </xf>
    <xf numFmtId="0" fontId="0" fillId="3" borderId="138" xfId="0" applyFill="1" applyBorder="1" applyAlignment="1">
      <alignment horizontal="center" vertical="center"/>
    </xf>
    <xf numFmtId="166" fontId="0" fillId="5" borderId="70" xfId="0" applyNumberFormat="1" applyFill="1" applyBorder="1" applyAlignment="1">
      <alignment horizontal="center"/>
    </xf>
    <xf numFmtId="166" fontId="0" fillId="5" borderId="139" xfId="0" applyNumberFormat="1" applyFill="1" applyBorder="1" applyAlignment="1">
      <alignment horizontal="center"/>
    </xf>
    <xf numFmtId="167" fontId="0" fillId="5" borderId="120" xfId="0" applyNumberFormat="1" applyFill="1" applyBorder="1" applyAlignment="1">
      <alignment horizontal="center"/>
    </xf>
    <xf numFmtId="167" fontId="0" fillId="5" borderId="31" xfId="0" applyNumberFormat="1" applyFill="1" applyBorder="1" applyAlignment="1">
      <alignment horizontal="center"/>
    </xf>
    <xf numFmtId="167" fontId="0" fillId="5" borderId="140" xfId="0" applyNumberFormat="1" applyFill="1" applyBorder="1" applyAlignment="1">
      <alignment horizontal="center"/>
    </xf>
    <xf numFmtId="167" fontId="0" fillId="5" borderId="44" xfId="0" applyNumberFormat="1" applyFill="1" applyBorder="1" applyAlignment="1">
      <alignment horizontal="center"/>
    </xf>
    <xf numFmtId="167" fontId="0" fillId="5" borderId="22" xfId="0" applyNumberFormat="1" applyFill="1" applyBorder="1" applyAlignment="1">
      <alignment horizontal="center"/>
    </xf>
    <xf numFmtId="167" fontId="0" fillId="5" borderId="101" xfId="0" applyNumberFormat="1" applyFill="1" applyBorder="1" applyAlignment="1">
      <alignment horizontal="center"/>
    </xf>
    <xf numFmtId="11" fontId="0" fillId="5" borderId="141" xfId="0" applyNumberFormat="1" applyFill="1" applyBorder="1" applyAlignment="1" applyProtection="1">
      <alignment horizontal="center" vertical="center"/>
      <protection hidden="1"/>
    </xf>
    <xf numFmtId="167" fontId="0" fillId="5" borderId="3" xfId="0" applyNumberFormat="1" applyFill="1" applyBorder="1" applyAlignment="1">
      <alignment horizontal="center"/>
    </xf>
    <xf numFmtId="167" fontId="0" fillId="5" borderId="104" xfId="0" applyNumberFormat="1" applyFill="1" applyBorder="1" applyAlignment="1">
      <alignment horizontal="center"/>
    </xf>
    <xf numFmtId="167" fontId="0" fillId="5" borderId="109" xfId="0" applyNumberFormat="1" applyFill="1" applyBorder="1" applyAlignment="1">
      <alignment horizontal="center"/>
    </xf>
    <xf numFmtId="170" fontId="0" fillId="5" borderId="126" xfId="0" applyNumberFormat="1" applyFill="1" applyBorder="1" applyAlignment="1">
      <alignment horizontal="center" vertical="center"/>
    </xf>
    <xf numFmtId="165" fontId="0" fillId="5" borderId="70" xfId="0" applyNumberFormat="1" applyFill="1" applyBorder="1" applyAlignment="1">
      <alignment horizontal="center" vertical="center"/>
    </xf>
    <xf numFmtId="0" fontId="5" fillId="3" borderId="127" xfId="0" applyFont="1" applyFill="1" applyBorder="1" applyAlignment="1">
      <alignment horizontal="centerContinuous" vertical="center"/>
    </xf>
    <xf numFmtId="167" fontId="0" fillId="5" borderId="123" xfId="0" applyNumberFormat="1" applyFill="1" applyBorder="1" applyAlignment="1">
      <alignment horizontal="center" vertical="center"/>
    </xf>
    <xf numFmtId="0" fontId="5" fillId="3" borderId="50" xfId="0" applyFont="1" applyFill="1" applyBorder="1" applyAlignment="1">
      <alignment horizontal="centerContinuous" vertical="center"/>
    </xf>
    <xf numFmtId="165" fontId="0" fillId="5" borderId="145" xfId="0" applyNumberFormat="1" applyFill="1" applyBorder="1" applyAlignment="1">
      <alignment horizontal="center" vertical="center"/>
    </xf>
    <xf numFmtId="170" fontId="0" fillId="5" borderId="129" xfId="0" applyNumberFormat="1" applyFill="1" applyBorder="1" applyAlignment="1">
      <alignment horizontal="center" vertical="center"/>
    </xf>
    <xf numFmtId="0" fontId="5" fillId="3" borderId="146" xfId="0" applyFont="1" applyFill="1" applyBorder="1" applyAlignment="1">
      <alignment horizontal="center" vertical="distributed"/>
    </xf>
    <xf numFmtId="164" fontId="0" fillId="0" borderId="0" xfId="0" applyNumberFormat="1" applyFill="1" applyAlignment="1">
      <alignment horizontal="center"/>
    </xf>
    <xf numFmtId="0" fontId="5" fillId="3" borderId="50" xfId="0" applyFont="1" applyFill="1" applyBorder="1" applyAlignment="1">
      <alignment horizontal="centerContinuous" vertical="top"/>
    </xf>
    <xf numFmtId="170" fontId="0" fillId="5" borderId="128" xfId="0" applyNumberFormat="1" applyFill="1" applyBorder="1" applyAlignment="1">
      <alignment horizontal="center" vertical="center"/>
    </xf>
    <xf numFmtId="170" fontId="0" fillId="5" borderId="14" xfId="0" applyNumberFormat="1" applyFill="1" applyBorder="1" applyAlignment="1">
      <alignment horizontal="center" vertical="center"/>
    </xf>
    <xf numFmtId="167" fontId="5" fillId="6" borderId="2" xfId="0" applyNumberFormat="1" applyFont="1" applyFill="1" applyBorder="1" applyAlignment="1">
      <alignment horizontal="center" vertical="center"/>
    </xf>
    <xf numFmtId="170" fontId="0" fillId="2" borderId="0" xfId="0" applyNumberFormat="1" applyFill="1" applyBorder="1"/>
    <xf numFmtId="0" fontId="4" fillId="3" borderId="50" xfId="0" applyFont="1" applyFill="1" applyBorder="1" applyAlignment="1">
      <alignment horizontal="centerContinuous" vertical="center"/>
    </xf>
    <xf numFmtId="0" fontId="71" fillId="8" borderId="0" xfId="0" applyFont="1" applyFill="1" applyBorder="1" applyAlignment="1">
      <alignment horizontal="left" vertical="center"/>
    </xf>
    <xf numFmtId="0" fontId="71" fillId="8" borderId="22" xfId="0" applyFont="1" applyFill="1" applyBorder="1" applyAlignment="1">
      <alignment horizontal="left" vertical="center"/>
    </xf>
    <xf numFmtId="165" fontId="0" fillId="5" borderId="129" xfId="0" applyNumberFormat="1" applyFill="1" applyBorder="1" applyAlignment="1">
      <alignment horizontal="center" vertical="center"/>
    </xf>
    <xf numFmtId="165" fontId="0" fillId="5" borderId="126" xfId="0" applyNumberFormat="1" applyFill="1" applyBorder="1" applyAlignment="1">
      <alignment horizontal="center" vertical="center"/>
    </xf>
    <xf numFmtId="167" fontId="0" fillId="5" borderId="148" xfId="0" applyNumberFormat="1" applyFill="1" applyBorder="1" applyAlignment="1">
      <alignment horizontal="center"/>
    </xf>
    <xf numFmtId="10" fontId="5" fillId="7" borderId="90" xfId="0" applyNumberFormat="1" applyFont="1" applyFill="1" applyBorder="1" applyAlignment="1">
      <alignment horizontal="center" vertical="center"/>
    </xf>
    <xf numFmtId="0" fontId="4" fillId="3" borderId="9" xfId="0" applyFont="1" applyFill="1" applyBorder="1" applyAlignment="1">
      <alignment horizontal="center"/>
    </xf>
    <xf numFmtId="0" fontId="4" fillId="3" borderId="149" xfId="0" applyFont="1" applyFill="1" applyBorder="1" applyAlignment="1">
      <alignment horizontal="centerContinuous"/>
    </xf>
    <xf numFmtId="0" fontId="0" fillId="3" borderId="149" xfId="0" applyFill="1" applyBorder="1" applyAlignment="1">
      <alignment horizontal="centerContinuous"/>
    </xf>
    <xf numFmtId="0" fontId="0" fillId="3" borderId="8" xfId="0" applyFill="1" applyBorder="1" applyAlignment="1">
      <alignment horizontal="center"/>
    </xf>
    <xf numFmtId="0" fontId="0" fillId="3" borderId="9" xfId="0" applyFill="1" applyBorder="1" applyAlignment="1">
      <alignment horizontal="center"/>
    </xf>
    <xf numFmtId="0" fontId="60" fillId="3" borderId="8" xfId="0" applyFont="1" applyFill="1" applyBorder="1" applyAlignment="1">
      <alignment horizontal="center"/>
    </xf>
    <xf numFmtId="0" fontId="60" fillId="3" borderId="9" xfId="0" applyFont="1" applyFill="1" applyBorder="1" applyAlignment="1">
      <alignment horizontal="center"/>
    </xf>
    <xf numFmtId="49" fontId="2" fillId="3" borderId="8" xfId="0" applyNumberFormat="1" applyFont="1" applyFill="1" applyBorder="1" applyAlignment="1">
      <alignment horizontal="center"/>
    </xf>
    <xf numFmtId="49" fontId="2" fillId="3" borderId="9" xfId="0" applyNumberFormat="1" applyFont="1" applyFill="1" applyBorder="1" applyAlignment="1">
      <alignment horizontal="center"/>
    </xf>
    <xf numFmtId="49" fontId="2" fillId="3" borderId="86" xfId="0" applyNumberFormat="1" applyFont="1" applyFill="1" applyBorder="1" applyAlignment="1">
      <alignment horizontal="center"/>
    </xf>
    <xf numFmtId="0" fontId="7" fillId="8" borderId="0" xfId="0" applyFont="1" applyFill="1" applyBorder="1" applyAlignment="1">
      <alignment vertical="top"/>
    </xf>
    <xf numFmtId="0" fontId="24" fillId="5" borderId="0" xfId="0" applyFont="1" applyFill="1"/>
    <xf numFmtId="0" fontId="24" fillId="5" borderId="0" xfId="0" applyFont="1" applyFill="1" applyAlignment="1">
      <alignment horizontal="left" vertical="center"/>
    </xf>
    <xf numFmtId="0" fontId="80" fillId="5" borderId="0" xfId="0" applyNumberFormat="1" applyFont="1" applyFill="1" applyBorder="1" applyAlignment="1">
      <alignment horizontal="center" vertical="center"/>
    </xf>
    <xf numFmtId="167" fontId="18" fillId="5" borderId="69" xfId="0" applyNumberFormat="1" applyFont="1" applyFill="1" applyBorder="1" applyAlignment="1">
      <alignment horizontal="center" vertical="center"/>
    </xf>
    <xf numFmtId="0" fontId="9" fillId="3" borderId="7" xfId="0" applyFont="1" applyFill="1" applyBorder="1" applyAlignment="1">
      <alignment horizontal="center" vertical="center" wrapText="1"/>
    </xf>
    <xf numFmtId="0" fontId="13" fillId="6" borderId="88" xfId="0" applyFont="1" applyFill="1" applyBorder="1"/>
    <xf numFmtId="0" fontId="2" fillId="6" borderId="25" xfId="0" applyFont="1" applyFill="1" applyBorder="1" applyAlignment="1">
      <alignment horizontal="right" vertical="center"/>
    </xf>
    <xf numFmtId="0" fontId="0" fillId="3" borderId="17" xfId="0" applyFill="1" applyBorder="1" applyAlignment="1">
      <alignment horizontal="center" vertical="center" wrapText="1"/>
    </xf>
    <xf numFmtId="165" fontId="46" fillId="5" borderId="2" xfId="0" applyNumberFormat="1" applyFont="1" applyFill="1" applyBorder="1" applyAlignment="1">
      <alignment horizontal="center" vertical="center"/>
    </xf>
    <xf numFmtId="165" fontId="46" fillId="5" borderId="37" xfId="0" applyNumberFormat="1" applyFont="1" applyFill="1" applyBorder="1" applyAlignment="1">
      <alignment horizontal="center" vertical="center"/>
    </xf>
    <xf numFmtId="0" fontId="0" fillId="5" borderId="5" xfId="0" applyFill="1" applyBorder="1" applyAlignment="1">
      <alignment vertical="center"/>
    </xf>
    <xf numFmtId="0" fontId="0" fillId="3" borderId="150" xfId="0" applyFill="1" applyBorder="1" applyAlignment="1">
      <alignment horizontal="center" vertical="center" wrapText="1"/>
    </xf>
    <xf numFmtId="0" fontId="4" fillId="3" borderId="150" xfId="0" applyFont="1" applyFill="1" applyBorder="1" applyAlignment="1">
      <alignment horizontal="center" vertical="center"/>
    </xf>
    <xf numFmtId="2" fontId="0" fillId="5" borderId="12" xfId="0" applyNumberFormat="1" applyFill="1" applyBorder="1" applyAlignment="1">
      <alignment horizontal="center" vertical="center"/>
    </xf>
    <xf numFmtId="0" fontId="0" fillId="3" borderId="12" xfId="0" applyFill="1" applyBorder="1"/>
    <xf numFmtId="0" fontId="2" fillId="3" borderId="36" xfId="0" applyFont="1" applyFill="1" applyBorder="1" applyAlignment="1">
      <alignment horizontal="center"/>
    </xf>
    <xf numFmtId="0" fontId="3" fillId="6" borderId="151" xfId="0" applyFont="1" applyFill="1" applyBorder="1" applyAlignment="1">
      <alignment horizontal="center" vertical="center" wrapText="1"/>
    </xf>
    <xf numFmtId="1" fontId="9" fillId="5" borderId="152" xfId="0" applyNumberFormat="1" applyFont="1" applyFill="1" applyBorder="1" applyAlignment="1">
      <alignment horizontal="center" vertical="center"/>
    </xf>
    <xf numFmtId="165" fontId="0" fillId="5" borderId="35" xfId="0" applyNumberFormat="1" applyFill="1" applyBorder="1"/>
    <xf numFmtId="165" fontId="0" fillId="5" borderId="0" xfId="0" applyNumberFormat="1" applyFill="1" applyBorder="1"/>
    <xf numFmtId="0" fontId="31" fillId="2" borderId="0" xfId="0" applyFont="1" applyFill="1"/>
    <xf numFmtId="0" fontId="31" fillId="3" borderId="0" xfId="0" applyFont="1" applyFill="1"/>
    <xf numFmtId="0" fontId="123" fillId="6" borderId="0" xfId="0" applyFont="1" applyFill="1"/>
    <xf numFmtId="0" fontId="7" fillId="8" borderId="0" xfId="0" applyFont="1" applyFill="1" applyBorder="1" applyAlignment="1">
      <alignment horizontal="left" vertical="top"/>
    </xf>
    <xf numFmtId="0" fontId="14" fillId="3" borderId="8" xfId="0" applyFont="1" applyFill="1" applyBorder="1" applyAlignment="1">
      <alignment horizontal="center" vertical="center"/>
    </xf>
    <xf numFmtId="165" fontId="48" fillId="8" borderId="17" xfId="0" applyNumberFormat="1" applyFont="1" applyFill="1" applyBorder="1" applyAlignment="1">
      <alignment horizontal="center" vertical="center"/>
    </xf>
    <xf numFmtId="166" fontId="18" fillId="5" borderId="17" xfId="0" applyNumberFormat="1" applyFont="1" applyFill="1" applyBorder="1" applyAlignment="1">
      <alignment horizontal="center" vertical="center"/>
    </xf>
    <xf numFmtId="0" fontId="24" fillId="3" borderId="40" xfId="0" applyFont="1" applyFill="1" applyBorder="1" applyAlignment="1">
      <alignment horizontal="center" vertical="center"/>
    </xf>
    <xf numFmtId="165" fontId="0" fillId="19" borderId="5" xfId="0" applyNumberFormat="1" applyFill="1" applyBorder="1" applyAlignment="1">
      <alignment horizontal="center"/>
    </xf>
    <xf numFmtId="0" fontId="18" fillId="3" borderId="9" xfId="0" applyFont="1" applyFill="1" applyBorder="1" applyAlignment="1">
      <alignment horizontal="center" vertical="center" shrinkToFit="1"/>
    </xf>
    <xf numFmtId="165" fontId="18" fillId="5" borderId="51" xfId="0" applyNumberFormat="1" applyFont="1" applyFill="1" applyBorder="1" applyAlignment="1">
      <alignment horizontal="center" vertical="center"/>
    </xf>
    <xf numFmtId="0" fontId="18" fillId="3" borderId="91" xfId="0" applyFont="1" applyFill="1" applyBorder="1" applyAlignment="1">
      <alignment horizontal="center" vertical="top"/>
    </xf>
    <xf numFmtId="166" fontId="18" fillId="5" borderId="51" xfId="0" applyNumberFormat="1" applyFont="1" applyFill="1" applyBorder="1" applyAlignment="1">
      <alignment horizontal="center" vertical="center"/>
    </xf>
    <xf numFmtId="0" fontId="18" fillId="3" borderId="11" xfId="0" applyFont="1" applyFill="1" applyBorder="1" applyAlignment="1">
      <alignment horizontal="center" vertical="center"/>
    </xf>
    <xf numFmtId="0" fontId="18" fillId="3" borderId="91" xfId="0" applyFont="1" applyFill="1" applyBorder="1" applyAlignment="1">
      <alignment horizontal="center" vertical="center" shrinkToFit="1"/>
    </xf>
    <xf numFmtId="0" fontId="53" fillId="3" borderId="153" xfId="0" applyFont="1" applyFill="1" applyBorder="1" applyAlignment="1">
      <alignment horizontal="center" vertical="center"/>
    </xf>
    <xf numFmtId="166" fontId="0" fillId="2" borderId="0" xfId="0" applyNumberFormat="1" applyFill="1" applyAlignment="1">
      <alignment vertical="justify"/>
    </xf>
    <xf numFmtId="165" fontId="0" fillId="2" borderId="0" xfId="0" applyNumberFormat="1" applyFill="1" applyAlignment="1">
      <alignment vertical="justify"/>
    </xf>
    <xf numFmtId="166" fontId="0" fillId="5" borderId="154" xfId="0" applyNumberFormat="1" applyFill="1" applyBorder="1" applyAlignment="1">
      <alignment horizontal="center" vertical="center"/>
    </xf>
    <xf numFmtId="0" fontId="0" fillId="5" borderId="5" xfId="0" applyFill="1" applyBorder="1"/>
    <xf numFmtId="0" fontId="2" fillId="3" borderId="9" xfId="0" applyFont="1" applyFill="1" applyBorder="1" applyAlignment="1">
      <alignment horizontal="center"/>
    </xf>
    <xf numFmtId="165" fontId="0" fillId="5" borderId="71" xfId="0" applyNumberFormat="1" applyFill="1" applyBorder="1" applyAlignment="1">
      <alignment horizontal="center" vertical="center"/>
    </xf>
    <xf numFmtId="165" fontId="0" fillId="5" borderId="43" xfId="0" applyNumberFormat="1" applyFill="1" applyBorder="1" applyAlignment="1">
      <alignment horizontal="center" vertical="center"/>
    </xf>
    <xf numFmtId="165" fontId="18" fillId="5" borderId="33" xfId="0" applyNumberFormat="1" applyFont="1" applyFill="1" applyBorder="1" applyAlignment="1">
      <alignment horizontal="center" vertical="center"/>
    </xf>
    <xf numFmtId="0" fontId="13" fillId="6" borderId="161" xfId="0" applyFont="1" applyFill="1" applyBorder="1" applyAlignment="1">
      <alignment vertical="center"/>
    </xf>
    <xf numFmtId="165" fontId="18" fillId="6" borderId="25" xfId="0" applyNumberFormat="1" applyFont="1" applyFill="1" applyBorder="1" applyAlignment="1">
      <alignment horizontal="right" vertical="center"/>
    </xf>
    <xf numFmtId="167" fontId="18" fillId="5" borderId="67" xfId="0" applyNumberFormat="1" applyFont="1" applyFill="1" applyBorder="1" applyAlignment="1">
      <alignment horizontal="center" vertical="center"/>
    </xf>
    <xf numFmtId="49" fontId="53" fillId="3" borderId="95" xfId="0" applyNumberFormat="1" applyFont="1" applyFill="1" applyBorder="1" applyAlignment="1">
      <alignment horizontal="center"/>
    </xf>
    <xf numFmtId="0" fontId="2" fillId="6" borderId="156" xfId="0" applyFont="1" applyFill="1" applyBorder="1" applyAlignment="1">
      <alignment horizontal="left" vertical="center"/>
    </xf>
    <xf numFmtId="0" fontId="3" fillId="6" borderId="157" xfId="0" applyFont="1" applyFill="1" applyBorder="1" applyAlignment="1">
      <alignment horizontal="right" vertical="center"/>
    </xf>
    <xf numFmtId="0" fontId="2" fillId="3" borderId="0" xfId="0" applyFont="1" applyFill="1"/>
    <xf numFmtId="0" fontId="2" fillId="3" borderId="35" xfId="0" applyFont="1" applyFill="1" applyBorder="1" applyAlignment="1">
      <alignment horizontal="center"/>
    </xf>
    <xf numFmtId="0" fontId="18" fillId="3" borderId="37" xfId="0" applyFont="1" applyFill="1" applyBorder="1" applyAlignment="1">
      <alignment horizontal="center"/>
    </xf>
    <xf numFmtId="165" fontId="13" fillId="6" borderId="25" xfId="0" applyNumberFormat="1" applyFont="1" applyFill="1" applyBorder="1" applyAlignment="1">
      <alignment horizontal="left" vertical="center"/>
    </xf>
    <xf numFmtId="0" fontId="53" fillId="3" borderId="149" xfId="0" applyFont="1" applyFill="1" applyBorder="1" applyAlignment="1">
      <alignment horizontal="center" vertical="top"/>
    </xf>
    <xf numFmtId="0" fontId="121" fillId="2" borderId="0" xfId="0" applyFont="1" applyFill="1"/>
    <xf numFmtId="0" fontId="44" fillId="3" borderId="40" xfId="0" applyFont="1" applyFill="1" applyBorder="1" applyAlignment="1">
      <alignment horizontal="center" vertical="center"/>
    </xf>
    <xf numFmtId="0" fontId="44" fillId="3" borderId="10" xfId="0" applyFont="1" applyFill="1" applyBorder="1" applyAlignment="1">
      <alignment horizontal="center" vertical="center"/>
    </xf>
    <xf numFmtId="165" fontId="0" fillId="5" borderId="45" xfId="2" applyNumberFormat="1" applyFont="1" applyFill="1" applyBorder="1" applyAlignment="1">
      <alignment horizontal="center" vertical="center"/>
    </xf>
    <xf numFmtId="165" fontId="0" fillId="5" borderId="119" xfId="2" applyNumberFormat="1" applyFont="1" applyFill="1" applyBorder="1" applyAlignment="1">
      <alignment horizontal="center" vertical="center"/>
    </xf>
    <xf numFmtId="165" fontId="0" fillId="5" borderId="126" xfId="2" applyNumberFormat="1" applyFont="1" applyFill="1" applyBorder="1" applyAlignment="1">
      <alignment horizontal="center" vertical="center"/>
    </xf>
    <xf numFmtId="168" fontId="0" fillId="5" borderId="71" xfId="2" applyNumberFormat="1" applyFont="1" applyFill="1" applyBorder="1" applyAlignment="1">
      <alignment horizontal="center" vertical="center"/>
    </xf>
    <xf numFmtId="168" fontId="0" fillId="5" borderId="148" xfId="2" applyNumberFormat="1" applyFont="1" applyFill="1" applyBorder="1" applyAlignment="1">
      <alignment horizontal="center" vertical="center"/>
    </xf>
    <xf numFmtId="165" fontId="0" fillId="5" borderId="159" xfId="2" applyNumberFormat="1" applyFont="1" applyFill="1" applyBorder="1" applyAlignment="1">
      <alignment horizontal="center" vertical="center"/>
    </xf>
    <xf numFmtId="165" fontId="0" fillId="5" borderId="28" xfId="2" applyNumberFormat="1" applyFont="1" applyFill="1" applyBorder="1" applyAlignment="1">
      <alignment horizontal="center" vertical="center"/>
    </xf>
    <xf numFmtId="0" fontId="124" fillId="2" borderId="0" xfId="0" applyFont="1" applyFill="1" applyBorder="1"/>
    <xf numFmtId="49" fontId="2" fillId="3" borderId="11" xfId="0" applyNumberFormat="1" applyFont="1" applyFill="1" applyBorder="1" applyAlignment="1">
      <alignment horizontal="center" vertical="center"/>
    </xf>
    <xf numFmtId="1" fontId="6" fillId="5" borderId="111" xfId="0" applyNumberFormat="1" applyFont="1" applyFill="1" applyBorder="1" applyAlignment="1">
      <alignment horizontal="center" vertical="center"/>
    </xf>
    <xf numFmtId="1" fontId="6" fillId="5" borderId="129" xfId="0" applyNumberFormat="1" applyFont="1" applyFill="1" applyBorder="1" applyAlignment="1">
      <alignment horizontal="center" vertical="center"/>
    </xf>
    <xf numFmtId="1" fontId="6" fillId="5" borderId="103" xfId="0" applyNumberFormat="1" applyFont="1" applyFill="1" applyBorder="1" applyAlignment="1">
      <alignment horizontal="center" vertical="center"/>
    </xf>
    <xf numFmtId="0" fontId="6" fillId="5" borderId="111" xfId="0" applyNumberFormat="1" applyFont="1" applyFill="1" applyBorder="1" applyAlignment="1" applyProtection="1">
      <alignment horizontal="center" vertical="center" wrapText="1"/>
      <protection hidden="1"/>
    </xf>
    <xf numFmtId="0" fontId="6" fillId="5" borderId="129" xfId="0" applyNumberFormat="1" applyFont="1" applyFill="1" applyBorder="1" applyAlignment="1" applyProtection="1">
      <alignment horizontal="center" vertical="center" wrapText="1"/>
      <protection hidden="1"/>
    </xf>
    <xf numFmtId="0" fontId="6" fillId="5" borderId="45" xfId="0" applyNumberFormat="1" applyFont="1" applyFill="1" applyBorder="1" applyAlignment="1" applyProtection="1">
      <alignment horizontal="center" vertical="center" wrapText="1"/>
      <protection hidden="1"/>
    </xf>
    <xf numFmtId="1" fontId="12" fillId="5" borderId="111" xfId="0" applyNumberFormat="1" applyFont="1" applyFill="1" applyBorder="1" applyAlignment="1">
      <alignment horizontal="center" vertical="center"/>
    </xf>
    <xf numFmtId="49" fontId="2" fillId="0" borderId="16" xfId="0" applyNumberFormat="1" applyFont="1" applyFill="1" applyBorder="1" applyAlignment="1">
      <alignment horizontal="center" vertical="top" wrapText="1"/>
    </xf>
    <xf numFmtId="0" fontId="47" fillId="3" borderId="25" xfId="0" applyFont="1" applyFill="1" applyBorder="1" applyAlignment="1">
      <alignment horizontal="center" vertical="center"/>
    </xf>
    <xf numFmtId="0" fontId="47" fillId="6" borderId="1" xfId="0" applyFont="1" applyFill="1" applyBorder="1" applyAlignment="1">
      <alignment horizontal="center" vertical="center"/>
    </xf>
    <xf numFmtId="164" fontId="37" fillId="8" borderId="162" xfId="0" applyNumberFormat="1" applyFont="1" applyFill="1" applyBorder="1" applyAlignment="1">
      <alignment horizontal="center" vertical="center"/>
    </xf>
    <xf numFmtId="0" fontId="3" fillId="6" borderId="116" xfId="0" applyFont="1" applyFill="1" applyBorder="1" applyAlignment="1">
      <alignment horizontal="right" vertical="center"/>
    </xf>
    <xf numFmtId="0" fontId="3" fillId="6" borderId="116" xfId="0" applyFont="1" applyFill="1" applyBorder="1" applyAlignment="1">
      <alignment horizontal="center" vertical="center"/>
    </xf>
    <xf numFmtId="0" fontId="3" fillId="6" borderId="116" xfId="0" applyFont="1" applyFill="1" applyBorder="1" applyAlignment="1">
      <alignment horizontal="center" vertical="center" wrapText="1"/>
    </xf>
    <xf numFmtId="0" fontId="3" fillId="6" borderId="114" xfId="0" applyFont="1" applyFill="1" applyBorder="1" applyAlignment="1">
      <alignment horizontal="center" vertical="center" wrapText="1"/>
    </xf>
    <xf numFmtId="0" fontId="47" fillId="19" borderId="25" xfId="0" applyFont="1" applyFill="1" applyBorder="1" applyAlignment="1">
      <alignment horizontal="center" vertical="center"/>
    </xf>
    <xf numFmtId="169" fontId="2" fillId="3" borderId="112" xfId="0" applyNumberFormat="1" applyFont="1" applyFill="1" applyBorder="1" applyAlignment="1">
      <alignment horizontal="center" vertical="center"/>
    </xf>
    <xf numFmtId="0" fontId="2" fillId="3" borderId="112" xfId="0" applyFont="1" applyFill="1" applyBorder="1" applyAlignment="1">
      <alignment horizontal="right" vertical="center"/>
    </xf>
    <xf numFmtId="164" fontId="2" fillId="5" borderId="163" xfId="0" applyNumberFormat="1" applyFont="1" applyFill="1" applyBorder="1" applyAlignment="1">
      <alignment horizontal="center" vertical="center"/>
    </xf>
    <xf numFmtId="0" fontId="2" fillId="3" borderId="164" xfId="0" applyFont="1" applyFill="1" applyBorder="1" applyAlignment="1">
      <alignment horizontal="right" vertical="center"/>
    </xf>
    <xf numFmtId="0" fontId="2" fillId="3" borderId="165" xfId="0" applyFont="1" applyFill="1" applyBorder="1" applyAlignment="1">
      <alignment horizontal="right" vertical="center"/>
    </xf>
    <xf numFmtId="0" fontId="18" fillId="0" borderId="166" xfId="0" applyFont="1" applyBorder="1" applyAlignment="1">
      <alignment horizontal="center" vertical="center"/>
    </xf>
    <xf numFmtId="0" fontId="2" fillId="3" borderId="167" xfId="0" applyFont="1" applyFill="1" applyBorder="1" applyAlignment="1">
      <alignment horizontal="right" vertical="center"/>
    </xf>
    <xf numFmtId="0" fontId="2" fillId="5" borderId="163" xfId="0" applyFont="1" applyFill="1" applyBorder="1" applyAlignment="1">
      <alignment horizontal="center" vertical="center"/>
    </xf>
    <xf numFmtId="0" fontId="46" fillId="0" borderId="168" xfId="0" applyFont="1" applyFill="1" applyBorder="1" applyAlignment="1">
      <alignment horizontal="center" vertical="center"/>
    </xf>
    <xf numFmtId="0" fontId="46" fillId="0" borderId="25" xfId="0" applyFont="1" applyFill="1" applyBorder="1" applyAlignment="1">
      <alignment horizontal="center" vertical="center"/>
    </xf>
    <xf numFmtId="0" fontId="46" fillId="0" borderId="1" xfId="0" applyFont="1" applyFill="1" applyBorder="1" applyAlignment="1">
      <alignment horizontal="center" vertical="center"/>
    </xf>
    <xf numFmtId="0" fontId="2" fillId="3" borderId="169" xfId="0" applyNumberFormat="1" applyFont="1" applyFill="1" applyBorder="1" applyAlignment="1">
      <alignment horizontal="center" vertical="center"/>
    </xf>
    <xf numFmtId="0" fontId="2" fillId="3" borderId="66" xfId="0" applyFont="1" applyFill="1" applyBorder="1" applyAlignment="1">
      <alignment horizontal="right" vertical="center"/>
    </xf>
    <xf numFmtId="164" fontId="2" fillId="5" borderId="170" xfId="0" applyNumberFormat="1" applyFont="1" applyFill="1" applyBorder="1" applyAlignment="1">
      <alignment horizontal="center" vertical="center"/>
    </xf>
    <xf numFmtId="0" fontId="3" fillId="6" borderId="171" xfId="0" applyFont="1" applyFill="1" applyBorder="1" applyAlignment="1">
      <alignment horizontal="center" vertical="center" wrapText="1"/>
    </xf>
    <xf numFmtId="0" fontId="3" fillId="6" borderId="172" xfId="0" applyFont="1" applyFill="1" applyBorder="1" applyAlignment="1">
      <alignment horizontal="center" vertical="center" wrapText="1"/>
    </xf>
    <xf numFmtId="0" fontId="3" fillId="6" borderId="172" xfId="0" applyFont="1" applyFill="1" applyBorder="1" applyAlignment="1">
      <alignment horizontal="center" vertical="center"/>
    </xf>
    <xf numFmtId="0" fontId="3" fillId="6" borderId="173" xfId="0" applyFont="1" applyFill="1" applyBorder="1" applyAlignment="1">
      <alignment horizontal="center" vertical="center" wrapText="1"/>
    </xf>
    <xf numFmtId="0" fontId="3" fillId="6" borderId="171" xfId="0" applyFont="1" applyFill="1" applyBorder="1" applyAlignment="1">
      <alignment horizontal="left" vertical="center"/>
    </xf>
    <xf numFmtId="0" fontId="2" fillId="3" borderId="175" xfId="0" applyFont="1" applyFill="1" applyBorder="1" applyAlignment="1">
      <alignment horizontal="center" vertical="center"/>
    </xf>
    <xf numFmtId="0" fontId="2" fillId="3" borderId="176" xfId="0" applyFont="1" applyFill="1" applyBorder="1" applyAlignment="1">
      <alignment horizontal="center" vertical="center"/>
    </xf>
    <xf numFmtId="0" fontId="0" fillId="3" borderId="176" xfId="0" applyFill="1" applyBorder="1" applyAlignment="1">
      <alignment horizontal="center" vertical="center"/>
    </xf>
    <xf numFmtId="0" fontId="2" fillId="3" borderId="177" xfId="0" applyFont="1" applyFill="1" applyBorder="1" applyAlignment="1">
      <alignment horizontal="center" vertical="center"/>
    </xf>
    <xf numFmtId="164" fontId="3" fillId="3" borderId="7" xfId="0" applyNumberFormat="1" applyFont="1" applyFill="1" applyBorder="1" applyAlignment="1">
      <alignment horizontal="center" vertical="center"/>
    </xf>
    <xf numFmtId="164" fontId="18" fillId="5" borderId="42" xfId="0" applyNumberFormat="1" applyFont="1" applyFill="1" applyBorder="1" applyAlignment="1">
      <alignment horizontal="center" vertical="center"/>
    </xf>
    <xf numFmtId="165" fontId="2" fillId="5" borderId="0" xfId="0" applyNumberFormat="1" applyFont="1" applyFill="1" applyBorder="1" applyAlignment="1">
      <alignment horizontal="center" vertical="center"/>
    </xf>
    <xf numFmtId="0" fontId="2" fillId="5" borderId="0" xfId="0" applyFont="1" applyFill="1" applyBorder="1" applyAlignment="1">
      <alignment horizontal="center" vertical="center"/>
    </xf>
    <xf numFmtId="0" fontId="2" fillId="5" borderId="162" xfId="0" applyFont="1" applyFill="1" applyBorder="1" applyAlignment="1">
      <alignment horizontal="center" vertical="center"/>
    </xf>
    <xf numFmtId="0" fontId="0" fillId="3" borderId="146" xfId="0" applyFill="1" applyBorder="1" applyAlignment="1">
      <alignment horizontal="center" vertical="center"/>
    </xf>
    <xf numFmtId="164" fontId="18" fillId="5" borderId="44" xfId="0" applyNumberFormat="1" applyFont="1" applyFill="1" applyBorder="1" applyAlignment="1">
      <alignment horizontal="center" vertical="center"/>
    </xf>
    <xf numFmtId="165" fontId="2" fillId="5" borderId="22" xfId="0" applyNumberFormat="1" applyFont="1" applyFill="1" applyBorder="1" applyAlignment="1">
      <alignment horizontal="center" vertical="center"/>
    </xf>
    <xf numFmtId="0" fontId="2" fillId="5" borderId="22" xfId="0" applyFont="1" applyFill="1" applyBorder="1" applyAlignment="1">
      <alignment horizontal="center" vertical="center"/>
    </xf>
    <xf numFmtId="0" fontId="2" fillId="5" borderId="178" xfId="0" applyFont="1" applyFill="1" applyBorder="1" applyAlignment="1">
      <alignment horizontal="center" vertical="center"/>
    </xf>
    <xf numFmtId="0" fontId="13" fillId="6" borderId="31" xfId="0" applyFont="1" applyFill="1" applyBorder="1" applyAlignment="1">
      <alignment horizontal="left"/>
    </xf>
    <xf numFmtId="0" fontId="3" fillId="6" borderId="31" xfId="0" applyFont="1" applyFill="1" applyBorder="1" applyAlignment="1">
      <alignment vertical="center"/>
    </xf>
    <xf numFmtId="0" fontId="0" fillId="6" borderId="179" xfId="0" applyFill="1" applyBorder="1" applyAlignment="1">
      <alignment horizontal="center" vertical="center"/>
    </xf>
    <xf numFmtId="0" fontId="3" fillId="6" borderId="2" xfId="0" applyFont="1" applyFill="1" applyBorder="1" applyAlignment="1">
      <alignment horizontal="left" vertical="top"/>
    </xf>
    <xf numFmtId="0" fontId="2" fillId="6" borderId="2" xfId="0" applyFont="1" applyFill="1" applyBorder="1" applyAlignment="1">
      <alignment horizontal="left" vertical="top"/>
    </xf>
    <xf numFmtId="0" fontId="3" fillId="6" borderId="2" xfId="0" applyFont="1" applyFill="1" applyBorder="1" applyAlignment="1">
      <alignment vertical="top"/>
    </xf>
    <xf numFmtId="0" fontId="0" fillId="6" borderId="180" xfId="0" applyFill="1" applyBorder="1" applyAlignment="1">
      <alignment horizontal="center" vertical="center"/>
    </xf>
    <xf numFmtId="0" fontId="0" fillId="3" borderId="162" xfId="0" applyFill="1" applyBorder="1" applyAlignment="1">
      <alignment horizontal="center" vertical="center"/>
    </xf>
    <xf numFmtId="0" fontId="2" fillId="3" borderId="4" xfId="0" applyFont="1" applyFill="1" applyBorder="1" applyAlignment="1">
      <alignment horizontal="left" vertical="center"/>
    </xf>
    <xf numFmtId="0" fontId="2" fillId="3" borderId="0" xfId="0" applyFont="1" applyFill="1" applyBorder="1" applyAlignment="1">
      <alignment horizontal="center" vertical="center"/>
    </xf>
    <xf numFmtId="0" fontId="2" fillId="3" borderId="4" xfId="0" applyFont="1" applyFill="1" applyBorder="1" applyAlignment="1">
      <alignment horizontal="right" vertical="center"/>
    </xf>
    <xf numFmtId="0" fontId="18" fillId="0" borderId="181" xfId="0" applyFont="1" applyBorder="1" applyAlignment="1">
      <alignment horizontal="center"/>
    </xf>
    <xf numFmtId="0" fontId="2" fillId="3" borderId="162" xfId="0" applyFont="1" applyFill="1" applyBorder="1" applyAlignment="1">
      <alignment horizontal="left" vertical="center"/>
    </xf>
    <xf numFmtId="0" fontId="2" fillId="3" borderId="0" xfId="0" applyFont="1" applyFill="1" applyBorder="1" applyAlignment="1">
      <alignment horizontal="right" vertical="center"/>
    </xf>
    <xf numFmtId="0" fontId="18" fillId="0" borderId="130" xfId="0" applyFont="1" applyBorder="1" applyAlignment="1">
      <alignment horizontal="center"/>
    </xf>
    <xf numFmtId="0" fontId="0" fillId="3" borderId="4" xfId="0" applyFill="1" applyBorder="1" applyAlignment="1">
      <alignment horizontal="left" vertical="center"/>
    </xf>
    <xf numFmtId="0" fontId="0" fillId="3" borderId="0" xfId="0" applyFill="1" applyBorder="1" applyAlignment="1">
      <alignment horizontal="left" vertical="center"/>
    </xf>
    <xf numFmtId="0" fontId="2" fillId="3" borderId="182" xfId="0" applyFont="1" applyFill="1" applyBorder="1" applyAlignment="1">
      <alignment horizontal="left" vertical="center"/>
    </xf>
    <xf numFmtId="0" fontId="0" fillId="3" borderId="183" xfId="0" applyFill="1" applyBorder="1" applyAlignment="1">
      <alignment horizontal="center" vertical="center"/>
    </xf>
    <xf numFmtId="0" fontId="2" fillId="3" borderId="184" xfId="0" applyFont="1" applyFill="1" applyBorder="1" applyAlignment="1">
      <alignment horizontal="center" vertical="center"/>
    </xf>
    <xf numFmtId="0" fontId="0" fillId="3" borderId="8" xfId="0" applyFill="1" applyBorder="1" applyAlignment="1">
      <alignment horizontal="center" vertical="center"/>
    </xf>
    <xf numFmtId="164" fontId="18" fillId="0" borderId="187" xfId="0" applyNumberFormat="1" applyFont="1" applyFill="1" applyBorder="1" applyAlignment="1">
      <alignment horizontal="center"/>
    </xf>
    <xf numFmtId="0" fontId="0" fillId="5" borderId="187" xfId="0" applyFill="1" applyBorder="1" applyAlignment="1">
      <alignment horizontal="center"/>
    </xf>
    <xf numFmtId="0" fontId="18" fillId="5" borderId="188" xfId="0" applyFont="1" applyFill="1" applyBorder="1" applyAlignment="1">
      <alignment horizontal="center"/>
    </xf>
    <xf numFmtId="164" fontId="18" fillId="0" borderId="0" xfId="0" applyNumberFormat="1" applyFont="1" applyFill="1" applyBorder="1" applyAlignment="1">
      <alignment horizontal="center"/>
    </xf>
    <xf numFmtId="0" fontId="0" fillId="5" borderId="0" xfId="0" applyFill="1" applyBorder="1" applyAlignment="1">
      <alignment horizontal="center"/>
    </xf>
    <xf numFmtId="0" fontId="18" fillId="5" borderId="162" xfId="0" applyFont="1" applyFill="1" applyBorder="1" applyAlignment="1">
      <alignment horizontal="center"/>
    </xf>
    <xf numFmtId="164" fontId="18" fillId="0" borderId="22" xfId="0" applyNumberFormat="1" applyFont="1" applyFill="1" applyBorder="1" applyAlignment="1">
      <alignment horizontal="center"/>
    </xf>
    <xf numFmtId="0" fontId="0" fillId="5" borderId="22" xfId="0" applyFill="1" applyBorder="1" applyAlignment="1">
      <alignment horizontal="center"/>
    </xf>
    <xf numFmtId="0" fontId="18" fillId="5" borderId="178" xfId="0" applyFont="1" applyFill="1" applyBorder="1" applyAlignment="1">
      <alignment horizontal="center"/>
    </xf>
    <xf numFmtId="0" fontId="2" fillId="3" borderId="174" xfId="0" applyFont="1" applyFill="1" applyBorder="1" applyAlignment="1">
      <alignment horizontal="center" vertical="center"/>
    </xf>
    <xf numFmtId="0" fontId="0" fillId="3" borderId="185" xfId="0" applyFill="1" applyBorder="1" applyAlignment="1">
      <alignment horizontal="center" vertical="center"/>
    </xf>
    <xf numFmtId="0" fontId="2" fillId="3" borderId="53" xfId="0" applyFont="1" applyFill="1" applyBorder="1" applyAlignment="1">
      <alignment horizontal="center" vertical="center"/>
    </xf>
    <xf numFmtId="0" fontId="2" fillId="3" borderId="54" xfId="0" applyFont="1" applyFill="1" applyBorder="1" applyAlignment="1">
      <alignment horizontal="center" vertical="center"/>
    </xf>
    <xf numFmtId="0" fontId="0" fillId="3" borderId="186" xfId="0" applyFill="1" applyBorder="1" applyAlignment="1">
      <alignment horizontal="center" vertical="center"/>
    </xf>
    <xf numFmtId="0" fontId="18" fillId="5" borderId="0" xfId="0" applyNumberFormat="1" applyFont="1" applyFill="1" applyBorder="1" applyAlignment="1">
      <alignment horizontal="center" vertical="center"/>
    </xf>
    <xf numFmtId="0" fontId="2" fillId="5" borderId="0" xfId="0" applyFont="1" applyFill="1" applyBorder="1" applyAlignment="1">
      <alignment horizontal="left"/>
    </xf>
    <xf numFmtId="0" fontId="2" fillId="5" borderId="0" xfId="0" applyFont="1" applyFill="1" applyAlignment="1">
      <alignment horizontal="left" vertical="center"/>
    </xf>
    <xf numFmtId="0" fontId="2" fillId="5" borderId="0" xfId="0" applyFont="1" applyFill="1" applyAlignment="1">
      <alignment horizontal="left"/>
    </xf>
    <xf numFmtId="0" fontId="74" fillId="3" borderId="92" xfId="0" applyFont="1" applyFill="1" applyBorder="1" applyAlignment="1">
      <alignment horizontal="center" vertical="center" wrapText="1"/>
    </xf>
    <xf numFmtId="0" fontId="6" fillId="5" borderId="92" xfId="0" applyFont="1" applyFill="1" applyBorder="1" applyAlignment="1">
      <alignment horizontal="center" vertical="center" wrapText="1"/>
    </xf>
    <xf numFmtId="0" fontId="2" fillId="3" borderId="9" xfId="0" applyFont="1" applyFill="1" applyBorder="1" applyAlignment="1">
      <alignment horizontal="center" vertical="center"/>
    </xf>
    <xf numFmtId="165" fontId="17" fillId="5" borderId="191" xfId="0" applyNumberFormat="1" applyFont="1" applyFill="1" applyBorder="1" applyAlignment="1">
      <alignment horizontal="center" vertical="center"/>
    </xf>
    <xf numFmtId="0" fontId="3" fillId="6" borderId="30" xfId="0" applyFont="1" applyFill="1" applyBorder="1" applyAlignment="1">
      <alignment horizontal="center" vertical="center"/>
    </xf>
    <xf numFmtId="0" fontId="13" fillId="6" borderId="32" xfId="0" applyFont="1" applyFill="1" applyBorder="1"/>
    <xf numFmtId="165" fontId="139" fillId="7" borderId="4" xfId="2" applyNumberFormat="1" applyFont="1" applyFill="1" applyBorder="1" applyAlignment="1">
      <alignment horizontal="left" vertical="center"/>
    </xf>
    <xf numFmtId="165" fontId="2" fillId="7" borderId="0" xfId="2" applyNumberFormat="1" applyFont="1" applyFill="1" applyBorder="1" applyAlignment="1">
      <alignment horizontal="left" vertical="center"/>
    </xf>
    <xf numFmtId="165" fontId="140" fillId="7" borderId="5" xfId="2" applyNumberFormat="1" applyFont="1" applyFill="1" applyBorder="1" applyAlignment="1">
      <alignment horizontal="center" vertical="center"/>
    </xf>
    <xf numFmtId="165" fontId="139" fillId="7" borderId="90" xfId="2" applyNumberFormat="1" applyFont="1" applyFill="1" applyBorder="1" applyAlignment="1">
      <alignment horizontal="left" vertical="center"/>
    </xf>
    <xf numFmtId="165" fontId="0" fillId="7" borderId="70" xfId="2" applyNumberFormat="1" applyFont="1" applyFill="1" applyBorder="1" applyAlignment="1">
      <alignment horizontal="center" vertical="center"/>
    </xf>
    <xf numFmtId="0" fontId="3" fillId="6" borderId="189" xfId="0" applyFont="1" applyFill="1" applyBorder="1" applyAlignment="1">
      <alignment horizontal="left" vertical="center"/>
    </xf>
    <xf numFmtId="0" fontId="3" fillId="6" borderId="190" xfId="0" applyFont="1" applyFill="1" applyBorder="1" applyAlignment="1">
      <alignment horizontal="left" vertical="center"/>
    </xf>
    <xf numFmtId="0" fontId="0" fillId="29" borderId="193" xfId="0" applyFill="1" applyBorder="1"/>
    <xf numFmtId="0" fontId="0" fillId="30" borderId="194" xfId="0" applyFill="1" applyBorder="1"/>
    <xf numFmtId="0" fontId="2" fillId="3" borderId="195" xfId="0" applyFont="1" applyFill="1" applyBorder="1" applyAlignment="1">
      <alignment horizontal="center" vertical="center"/>
    </xf>
    <xf numFmtId="165" fontId="13" fillId="18" borderId="196" xfId="2" applyNumberFormat="1" applyFont="1" applyFill="1" applyBorder="1" applyAlignment="1">
      <alignment horizontal="center" vertical="center"/>
    </xf>
    <xf numFmtId="0" fontId="0" fillId="29" borderId="29" xfId="0" applyFill="1" applyBorder="1"/>
    <xf numFmtId="0" fontId="0" fillId="30" borderId="197" xfId="0" applyFill="1" applyBorder="1"/>
    <xf numFmtId="0" fontId="2" fillId="6" borderId="198" xfId="0" applyFont="1" applyFill="1" applyBorder="1" applyAlignment="1">
      <alignment horizontal="center" vertical="center"/>
    </xf>
    <xf numFmtId="49" fontId="0" fillId="3" borderId="200" xfId="0" applyNumberFormat="1" applyFill="1" applyBorder="1" applyAlignment="1">
      <alignment horizontal="center"/>
    </xf>
    <xf numFmtId="165" fontId="141" fillId="2" borderId="29" xfId="0" applyNumberFormat="1" applyFont="1" applyFill="1" applyBorder="1" applyAlignment="1">
      <alignment horizontal="left"/>
    </xf>
    <xf numFmtId="165" fontId="141" fillId="2" borderId="197" xfId="0" applyNumberFormat="1" applyFont="1" applyFill="1" applyBorder="1"/>
    <xf numFmtId="49" fontId="0" fillId="3" borderId="201" xfId="0" applyNumberFormat="1" applyFill="1" applyBorder="1" applyAlignment="1">
      <alignment horizontal="center"/>
    </xf>
    <xf numFmtId="49" fontId="0" fillId="3" borderId="202" xfId="0" applyNumberFormat="1" applyFill="1" applyBorder="1" applyAlignment="1">
      <alignment horizontal="center"/>
    </xf>
    <xf numFmtId="0" fontId="3" fillId="6" borderId="203" xfId="0" applyFont="1" applyFill="1" applyBorder="1" applyAlignment="1">
      <alignment horizontal="left" vertical="center"/>
    </xf>
    <xf numFmtId="0" fontId="0" fillId="32" borderId="205" xfId="0" applyFill="1" applyBorder="1"/>
    <xf numFmtId="0" fontId="2" fillId="3" borderId="26" xfId="0" applyFont="1" applyFill="1" applyBorder="1" applyAlignment="1">
      <alignment horizontal="center" vertical="center"/>
    </xf>
    <xf numFmtId="165" fontId="2" fillId="7" borderId="22" xfId="2" applyNumberFormat="1" applyFont="1" applyFill="1" applyBorder="1" applyAlignment="1">
      <alignment horizontal="left" vertical="center"/>
    </xf>
    <xf numFmtId="0" fontId="2" fillId="3" borderId="2" xfId="0" applyFont="1" applyFill="1" applyBorder="1" applyAlignment="1">
      <alignment horizontal="center" vertical="center" wrapText="1"/>
    </xf>
    <xf numFmtId="0" fontId="86" fillId="2" borderId="0" xfId="0" applyFont="1" applyFill="1" applyBorder="1" applyAlignment="1">
      <alignment horizontal="center" vertical="center"/>
    </xf>
    <xf numFmtId="0" fontId="79" fillId="2" borderId="0" xfId="0" applyFont="1" applyFill="1" applyBorder="1" applyAlignment="1">
      <alignment horizontal="center" vertical="center"/>
    </xf>
    <xf numFmtId="0" fontId="13" fillId="6" borderId="90" xfId="0" applyFont="1" applyFill="1" applyBorder="1" applyAlignment="1">
      <alignment vertical="center"/>
    </xf>
    <xf numFmtId="0" fontId="13" fillId="6" borderId="22" xfId="0" applyFont="1" applyFill="1" applyBorder="1"/>
    <xf numFmtId="0" fontId="79" fillId="6" borderId="22" xfId="0" applyFont="1" applyFill="1" applyBorder="1" applyAlignment="1">
      <alignment horizontal="left" vertical="center"/>
    </xf>
    <xf numFmtId="0" fontId="0" fillId="6" borderId="70" xfId="0" applyFill="1" applyBorder="1" applyAlignment="1">
      <alignment horizontal="center"/>
    </xf>
    <xf numFmtId="0" fontId="136" fillId="6" borderId="136" xfId="0" applyFont="1" applyFill="1" applyBorder="1" applyAlignment="1">
      <alignment horizontal="left" vertical="center"/>
    </xf>
    <xf numFmtId="0" fontId="136" fillId="6" borderId="212" xfId="0" applyFont="1" applyFill="1" applyBorder="1" applyAlignment="1">
      <alignment horizontal="left" vertical="center"/>
    </xf>
    <xf numFmtId="0" fontId="136" fillId="5" borderId="208" xfId="0" applyFont="1" applyFill="1" applyBorder="1" applyAlignment="1">
      <alignment horizontal="left" vertical="center"/>
    </xf>
    <xf numFmtId="0" fontId="79" fillId="5" borderId="216" xfId="0" applyFont="1" applyFill="1" applyBorder="1" applyAlignment="1"/>
    <xf numFmtId="0" fontId="79" fillId="5" borderId="218" xfId="0" applyFont="1" applyFill="1" applyBorder="1"/>
    <xf numFmtId="0" fontId="79" fillId="5" borderId="219" xfId="0" applyFont="1" applyFill="1" applyBorder="1"/>
    <xf numFmtId="0" fontId="46" fillId="5" borderId="216" xfId="0" applyFont="1" applyFill="1" applyBorder="1"/>
    <xf numFmtId="0" fontId="46" fillId="5" borderId="218" xfId="0" applyFont="1" applyFill="1" applyBorder="1"/>
    <xf numFmtId="0" fontId="136" fillId="6" borderId="46" xfId="0" applyFont="1" applyFill="1" applyBorder="1" applyAlignment="1">
      <alignment horizontal="center" vertical="center"/>
    </xf>
    <xf numFmtId="0" fontId="142" fillId="3" borderId="9" xfId="0" applyFont="1" applyFill="1" applyBorder="1" applyAlignment="1">
      <alignment horizontal="center" vertical="center"/>
    </xf>
    <xf numFmtId="0" fontId="142" fillId="3" borderId="100" xfId="0" applyFont="1" applyFill="1" applyBorder="1" applyAlignment="1">
      <alignment vertical="center"/>
    </xf>
    <xf numFmtId="0" fontId="146" fillId="3" borderId="9" xfId="0" applyFont="1" applyFill="1" applyBorder="1" applyAlignment="1">
      <alignment horizontal="center" vertical="center"/>
    </xf>
    <xf numFmtId="0" fontId="142" fillId="5" borderId="0" xfId="0" applyNumberFormat="1" applyFont="1" applyFill="1" applyBorder="1" applyAlignment="1">
      <alignment horizontal="center" vertical="center"/>
    </xf>
    <xf numFmtId="11" fontId="142" fillId="5" borderId="38" xfId="0" applyNumberFormat="1" applyFont="1" applyFill="1" applyBorder="1" applyAlignment="1">
      <alignment horizontal="center" vertical="center"/>
    </xf>
    <xf numFmtId="0" fontId="146" fillId="3" borderId="26" xfId="0" applyFont="1" applyFill="1" applyBorder="1" applyAlignment="1">
      <alignment horizontal="center" vertical="center"/>
    </xf>
    <xf numFmtId="0" fontId="142" fillId="5" borderId="22" xfId="0" applyNumberFormat="1" applyFont="1" applyFill="1" applyBorder="1" applyAlignment="1">
      <alignment horizontal="center" vertical="center"/>
    </xf>
    <xf numFmtId="11" fontId="142" fillId="5" borderId="44" xfId="0" applyNumberFormat="1" applyFont="1" applyFill="1" applyBorder="1" applyAlignment="1">
      <alignment horizontal="center" vertical="center"/>
    </xf>
    <xf numFmtId="0" fontId="136" fillId="6" borderId="30" xfId="0" applyFont="1" applyFill="1" applyBorder="1" applyAlignment="1">
      <alignment horizontal="left" vertical="center"/>
    </xf>
    <xf numFmtId="0" fontId="142" fillId="5" borderId="22" xfId="0" applyFont="1" applyFill="1" applyBorder="1" applyAlignment="1">
      <alignment vertical="center"/>
    </xf>
    <xf numFmtId="0" fontId="142" fillId="6" borderId="122" xfId="0" applyFont="1" applyFill="1" applyBorder="1" applyAlignment="1">
      <alignment horizontal="center" vertical="center" wrapText="1"/>
    </xf>
    <xf numFmtId="0" fontId="142" fillId="6" borderId="100" xfId="0" applyFont="1" applyFill="1" applyBorder="1" applyAlignment="1">
      <alignment horizontal="center" vertical="center" wrapText="1"/>
    </xf>
    <xf numFmtId="0" fontId="146" fillId="3" borderId="121" xfId="0" applyFont="1" applyFill="1" applyBorder="1" applyAlignment="1">
      <alignment horizontal="center" vertical="center"/>
    </xf>
    <xf numFmtId="2" fontId="148" fillId="0" borderId="217" xfId="0" applyNumberFormat="1" applyFont="1" applyFill="1" applyBorder="1" applyAlignment="1">
      <alignment horizontal="center" vertical="center"/>
    </xf>
    <xf numFmtId="0" fontId="0" fillId="19" borderId="0" xfId="0" applyFill="1" applyBorder="1" applyAlignment="1">
      <alignment horizontal="center" vertical="center"/>
    </xf>
    <xf numFmtId="0" fontId="0" fillId="19" borderId="22" xfId="0" applyFill="1" applyBorder="1" applyAlignment="1">
      <alignment vertical="center"/>
    </xf>
    <xf numFmtId="0" fontId="13" fillId="6" borderId="0" xfId="0" applyFont="1" applyFill="1" applyBorder="1" applyAlignment="1" applyProtection="1">
      <alignment horizontal="left" vertical="center"/>
      <protection hidden="1"/>
    </xf>
    <xf numFmtId="0" fontId="3" fillId="6" borderId="185" xfId="0" applyFont="1" applyFill="1" applyBorder="1" applyAlignment="1">
      <alignment horizontal="center" vertical="center" wrapText="1"/>
    </xf>
    <xf numFmtId="0" fontId="9" fillId="3" borderId="218" xfId="0" applyFont="1" applyFill="1" applyBorder="1" applyAlignment="1">
      <alignment horizontal="center" vertical="center" wrapText="1"/>
    </xf>
    <xf numFmtId="0" fontId="0" fillId="6" borderId="213" xfId="0" applyFill="1" applyBorder="1" applyAlignment="1">
      <alignment horizontal="center" vertical="center"/>
    </xf>
    <xf numFmtId="0" fontId="0" fillId="7" borderId="221" xfId="0" applyFill="1" applyBorder="1" applyAlignment="1">
      <alignment horizontal="center" vertical="center" wrapText="1"/>
    </xf>
    <xf numFmtId="0" fontId="0" fillId="19" borderId="5" xfId="0" applyFill="1" applyBorder="1" applyAlignment="1">
      <alignment vertical="center"/>
    </xf>
    <xf numFmtId="0" fontId="0" fillId="19" borderId="70" xfId="0" applyFill="1" applyBorder="1" applyAlignment="1">
      <alignment vertical="center"/>
    </xf>
    <xf numFmtId="0" fontId="146" fillId="3" borderId="26" xfId="0" applyFont="1" applyFill="1" applyBorder="1" applyAlignment="1">
      <alignment horizontal="centerContinuous"/>
    </xf>
    <xf numFmtId="0" fontId="142" fillId="5" borderId="222" xfId="0" applyNumberFormat="1" applyFont="1" applyFill="1" applyBorder="1" applyAlignment="1">
      <alignment horizontal="center" vertical="center"/>
    </xf>
    <xf numFmtId="0" fontId="136" fillId="6" borderId="136" xfId="0" applyFont="1" applyFill="1" applyBorder="1" applyAlignment="1">
      <alignment horizontal="left" vertical="top"/>
    </xf>
    <xf numFmtId="0" fontId="142" fillId="6" borderId="53" xfId="0" applyFont="1" applyFill="1" applyBorder="1" applyAlignment="1">
      <alignment horizontal="center" vertical="top"/>
    </xf>
    <xf numFmtId="0" fontId="142" fillId="6" borderId="54" xfId="0" applyFont="1" applyFill="1" applyBorder="1" applyAlignment="1">
      <alignment horizontal="center" vertical="top"/>
    </xf>
    <xf numFmtId="0" fontId="142" fillId="3" borderId="223" xfId="0" applyFont="1" applyFill="1" applyBorder="1" applyAlignment="1">
      <alignment horizontal="center" vertical="center"/>
    </xf>
    <xf numFmtId="0" fontId="142" fillId="2" borderId="224" xfId="0" applyFont="1" applyFill="1" applyBorder="1" applyAlignment="1">
      <alignment horizontal="center" vertical="center"/>
    </xf>
    <xf numFmtId="0" fontId="148" fillId="0" borderId="215" xfId="0" applyNumberFormat="1" applyFont="1" applyFill="1" applyBorder="1" applyAlignment="1">
      <alignment horizontal="center" vertical="center"/>
    </xf>
    <xf numFmtId="1" fontId="142" fillId="3" borderId="217" xfId="0" applyNumberFormat="1" applyFont="1" applyFill="1" applyBorder="1" applyAlignment="1">
      <alignment horizontal="center" vertical="center"/>
    </xf>
    <xf numFmtId="0" fontId="142" fillId="2" borderId="211" xfId="0" applyFont="1" applyFill="1" applyBorder="1" applyAlignment="1">
      <alignment horizontal="center" vertical="center"/>
    </xf>
    <xf numFmtId="0" fontId="148" fillId="0" borderId="225" xfId="0" applyNumberFormat="1" applyFont="1" applyFill="1" applyBorder="1" applyAlignment="1">
      <alignment horizontal="center" vertical="center"/>
    </xf>
    <xf numFmtId="0" fontId="136" fillId="6" borderId="226" xfId="0" applyFont="1" applyFill="1" applyBorder="1" applyAlignment="1">
      <alignment horizontal="center" vertical="center"/>
    </xf>
    <xf numFmtId="0" fontId="3" fillId="6" borderId="4" xfId="0" applyFont="1" applyFill="1" applyBorder="1" applyAlignment="1">
      <alignment horizontal="left" vertical="center"/>
    </xf>
    <xf numFmtId="165" fontId="0" fillId="6" borderId="5" xfId="0" applyNumberFormat="1" applyFill="1" applyBorder="1" applyAlignment="1">
      <alignment horizontal="center" vertical="center"/>
    </xf>
    <xf numFmtId="0" fontId="142" fillId="3" borderId="9" xfId="0" applyFont="1" applyFill="1" applyBorder="1" applyAlignment="1">
      <alignment horizontal="center"/>
    </xf>
    <xf numFmtId="0" fontId="148" fillId="7" borderId="128" xfId="0" applyNumberFormat="1" applyFont="1" applyFill="1" applyBorder="1" applyAlignment="1">
      <alignment horizontal="center" vertical="center"/>
    </xf>
    <xf numFmtId="0" fontId="148" fillId="0" borderId="16" xfId="0" applyNumberFormat="1" applyFont="1" applyBorder="1" applyAlignment="1">
      <alignment horizontal="center" vertical="center"/>
    </xf>
    <xf numFmtId="0" fontId="148" fillId="7" borderId="17" xfId="0" applyNumberFormat="1" applyFont="1" applyFill="1" applyBorder="1" applyAlignment="1">
      <alignment horizontal="center" vertical="center"/>
    </xf>
    <xf numFmtId="0" fontId="2" fillId="6" borderId="58" xfId="0" applyFont="1" applyFill="1" applyBorder="1" applyAlignment="1">
      <alignment horizontal="left" vertical="center"/>
    </xf>
    <xf numFmtId="0" fontId="148" fillId="7" borderId="50" xfId="0" applyNumberFormat="1" applyFont="1" applyFill="1" applyBorder="1" applyAlignment="1">
      <alignment horizontal="center" vertical="center"/>
    </xf>
    <xf numFmtId="0" fontId="148" fillId="7" borderId="51" xfId="0" applyNumberFormat="1" applyFont="1" applyFill="1" applyBorder="1" applyAlignment="1">
      <alignment horizontal="center" vertical="center"/>
    </xf>
    <xf numFmtId="165" fontId="18" fillId="5" borderId="213" xfId="0" applyNumberFormat="1" applyFont="1" applyFill="1" applyBorder="1" applyAlignment="1">
      <alignment horizontal="center" vertical="center"/>
    </xf>
    <xf numFmtId="0" fontId="148" fillId="7" borderId="47" xfId="0" applyNumberFormat="1" applyFont="1" applyFill="1" applyBorder="1" applyAlignment="1">
      <alignment horizontal="center" vertical="center"/>
    </xf>
    <xf numFmtId="0" fontId="148" fillId="0" borderId="56" xfId="0" applyNumberFormat="1" applyFont="1" applyFill="1" applyBorder="1" applyAlignment="1">
      <alignment horizontal="center" vertical="center"/>
    </xf>
    <xf numFmtId="165" fontId="18" fillId="5" borderId="118" xfId="0" applyNumberFormat="1" applyFont="1" applyFill="1" applyBorder="1" applyAlignment="1">
      <alignment horizontal="center" vertical="center"/>
    </xf>
    <xf numFmtId="0" fontId="146" fillId="3" borderId="9" xfId="0" applyFont="1" applyFill="1" applyBorder="1" applyAlignment="1">
      <alignment horizontal="center"/>
    </xf>
    <xf numFmtId="0" fontId="142" fillId="5" borderId="227" xfId="0" applyNumberFormat="1" applyFont="1" applyFill="1" applyBorder="1" applyAlignment="1">
      <alignment horizontal="center" vertical="center"/>
    </xf>
    <xf numFmtId="11" fontId="142" fillId="5" borderId="20" xfId="0" applyNumberFormat="1" applyFont="1" applyFill="1" applyBorder="1" applyAlignment="1">
      <alignment horizontal="center" vertical="center"/>
    </xf>
    <xf numFmtId="0" fontId="142" fillId="5" borderId="154" xfId="0" applyNumberFormat="1" applyFont="1" applyFill="1" applyBorder="1" applyAlignment="1">
      <alignment horizontal="center" vertical="center"/>
    </xf>
    <xf numFmtId="11" fontId="142" fillId="5" borderId="0" xfId="0" applyNumberFormat="1" applyFont="1" applyFill="1" applyBorder="1" applyAlignment="1">
      <alignment horizontal="center" vertical="center"/>
    </xf>
    <xf numFmtId="2" fontId="148" fillId="0" borderId="231" xfId="0" applyNumberFormat="1" applyFont="1" applyFill="1" applyBorder="1" applyAlignment="1">
      <alignment horizontal="center" vertical="center"/>
    </xf>
    <xf numFmtId="1" fontId="148" fillId="4" borderId="145" xfId="0" applyNumberFormat="1" applyFont="1" applyFill="1" applyBorder="1" applyAlignment="1">
      <alignment horizontal="center" vertical="center"/>
    </xf>
    <xf numFmtId="0" fontId="149" fillId="2" borderId="0" xfId="0" applyFont="1" applyFill="1" applyAlignment="1">
      <alignment horizontal="center"/>
    </xf>
    <xf numFmtId="0" fontId="151" fillId="0" borderId="42" xfId="0" applyNumberFormat="1" applyFont="1" applyFill="1" applyBorder="1" applyAlignment="1">
      <alignment horizontal="center" vertical="center"/>
    </xf>
    <xf numFmtId="0" fontId="151" fillId="0" borderId="0" xfId="0" applyNumberFormat="1" applyFont="1" applyFill="1" applyBorder="1" applyAlignment="1">
      <alignment horizontal="center" vertical="center"/>
    </xf>
    <xf numFmtId="0" fontId="151" fillId="0" borderId="12" xfId="0" applyNumberFormat="1" applyFont="1" applyFill="1" applyBorder="1" applyAlignment="1">
      <alignment horizontal="center" vertical="center"/>
    </xf>
    <xf numFmtId="0" fontId="151" fillId="5" borderId="0" xfId="0" applyNumberFormat="1" applyFont="1" applyFill="1" applyBorder="1" applyAlignment="1">
      <alignment horizontal="center" vertical="center"/>
    </xf>
    <xf numFmtId="0" fontId="151" fillId="5" borderId="12" xfId="0" applyNumberFormat="1" applyFont="1" applyFill="1" applyBorder="1" applyAlignment="1">
      <alignment horizontal="center" vertical="center"/>
    </xf>
    <xf numFmtId="0" fontId="151" fillId="5" borderId="0" xfId="0" applyFont="1" applyFill="1" applyBorder="1" applyAlignment="1">
      <alignment horizontal="left" vertical="center"/>
    </xf>
    <xf numFmtId="0" fontId="153" fillId="3" borderId="9" xfId="0" applyFont="1" applyFill="1" applyBorder="1" applyAlignment="1">
      <alignment horizontal="center" vertical="center"/>
    </xf>
    <xf numFmtId="0" fontId="150" fillId="5" borderId="49" xfId="0" applyNumberFormat="1" applyFont="1" applyFill="1" applyBorder="1" applyAlignment="1">
      <alignment horizontal="center" vertical="center"/>
    </xf>
    <xf numFmtId="0" fontId="150" fillId="5" borderId="35" xfId="0" applyNumberFormat="1" applyFont="1" applyFill="1" applyBorder="1" applyAlignment="1">
      <alignment horizontal="center" vertical="center"/>
    </xf>
    <xf numFmtId="166" fontId="150" fillId="5" borderId="38" xfId="0" applyNumberFormat="1" applyFont="1" applyFill="1" applyBorder="1" applyAlignment="1">
      <alignment horizontal="center" vertical="center"/>
    </xf>
    <xf numFmtId="0" fontId="153" fillId="3" borderId="9" xfId="0" applyFont="1" applyFill="1" applyBorder="1" applyAlignment="1">
      <alignment horizontal="center"/>
    </xf>
    <xf numFmtId="0" fontId="150" fillId="5" borderId="42" xfId="0" applyNumberFormat="1" applyFont="1" applyFill="1" applyBorder="1" applyAlignment="1">
      <alignment horizontal="center" vertical="center"/>
    </xf>
    <xf numFmtId="0" fontId="150" fillId="5" borderId="0" xfId="0" applyNumberFormat="1" applyFont="1" applyFill="1" applyBorder="1" applyAlignment="1">
      <alignment horizontal="center" vertical="center"/>
    </xf>
    <xf numFmtId="0" fontId="150" fillId="5" borderId="154" xfId="0" applyNumberFormat="1" applyFont="1" applyFill="1" applyBorder="1" applyAlignment="1">
      <alignment horizontal="center" vertical="center"/>
    </xf>
    <xf numFmtId="166" fontId="150" fillId="5" borderId="42" xfId="0" applyNumberFormat="1" applyFont="1" applyFill="1" applyBorder="1" applyAlignment="1">
      <alignment horizontal="center" vertical="center"/>
    </xf>
    <xf numFmtId="0" fontId="153" fillId="3" borderId="26" xfId="0" applyFont="1" applyFill="1" applyBorder="1" applyAlignment="1">
      <alignment horizontal="centerContinuous"/>
    </xf>
    <xf numFmtId="0" fontId="150" fillId="5" borderId="44" xfId="0" applyNumberFormat="1" applyFont="1" applyFill="1" applyBorder="1" applyAlignment="1">
      <alignment horizontal="center" vertical="center"/>
    </xf>
    <xf numFmtId="0" fontId="150" fillId="5" borderId="22" xfId="0" applyNumberFormat="1" applyFont="1" applyFill="1" applyBorder="1" applyAlignment="1">
      <alignment horizontal="center" vertical="center"/>
    </xf>
    <xf numFmtId="0" fontId="150" fillId="6" borderId="220" xfId="0" applyFont="1" applyFill="1" applyBorder="1" applyAlignment="1">
      <alignment horizontal="left" vertical="center"/>
    </xf>
    <xf numFmtId="0" fontId="155" fillId="6" borderId="199" xfId="0" applyFont="1" applyFill="1" applyBorder="1" applyAlignment="1">
      <alignment horizontal="left" vertical="center"/>
    </xf>
    <xf numFmtId="0" fontId="155" fillId="6" borderId="227" xfId="0" applyFont="1" applyFill="1" applyBorder="1" applyAlignment="1">
      <alignment horizontal="center" vertical="center"/>
    </xf>
    <xf numFmtId="0" fontId="150" fillId="3" borderId="229" xfId="0" applyFont="1" applyFill="1" applyBorder="1" applyAlignment="1">
      <alignment horizontal="center" vertical="center"/>
    </xf>
    <xf numFmtId="0" fontId="150" fillId="3" borderId="53" xfId="0" applyFont="1" applyFill="1" applyBorder="1" applyAlignment="1">
      <alignment horizontal="center" vertical="center"/>
    </xf>
    <xf numFmtId="0" fontId="150" fillId="3" borderId="54" xfId="0" applyFont="1" applyFill="1" applyBorder="1" applyAlignment="1">
      <alignment horizontal="center" vertical="center"/>
    </xf>
    <xf numFmtId="0" fontId="151" fillId="0" borderId="227" xfId="0" applyFont="1" applyBorder="1" applyAlignment="1">
      <alignment horizontal="center" vertical="center"/>
    </xf>
    <xf numFmtId="0" fontId="151" fillId="0" borderId="181" xfId="0" applyFont="1" applyBorder="1" applyAlignment="1">
      <alignment horizontal="center" vertical="center"/>
    </xf>
    <xf numFmtId="2" fontId="151" fillId="5" borderId="228" xfId="0" applyNumberFormat="1" applyFont="1" applyFill="1" applyBorder="1" applyAlignment="1">
      <alignment horizontal="center" vertical="center"/>
    </xf>
    <xf numFmtId="0" fontId="150" fillId="6" borderId="53" xfId="0" applyFont="1" applyFill="1" applyBorder="1" applyAlignment="1">
      <alignment horizontal="center" vertical="top"/>
    </xf>
    <xf numFmtId="0" fontId="150" fillId="6" borderId="54" xfId="0" applyFont="1" applyFill="1" applyBorder="1" applyAlignment="1">
      <alignment horizontal="center" vertical="top"/>
    </xf>
    <xf numFmtId="0" fontId="150" fillId="3" borderId="223" xfId="0" applyFont="1" applyFill="1" applyBorder="1" applyAlignment="1">
      <alignment horizontal="center" vertical="center"/>
    </xf>
    <xf numFmtId="0" fontId="150" fillId="2" borderId="224" xfId="0" applyFont="1" applyFill="1" applyBorder="1" applyAlignment="1">
      <alignment horizontal="center" vertical="center"/>
    </xf>
    <xf numFmtId="0" fontId="151" fillId="0" borderId="215" xfId="0" applyNumberFormat="1" applyFont="1" applyFill="1" applyBorder="1" applyAlignment="1">
      <alignment horizontal="center" vertical="center"/>
    </xf>
    <xf numFmtId="1" fontId="150" fillId="3" borderId="217" xfId="0" applyNumberFormat="1" applyFont="1" applyFill="1" applyBorder="1" applyAlignment="1">
      <alignment horizontal="center" vertical="center"/>
    </xf>
    <xf numFmtId="0" fontId="150" fillId="2" borderId="211" xfId="0" applyFont="1" applyFill="1" applyBorder="1" applyAlignment="1">
      <alignment horizontal="center" vertical="center"/>
    </xf>
    <xf numFmtId="0" fontId="151" fillId="0" borderId="225" xfId="0" applyNumberFormat="1" applyFont="1" applyFill="1" applyBorder="1" applyAlignment="1">
      <alignment horizontal="center" vertical="center"/>
    </xf>
    <xf numFmtId="1" fontId="150" fillId="3" borderId="54" xfId="0" applyNumberFormat="1" applyFont="1" applyFill="1" applyBorder="1" applyAlignment="1">
      <alignment horizontal="center" vertical="center" wrapText="1"/>
    </xf>
    <xf numFmtId="1" fontId="150" fillId="3" borderId="209" xfId="0" applyNumberFormat="1" applyFont="1" applyFill="1" applyBorder="1" applyAlignment="1">
      <alignment horizontal="center" vertical="center" wrapText="1"/>
    </xf>
    <xf numFmtId="0" fontId="151" fillId="0" borderId="0" xfId="0" applyFont="1" applyFill="1" applyBorder="1" applyAlignment="1">
      <alignment horizontal="center" vertical="center"/>
    </xf>
    <xf numFmtId="0" fontId="151" fillId="0" borderId="12" xfId="0" applyFont="1" applyFill="1" applyBorder="1" applyAlignment="1">
      <alignment horizontal="center" vertical="center"/>
    </xf>
    <xf numFmtId="0" fontId="151" fillId="5" borderId="42" xfId="0" applyFont="1" applyFill="1" applyBorder="1" applyAlignment="1">
      <alignment horizontal="center" vertical="center"/>
    </xf>
    <xf numFmtId="0" fontId="151" fillId="5" borderId="0" xfId="0" applyFont="1" applyFill="1" applyBorder="1" applyAlignment="1">
      <alignment horizontal="center" vertical="center"/>
    </xf>
    <xf numFmtId="0" fontId="151" fillId="5" borderId="12" xfId="0" applyFont="1" applyFill="1" applyBorder="1" applyAlignment="1">
      <alignment horizontal="center" vertical="center"/>
    </xf>
    <xf numFmtId="0" fontId="151" fillId="5" borderId="54" xfId="0" applyFont="1" applyFill="1" applyBorder="1" applyAlignment="1">
      <alignment horizontal="center" vertical="center"/>
    </xf>
    <xf numFmtId="0" fontId="153" fillId="3" borderId="26" xfId="0" applyFont="1" applyFill="1" applyBorder="1" applyAlignment="1">
      <alignment horizontal="center" vertical="center"/>
    </xf>
    <xf numFmtId="0" fontId="155" fillId="6" borderId="210" xfId="0" applyFont="1" applyFill="1" applyBorder="1" applyAlignment="1">
      <alignment horizontal="left" vertical="center"/>
    </xf>
    <xf numFmtId="0" fontId="155" fillId="6" borderId="52" xfId="0" applyFont="1" applyFill="1" applyBorder="1" applyAlignment="1">
      <alignment horizontal="center" vertical="center"/>
    </xf>
    <xf numFmtId="2" fontId="151" fillId="0" borderId="61" xfId="0" applyNumberFormat="1" applyFont="1" applyBorder="1" applyAlignment="1">
      <alignment horizontal="center" vertical="center"/>
    </xf>
    <xf numFmtId="2" fontId="151" fillId="0" borderId="211" xfId="0" applyNumberFormat="1" applyFont="1" applyBorder="1" applyAlignment="1">
      <alignment horizontal="center" vertical="center"/>
    </xf>
    <xf numFmtId="0" fontId="155" fillId="6" borderId="24" xfId="0" applyFont="1" applyFill="1" applyBorder="1" applyAlignment="1">
      <alignment horizontal="left" vertical="center"/>
    </xf>
    <xf numFmtId="0" fontId="156" fillId="6" borderId="32" xfId="0" applyFont="1" applyFill="1" applyBorder="1"/>
    <xf numFmtId="0" fontId="155" fillId="6" borderId="6" xfId="0" applyFont="1" applyFill="1" applyBorder="1" applyAlignment="1">
      <alignment horizontal="center" vertical="center" wrapText="1"/>
    </xf>
    <xf numFmtId="0" fontId="150" fillId="3" borderId="41" xfId="0" applyFont="1" applyFill="1" applyBorder="1" applyAlignment="1">
      <alignment horizontal="center" vertical="center" wrapText="1"/>
    </xf>
    <xf numFmtId="0" fontId="150" fillId="3" borderId="9" xfId="0" applyFont="1" applyFill="1" applyBorder="1" applyAlignment="1">
      <alignment horizontal="center" vertical="center"/>
    </xf>
    <xf numFmtId="0" fontId="150" fillId="3" borderId="26" xfId="0" applyFont="1" applyFill="1" applyBorder="1" applyAlignment="1">
      <alignment horizontal="center" vertical="center"/>
    </xf>
    <xf numFmtId="0" fontId="157" fillId="4" borderId="233" xfId="0" applyFont="1" applyFill="1" applyBorder="1" applyAlignment="1">
      <alignment horizontal="left" vertical="center"/>
    </xf>
    <xf numFmtId="0" fontId="79" fillId="4" borderId="234" xfId="0" applyFont="1" applyFill="1" applyBorder="1" applyAlignment="1">
      <alignment horizontal="left" vertical="center"/>
    </xf>
    <xf numFmtId="165" fontId="136" fillId="6" borderId="83" xfId="0" applyNumberFormat="1" applyFont="1" applyFill="1" applyBorder="1" applyAlignment="1">
      <alignment horizontal="center" vertical="center"/>
    </xf>
    <xf numFmtId="165" fontId="142" fillId="3" borderId="80" xfId="0" applyNumberFormat="1" applyFont="1" applyFill="1" applyBorder="1" applyAlignment="1">
      <alignment horizontal="center" vertical="center"/>
    </xf>
    <xf numFmtId="0" fontId="148" fillId="0" borderId="50" xfId="0" applyNumberFormat="1" applyFont="1" applyBorder="1" applyAlignment="1">
      <alignment horizontal="center" vertical="center"/>
    </xf>
    <xf numFmtId="165" fontId="142" fillId="3" borderId="81" xfId="0" applyNumberFormat="1" applyFont="1" applyFill="1" applyBorder="1" applyAlignment="1">
      <alignment horizontal="center" vertical="center"/>
    </xf>
    <xf numFmtId="0" fontId="146" fillId="3" borderId="119" xfId="0" applyNumberFormat="1" applyFont="1" applyFill="1" applyBorder="1" applyAlignment="1">
      <alignment horizontal="center" vertical="center"/>
    </xf>
    <xf numFmtId="0" fontId="142" fillId="3" borderId="31" xfId="0" applyFont="1" applyFill="1" applyBorder="1" applyAlignment="1">
      <alignment horizontal="right" vertical="center"/>
    </xf>
    <xf numFmtId="0" fontId="146" fillId="3" borderId="104" xfId="0" applyFont="1" applyFill="1" applyBorder="1" applyAlignment="1">
      <alignment horizontal="left" vertical="center"/>
    </xf>
    <xf numFmtId="0" fontId="146" fillId="3" borderId="81" xfId="0" applyFont="1" applyFill="1" applyBorder="1" applyAlignment="1">
      <alignment horizontal="center" vertical="center"/>
    </xf>
    <xf numFmtId="0" fontId="146" fillId="3" borderId="42" xfId="0" applyNumberFormat="1" applyFont="1" applyFill="1" applyBorder="1" applyAlignment="1">
      <alignment horizontal="left" vertical="center"/>
    </xf>
    <xf numFmtId="0" fontId="142" fillId="3" borderId="5" xfId="0" applyFont="1" applyFill="1" applyBorder="1" applyAlignment="1">
      <alignment vertical="center"/>
    </xf>
    <xf numFmtId="0" fontId="146" fillId="3" borderId="84" xfId="0" applyFont="1" applyFill="1" applyBorder="1" applyAlignment="1">
      <alignment horizontal="center" vertical="center"/>
    </xf>
    <xf numFmtId="0" fontId="146" fillId="3" borderId="44" xfId="0" applyNumberFormat="1" applyFont="1" applyFill="1" applyBorder="1" applyAlignment="1">
      <alignment horizontal="left" vertical="center"/>
    </xf>
    <xf numFmtId="165" fontId="142" fillId="5" borderId="28" xfId="0" applyNumberFormat="1" applyFont="1" applyFill="1" applyBorder="1" applyAlignment="1">
      <alignment horizontal="center" vertical="center"/>
    </xf>
    <xf numFmtId="165" fontId="150" fillId="3" borderId="80" xfId="0" applyNumberFormat="1" applyFont="1" applyFill="1" applyBorder="1" applyAlignment="1">
      <alignment horizontal="center" vertical="center"/>
    </xf>
    <xf numFmtId="165" fontId="150" fillId="3" borderId="81" xfId="0" applyNumberFormat="1" applyFont="1" applyFill="1" applyBorder="1" applyAlignment="1">
      <alignment horizontal="center"/>
    </xf>
    <xf numFmtId="0" fontId="150" fillId="5" borderId="54" xfId="0" applyNumberFormat="1" applyFont="1" applyFill="1" applyBorder="1" applyAlignment="1">
      <alignment horizontal="center" vertical="center"/>
    </xf>
    <xf numFmtId="0" fontId="159" fillId="3" borderId="81" xfId="0" applyFont="1" applyFill="1" applyBorder="1" applyAlignment="1">
      <alignment horizontal="center" vertical="center"/>
    </xf>
    <xf numFmtId="0" fontId="153" fillId="3" borderId="81" xfId="0" applyFont="1" applyFill="1" applyBorder="1" applyAlignment="1">
      <alignment horizontal="center" vertical="center"/>
    </xf>
    <xf numFmtId="0" fontId="150" fillId="3" borderId="82" xfId="0" applyFont="1" applyFill="1" applyBorder="1" applyAlignment="1">
      <alignment horizontal="center" vertical="center"/>
    </xf>
    <xf numFmtId="0" fontId="150" fillId="5" borderId="147" xfId="0" applyNumberFormat="1" applyFont="1" applyFill="1" applyBorder="1" applyAlignment="1">
      <alignment horizontal="center" vertical="center"/>
    </xf>
    <xf numFmtId="0" fontId="2" fillId="2" borderId="0" xfId="0" applyFont="1" applyFill="1" applyBorder="1" applyAlignment="1">
      <alignment vertical="center"/>
    </xf>
    <xf numFmtId="0" fontId="2" fillId="6" borderId="235" xfId="0" applyFont="1" applyFill="1" applyBorder="1" applyAlignment="1">
      <alignment horizontal="center" vertical="center"/>
    </xf>
    <xf numFmtId="0" fontId="141" fillId="2" borderId="237" xfId="0" applyFont="1" applyFill="1" applyBorder="1" applyAlignment="1">
      <alignment horizontal="right"/>
    </xf>
    <xf numFmtId="0" fontId="13" fillId="6" borderId="239" xfId="0" applyFont="1" applyFill="1" applyBorder="1"/>
    <xf numFmtId="0" fontId="2" fillId="3" borderId="240" xfId="0" applyFont="1" applyFill="1" applyBorder="1" applyAlignment="1">
      <alignment horizontal="center" vertical="center" wrapText="1"/>
    </xf>
    <xf numFmtId="2" fontId="0" fillId="5" borderId="196" xfId="0" applyNumberFormat="1" applyFill="1" applyBorder="1" applyAlignment="1">
      <alignment horizontal="center" vertical="center"/>
    </xf>
    <xf numFmtId="2" fontId="0" fillId="5" borderId="241" xfId="0" applyNumberFormat="1" applyFill="1" applyBorder="1" applyAlignment="1">
      <alignment horizontal="center" vertical="center"/>
    </xf>
    <xf numFmtId="2" fontId="2" fillId="5" borderId="5" xfId="0" applyNumberFormat="1" applyFont="1" applyFill="1" applyBorder="1" applyAlignment="1">
      <alignment horizontal="center" vertical="center"/>
    </xf>
    <xf numFmtId="2" fontId="2" fillId="5" borderId="70" xfId="0" applyNumberFormat="1" applyFont="1" applyFill="1" applyBorder="1" applyAlignment="1">
      <alignment horizontal="center" vertical="center"/>
    </xf>
    <xf numFmtId="0" fontId="0" fillId="30" borderId="243" xfId="0" applyFill="1" applyBorder="1"/>
    <xf numFmtId="0" fontId="0" fillId="30" borderId="192" xfId="0" applyFill="1" applyBorder="1"/>
    <xf numFmtId="0" fontId="157" fillId="29" borderId="242" xfId="0" applyFont="1" applyFill="1" applyBorder="1"/>
    <xf numFmtId="0" fontId="142" fillId="29" borderId="232" xfId="0" applyFont="1" applyFill="1" applyBorder="1" applyAlignment="1">
      <alignment vertical="top"/>
    </xf>
    <xf numFmtId="0" fontId="3" fillId="3" borderId="35" xfId="0" applyFont="1" applyFill="1" applyBorder="1" applyAlignment="1">
      <alignment horizontal="left"/>
    </xf>
    <xf numFmtId="165" fontId="2" fillId="5" borderId="0" xfId="0" applyNumberFormat="1" applyFont="1" applyFill="1" applyAlignment="1">
      <alignment horizontal="center"/>
    </xf>
    <xf numFmtId="0" fontId="162" fillId="9" borderId="143" xfId="0" applyNumberFormat="1" applyFont="1" applyFill="1" applyBorder="1" applyAlignment="1">
      <alignment horizontal="center" vertical="center"/>
    </xf>
    <xf numFmtId="0" fontId="162" fillId="9" borderId="144" xfId="0" applyNumberFormat="1" applyFont="1" applyFill="1" applyBorder="1" applyAlignment="1">
      <alignment horizontal="center" vertical="center"/>
    </xf>
    <xf numFmtId="0" fontId="162" fillId="9" borderId="144" xfId="0" applyNumberFormat="1" applyFont="1" applyFill="1" applyBorder="1" applyAlignment="1">
      <alignment horizontal="center"/>
    </xf>
    <xf numFmtId="0" fontId="2" fillId="5" borderId="102" xfId="0" applyFont="1" applyFill="1" applyBorder="1"/>
    <xf numFmtId="0" fontId="0" fillId="32" borderId="207" xfId="0" applyFill="1" applyBorder="1" applyAlignment="1">
      <alignment horizontal="left" vertical="center"/>
    </xf>
    <xf numFmtId="0" fontId="0" fillId="31" borderId="206" xfId="0" applyFill="1" applyBorder="1" applyAlignment="1">
      <alignment horizontal="right" vertical="center"/>
    </xf>
    <xf numFmtId="0" fontId="3" fillId="2" borderId="0" xfId="0" applyFont="1" applyFill="1" applyBorder="1" applyAlignment="1">
      <alignment horizontal="left" vertical="center"/>
    </xf>
    <xf numFmtId="0" fontId="3" fillId="20" borderId="244" xfId="0" applyFont="1" applyFill="1" applyBorder="1" applyAlignment="1">
      <alignment horizontal="center"/>
    </xf>
    <xf numFmtId="0" fontId="2" fillId="21" borderId="245" xfId="0" applyFont="1" applyFill="1" applyBorder="1" applyAlignment="1">
      <alignment horizontal="left" vertical="center"/>
    </xf>
    <xf numFmtId="1" fontId="137" fillId="33" borderId="246" xfId="0" applyNumberFormat="1" applyFont="1" applyFill="1" applyBorder="1" applyAlignment="1">
      <alignment horizontal="right" vertical="center"/>
    </xf>
    <xf numFmtId="0" fontId="3" fillId="20" borderId="247" xfId="0" applyFont="1" applyFill="1" applyBorder="1" applyAlignment="1">
      <alignment horizontal="right" vertical="center"/>
    </xf>
    <xf numFmtId="0" fontId="138" fillId="25" borderId="248" xfId="0" applyFont="1" applyFill="1" applyBorder="1" applyAlignment="1">
      <alignment horizontal="center" wrapText="1"/>
    </xf>
    <xf numFmtId="0" fontId="13" fillId="20" borderId="247" xfId="0" applyFont="1" applyFill="1" applyBorder="1" applyAlignment="1">
      <alignment horizontal="right" vertical="center"/>
    </xf>
    <xf numFmtId="0" fontId="136" fillId="18" borderId="0" xfId="0" applyFont="1" applyFill="1" applyBorder="1" applyAlignment="1">
      <alignment horizontal="center"/>
    </xf>
    <xf numFmtId="0" fontId="0" fillId="25" borderId="248" xfId="0" applyFill="1" applyBorder="1"/>
    <xf numFmtId="0" fontId="0" fillId="18" borderId="0" xfId="0" applyFill="1" applyBorder="1"/>
    <xf numFmtId="0" fontId="0" fillId="0" borderId="0" xfId="0" applyBorder="1"/>
    <xf numFmtId="0" fontId="24" fillId="26" borderId="249" xfId="0" applyFont="1" applyFill="1" applyBorder="1" applyAlignment="1">
      <alignment vertical="center"/>
    </xf>
    <xf numFmtId="0" fontId="24" fillId="27" borderId="250" xfId="0" applyFont="1" applyFill="1" applyBorder="1" applyAlignment="1">
      <alignment vertical="center"/>
    </xf>
    <xf numFmtId="0" fontId="0" fillId="28" borderId="251" xfId="0" applyFill="1" applyBorder="1" applyAlignment="1">
      <alignment vertical="center"/>
    </xf>
    <xf numFmtId="0" fontId="24" fillId="22" borderId="244" xfId="0" applyFont="1" applyFill="1" applyBorder="1" applyAlignment="1">
      <alignment horizontal="center" vertical="center"/>
    </xf>
    <xf numFmtId="0" fontId="13" fillId="23" borderId="252" xfId="0" applyFont="1" applyFill="1" applyBorder="1" applyAlignment="1">
      <alignment horizontal="center" vertical="center"/>
    </xf>
    <xf numFmtId="0" fontId="0" fillId="24" borderId="253" xfId="0" applyFill="1" applyBorder="1" applyAlignment="1">
      <alignment vertical="center"/>
    </xf>
    <xf numFmtId="0" fontId="0" fillId="25" borderId="248" xfId="0" applyFill="1" applyBorder="1" applyAlignment="1">
      <alignment horizontal="center" vertical="center"/>
    </xf>
    <xf numFmtId="0" fontId="24" fillId="26" borderId="249" xfId="0" applyFont="1" applyFill="1" applyBorder="1" applyAlignment="1">
      <alignment horizontal="left" vertical="center"/>
    </xf>
    <xf numFmtId="0" fontId="121" fillId="27" borderId="250" xfId="0" applyFont="1" applyFill="1" applyBorder="1" applyAlignment="1">
      <alignment horizontal="center" vertical="center"/>
    </xf>
    <xf numFmtId="0" fontId="0" fillId="28" borderId="251" xfId="0" applyFill="1" applyBorder="1" applyAlignment="1">
      <alignment horizontal="center" vertical="top"/>
    </xf>
    <xf numFmtId="0" fontId="164" fillId="0" borderId="0" xfId="0" applyFont="1" applyFill="1" applyBorder="1" applyAlignment="1">
      <alignment horizontal="center" vertical="center"/>
    </xf>
    <xf numFmtId="166" fontId="165" fillId="5" borderId="14" xfId="0" applyNumberFormat="1" applyFont="1" applyFill="1" applyBorder="1" applyAlignment="1">
      <alignment horizontal="center" vertical="center"/>
    </xf>
    <xf numFmtId="0" fontId="165" fillId="5" borderId="44" xfId="0" applyFont="1" applyFill="1" applyBorder="1" applyAlignment="1">
      <alignment horizontal="center" vertical="center"/>
    </xf>
    <xf numFmtId="0" fontId="165" fillId="5" borderId="22" xfId="0" applyFont="1" applyFill="1" applyBorder="1" applyAlignment="1">
      <alignment horizontal="center" vertical="center"/>
    </xf>
    <xf numFmtId="0" fontId="165" fillId="5" borderId="0" xfId="0" applyFont="1" applyFill="1" applyBorder="1" applyAlignment="1">
      <alignment horizontal="center" vertical="center"/>
    </xf>
    <xf numFmtId="0" fontId="165" fillId="5" borderId="154" xfId="0" applyFont="1" applyFill="1" applyBorder="1" applyAlignment="1">
      <alignment horizontal="center" vertical="center"/>
    </xf>
    <xf numFmtId="166" fontId="165" fillId="5" borderId="27" xfId="0" applyNumberFormat="1" applyFont="1" applyFill="1" applyBorder="1" applyAlignment="1">
      <alignment horizontal="center" vertical="center"/>
    </xf>
    <xf numFmtId="165" fontId="141" fillId="2" borderId="236" xfId="0" applyNumberFormat="1" applyFont="1" applyFill="1" applyBorder="1" applyAlignment="1">
      <alignment horizontal="right"/>
    </xf>
    <xf numFmtId="165" fontId="141" fillId="2" borderId="238" xfId="0" applyNumberFormat="1" applyFont="1" applyFill="1" applyBorder="1" applyAlignment="1">
      <alignment horizontal="right"/>
    </xf>
    <xf numFmtId="0" fontId="0" fillId="0" borderId="0" xfId="0" applyAlignment="1"/>
    <xf numFmtId="0" fontId="48" fillId="8" borderId="0" xfId="0" applyFont="1" applyFill="1" applyBorder="1" applyAlignment="1">
      <alignment horizontal="center" vertical="center"/>
    </xf>
    <xf numFmtId="0" fontId="47" fillId="5" borderId="216" xfId="0" applyFont="1" applyFill="1" applyBorder="1" applyAlignment="1">
      <alignment horizontal="center" vertical="center"/>
    </xf>
    <xf numFmtId="0" fontId="47" fillId="3" borderId="199" xfId="0" applyFont="1" applyFill="1" applyBorder="1" applyAlignment="1">
      <alignment horizontal="center" vertical="center"/>
    </xf>
    <xf numFmtId="0" fontId="47" fillId="6" borderId="218" xfId="0" applyFont="1" applyFill="1" applyBorder="1" applyAlignment="1">
      <alignment horizontal="center" vertical="center"/>
    </xf>
    <xf numFmtId="0" fontId="46" fillId="7" borderId="216" xfId="0" applyFont="1" applyFill="1" applyBorder="1" applyAlignment="1">
      <alignment horizontal="center" vertical="center"/>
    </xf>
    <xf numFmtId="0" fontId="46" fillId="7" borderId="218" xfId="0" applyFont="1" applyFill="1" applyBorder="1" applyAlignment="1">
      <alignment horizontal="center" vertical="center"/>
    </xf>
    <xf numFmtId="0" fontId="46" fillId="0" borderId="216" xfId="0" applyFont="1" applyFill="1" applyBorder="1" applyAlignment="1">
      <alignment horizontal="center" vertical="center"/>
    </xf>
    <xf numFmtId="0" fontId="46" fillId="0" borderId="218" xfId="0" applyFont="1" applyFill="1" applyBorder="1" applyAlignment="1">
      <alignment horizontal="center" vertical="center"/>
    </xf>
    <xf numFmtId="165" fontId="2" fillId="0" borderId="0" xfId="0" applyNumberFormat="1" applyFont="1" applyFill="1"/>
    <xf numFmtId="165" fontId="2" fillId="0" borderId="0" xfId="0" quotePrefix="1" applyNumberFormat="1" applyFont="1" applyFill="1"/>
    <xf numFmtId="0" fontId="0" fillId="2" borderId="55" xfId="0" applyFill="1" applyBorder="1" applyAlignment="1">
      <alignment vertical="center"/>
    </xf>
    <xf numFmtId="0" fontId="0" fillId="2" borderId="90" xfId="0" applyFill="1" applyBorder="1"/>
    <xf numFmtId="0" fontId="2" fillId="3" borderId="0" xfId="0" applyFont="1" applyFill="1" applyBorder="1" applyAlignment="1">
      <alignment vertical="center"/>
    </xf>
    <xf numFmtId="49" fontId="2" fillId="5" borderId="0" xfId="0" applyNumberFormat="1" applyFont="1" applyFill="1" applyBorder="1" applyAlignment="1">
      <alignment horizontal="left"/>
    </xf>
    <xf numFmtId="0" fontId="0" fillId="3" borderId="25" xfId="0" applyNumberFormat="1" applyFill="1" applyBorder="1" applyAlignment="1">
      <alignment horizontal="left" vertical="center"/>
    </xf>
    <xf numFmtId="0" fontId="0" fillId="3" borderId="25" xfId="0" applyNumberFormat="1" applyFill="1" applyBorder="1" applyAlignment="1">
      <alignment horizontal="center" vertical="center"/>
    </xf>
    <xf numFmtId="0" fontId="0" fillId="3" borderId="25" xfId="0" applyNumberFormat="1" applyFill="1" applyBorder="1" applyAlignment="1">
      <alignment horizontal="right" vertical="center"/>
    </xf>
    <xf numFmtId="0" fontId="3" fillId="3" borderId="25" xfId="0" applyNumberFormat="1" applyFont="1" applyFill="1" applyBorder="1" applyAlignment="1">
      <alignment horizontal="left" vertical="center"/>
    </xf>
    <xf numFmtId="0" fontId="3" fillId="31" borderId="204" xfId="0" applyFont="1" applyFill="1" applyBorder="1" applyAlignment="1"/>
    <xf numFmtId="49" fontId="2" fillId="3" borderId="9" xfId="0" applyNumberFormat="1" applyFont="1" applyFill="1" applyBorder="1" applyAlignment="1">
      <alignment horizontal="center" vertical="center"/>
    </xf>
    <xf numFmtId="49" fontId="2" fillId="3" borderId="26" xfId="0" applyNumberFormat="1" applyFont="1" applyFill="1" applyBorder="1" applyAlignment="1">
      <alignment horizontal="center" vertical="center"/>
    </xf>
    <xf numFmtId="0" fontId="5" fillId="6" borderId="216" xfId="0" applyFont="1" applyFill="1" applyBorder="1" applyAlignment="1">
      <alignment horizontal="left" vertical="center"/>
    </xf>
    <xf numFmtId="0" fontId="5" fillId="6" borderId="199" xfId="0" applyFont="1" applyFill="1" applyBorder="1" applyAlignment="1">
      <alignment horizontal="left" vertical="center"/>
    </xf>
    <xf numFmtId="0" fontId="50" fillId="6" borderId="199" xfId="0" applyFont="1" applyFill="1" applyBorder="1" applyAlignment="1">
      <alignment horizontal="center" vertical="center"/>
    </xf>
    <xf numFmtId="0" fontId="0" fillId="6" borderId="199" xfId="0" applyFill="1" applyBorder="1" applyAlignment="1">
      <alignment vertical="center"/>
    </xf>
    <xf numFmtId="0" fontId="3" fillId="6" borderId="199" xfId="0" applyFont="1" applyFill="1" applyBorder="1" applyAlignment="1">
      <alignment horizontal="center" vertical="center"/>
    </xf>
    <xf numFmtId="0" fontId="3" fillId="6" borderId="230" xfId="0" applyFont="1" applyFill="1" applyBorder="1" applyAlignment="1">
      <alignment horizontal="center" vertical="center" wrapText="1"/>
    </xf>
    <xf numFmtId="0" fontId="9" fillId="3" borderId="230" xfId="0" applyFont="1" applyFill="1" applyBorder="1" applyAlignment="1">
      <alignment horizontal="center" vertical="center" wrapText="1"/>
    </xf>
    <xf numFmtId="0" fontId="0" fillId="2" borderId="0" xfId="0" applyNumberFormat="1" applyFill="1" applyAlignment="1">
      <alignment horizontal="center"/>
    </xf>
    <xf numFmtId="1" fontId="166" fillId="34" borderId="0" xfId="0" applyNumberFormat="1" applyFont="1" applyFill="1"/>
    <xf numFmtId="1" fontId="166" fillId="35" borderId="0" xfId="0" applyNumberFormat="1" applyFont="1" applyFill="1"/>
    <xf numFmtId="1" fontId="166" fillId="36" borderId="0" xfId="0" applyNumberFormat="1" applyFont="1" applyFill="1"/>
    <xf numFmtId="0" fontId="2" fillId="2" borderId="0" xfId="0" applyNumberFormat="1" applyFont="1" applyFill="1" applyAlignment="1">
      <alignment horizontal="center"/>
    </xf>
    <xf numFmtId="0" fontId="167" fillId="2" borderId="0" xfId="0" applyNumberFormat="1" applyFont="1" applyFill="1" applyAlignment="1">
      <alignment horizontal="center"/>
    </xf>
    <xf numFmtId="0" fontId="167" fillId="2" borderId="0" xfId="0" applyNumberFormat="1" applyFont="1" applyFill="1" applyAlignment="1">
      <alignment horizontal="right"/>
    </xf>
    <xf numFmtId="1" fontId="166" fillId="37" borderId="0" xfId="0" applyNumberFormat="1" applyFont="1" applyFill="1"/>
    <xf numFmtId="1" fontId="166" fillId="38" borderId="0" xfId="0" applyNumberFormat="1" applyFont="1" applyFill="1"/>
    <xf numFmtId="1" fontId="166" fillId="18" borderId="0" xfId="0" applyNumberFormat="1" applyFont="1" applyFill="1"/>
    <xf numFmtId="1" fontId="166" fillId="39" borderId="0" xfId="0" applyNumberFormat="1" applyFont="1" applyFill="1"/>
    <xf numFmtId="1" fontId="166" fillId="40" borderId="0" xfId="0" applyNumberFormat="1" applyFont="1" applyFill="1"/>
    <xf numFmtId="0" fontId="0" fillId="41" borderId="0" xfId="0" applyFill="1" applyAlignment="1">
      <alignment horizontal="center"/>
    </xf>
    <xf numFmtId="0" fontId="0" fillId="41" borderId="0" xfId="0" applyNumberFormat="1" applyFill="1" applyAlignment="1">
      <alignment horizontal="center"/>
    </xf>
    <xf numFmtId="0" fontId="0" fillId="41" borderId="0" xfId="0" applyNumberFormat="1" applyFill="1" applyAlignment="1">
      <alignment horizontal="left"/>
    </xf>
    <xf numFmtId="0" fontId="2" fillId="41" borderId="0" xfId="0" applyNumberFormat="1" applyFont="1" applyFill="1" applyAlignment="1">
      <alignment horizontal="center"/>
    </xf>
    <xf numFmtId="0" fontId="5" fillId="41" borderId="0" xfId="0" applyNumberFormat="1" applyFont="1" applyFill="1" applyAlignment="1">
      <alignment vertical="top"/>
    </xf>
    <xf numFmtId="0" fontId="51" fillId="41" borderId="0" xfId="0" applyNumberFormat="1" applyFont="1" applyFill="1" applyBorder="1" applyAlignment="1">
      <alignment horizontal="center" vertical="top" wrapText="1"/>
    </xf>
    <xf numFmtId="0" fontId="46" fillId="41" borderId="0" xfId="0" applyNumberFormat="1" applyFont="1" applyFill="1" applyAlignment="1">
      <alignment horizontal="center" vertical="top" wrapText="1"/>
    </xf>
    <xf numFmtId="0" fontId="5" fillId="41" borderId="0" xfId="0" applyNumberFormat="1" applyFont="1" applyFill="1" applyAlignment="1">
      <alignment horizontal="center" vertical="top" wrapText="1"/>
    </xf>
    <xf numFmtId="0" fontId="51" fillId="41" borderId="0" xfId="0" applyNumberFormat="1" applyFont="1" applyFill="1" applyBorder="1" applyAlignment="1">
      <alignment horizontal="left" vertical="top" wrapText="1"/>
    </xf>
    <xf numFmtId="0" fontId="51" fillId="41" borderId="0" xfId="0" applyNumberFormat="1" applyFont="1" applyFill="1" applyBorder="1" applyAlignment="1">
      <alignment horizontal="right" vertical="top" wrapText="1"/>
    </xf>
    <xf numFmtId="0" fontId="51" fillId="41" borderId="0" xfId="0" applyFont="1" applyFill="1" applyBorder="1" applyAlignment="1">
      <alignment horizontal="center" vertical="top" wrapText="1"/>
    </xf>
    <xf numFmtId="0" fontId="125" fillId="41" borderId="0" xfId="0" applyNumberFormat="1" applyFont="1" applyFill="1" applyAlignment="1">
      <alignment horizontal="center"/>
    </xf>
    <xf numFmtId="0" fontId="6" fillId="41" borderId="0" xfId="0" applyNumberFormat="1" applyFont="1" applyFill="1" applyBorder="1" applyAlignment="1">
      <alignment horizontal="center" vertical="top" wrapText="1"/>
    </xf>
    <xf numFmtId="0" fontId="2" fillId="41" borderId="0" xfId="0" applyNumberFormat="1" applyFont="1" applyFill="1" applyBorder="1" applyAlignment="1">
      <alignment horizontal="center" vertical="top" wrapText="1"/>
    </xf>
    <xf numFmtId="0" fontId="125" fillId="41" borderId="0" xfId="0" applyNumberFormat="1" applyFont="1" applyFill="1" applyBorder="1" applyAlignment="1">
      <alignment horizontal="center" vertical="top" wrapText="1"/>
    </xf>
    <xf numFmtId="0" fontId="2" fillId="41" borderId="0" xfId="0" applyNumberFormat="1" applyFont="1" applyFill="1" applyAlignment="1">
      <alignment horizontal="left"/>
    </xf>
    <xf numFmtId="0" fontId="0" fillId="41" borderId="0" xfId="0" applyNumberFormat="1" applyFill="1"/>
    <xf numFmtId="165" fontId="0" fillId="41" borderId="0" xfId="0" applyNumberFormat="1" applyFill="1"/>
    <xf numFmtId="0" fontId="2" fillId="41" borderId="0" xfId="0" applyNumberFormat="1" applyFont="1" applyFill="1"/>
    <xf numFmtId="0" fontId="5" fillId="41" borderId="0" xfId="0" applyNumberFormat="1" applyFont="1" applyFill="1" applyBorder="1" applyAlignment="1">
      <alignment vertical="top"/>
    </xf>
    <xf numFmtId="0" fontId="5" fillId="41" borderId="0" xfId="0" applyNumberFormat="1" applyFont="1" applyFill="1" applyBorder="1" applyAlignment="1">
      <alignment horizontal="center" vertical="top" wrapText="1"/>
    </xf>
    <xf numFmtId="0" fontId="5" fillId="41" borderId="0" xfId="0" applyNumberFormat="1" applyFont="1" applyFill="1" applyAlignment="1">
      <alignment horizontal="center"/>
    </xf>
    <xf numFmtId="0" fontId="5" fillId="41" borderId="0" xfId="0" applyNumberFormat="1" applyFont="1" applyFill="1" applyBorder="1" applyAlignment="1">
      <alignment vertical="top" wrapText="1"/>
    </xf>
    <xf numFmtId="0" fontId="5" fillId="41" borderId="0" xfId="0" applyNumberFormat="1" applyFont="1" applyFill="1" applyBorder="1" applyAlignment="1">
      <alignment horizontal="right" vertical="top" wrapText="1"/>
    </xf>
    <xf numFmtId="0" fontId="5" fillId="41" borderId="0" xfId="0" applyFont="1" applyFill="1"/>
    <xf numFmtId="0" fontId="0" fillId="41" borderId="0" xfId="0" applyFill="1" applyAlignment="1">
      <alignment horizontal="left"/>
    </xf>
    <xf numFmtId="0" fontId="51" fillId="41" borderId="0" xfId="0" applyNumberFormat="1" applyFont="1" applyFill="1" applyBorder="1" applyAlignment="1">
      <alignment vertical="top" wrapText="1"/>
    </xf>
    <xf numFmtId="0" fontId="5" fillId="41" borderId="0" xfId="0" applyNumberFormat="1" applyFont="1" applyFill="1" applyBorder="1"/>
    <xf numFmtId="0" fontId="5" fillId="41" borderId="0" xfId="0" applyNumberFormat="1" applyFont="1" applyFill="1" applyBorder="1" applyAlignment="1">
      <alignment horizontal="right"/>
    </xf>
    <xf numFmtId="0" fontId="2" fillId="41" borderId="0" xfId="0" applyNumberFormat="1" applyFont="1" applyFill="1" applyBorder="1" applyAlignment="1">
      <alignment vertical="top" wrapText="1"/>
    </xf>
    <xf numFmtId="0" fontId="2" fillId="41" borderId="0" xfId="0" applyFont="1" applyFill="1"/>
    <xf numFmtId="0" fontId="0" fillId="41" borderId="0" xfId="0" applyNumberFormat="1" applyFill="1" applyAlignment="1"/>
    <xf numFmtId="0" fontId="2" fillId="41" borderId="0" xfId="0" applyNumberFormat="1" applyFont="1" applyFill="1" applyAlignment="1">
      <alignment horizontal="right"/>
    </xf>
    <xf numFmtId="0" fontId="0" fillId="41" borderId="0" xfId="0" applyFill="1"/>
    <xf numFmtId="49" fontId="2" fillId="3" borderId="199" xfId="0" applyNumberFormat="1" applyFont="1" applyFill="1" applyBorder="1" applyAlignment="1">
      <alignment horizontal="center" vertical="center"/>
    </xf>
    <xf numFmtId="49" fontId="2" fillId="3" borderId="199" xfId="0" applyNumberFormat="1" applyFont="1" applyFill="1" applyBorder="1" applyAlignment="1">
      <alignment horizontal="left" vertical="center"/>
    </xf>
    <xf numFmtId="49" fontId="0" fillId="3" borderId="199" xfId="0" applyNumberFormat="1" applyFill="1" applyBorder="1" applyAlignment="1">
      <alignment horizontal="left" vertical="center"/>
    </xf>
    <xf numFmtId="49" fontId="168" fillId="3" borderId="199" xfId="0" applyNumberFormat="1" applyFont="1" applyFill="1" applyBorder="1" applyAlignment="1">
      <alignment horizontal="left" vertical="center"/>
    </xf>
    <xf numFmtId="0" fontId="24" fillId="3" borderId="0" xfId="0" applyFont="1" applyFill="1" applyAlignment="1">
      <alignment horizontal="right"/>
    </xf>
    <xf numFmtId="0" fontId="2" fillId="3" borderId="45" xfId="0" applyFont="1" applyFill="1" applyBorder="1" applyAlignment="1">
      <alignment vertical="center"/>
    </xf>
    <xf numFmtId="166" fontId="0" fillId="5" borderId="148" xfId="0" applyNumberFormat="1" applyFill="1" applyBorder="1" applyAlignment="1">
      <alignment horizontal="center" vertical="center"/>
    </xf>
    <xf numFmtId="0" fontId="2" fillId="3" borderId="0" xfId="0" applyNumberFormat="1" applyFont="1" applyFill="1" applyBorder="1" applyAlignment="1">
      <alignment horizontal="left" vertical="center"/>
    </xf>
    <xf numFmtId="0" fontId="2" fillId="5" borderId="0" xfId="0" applyFont="1" applyFill="1"/>
    <xf numFmtId="167" fontId="0" fillId="0" borderId="0" xfId="0" applyNumberFormat="1" applyAlignment="1">
      <alignment horizontal="center" vertical="justify"/>
    </xf>
    <xf numFmtId="167" fontId="0" fillId="0" borderId="0" xfId="0" applyNumberFormat="1"/>
    <xf numFmtId="0" fontId="0" fillId="5" borderId="0" xfId="0" applyNumberFormat="1" applyFill="1" applyAlignment="1">
      <alignment horizontal="center"/>
    </xf>
    <xf numFmtId="0" fontId="142" fillId="3" borderId="255" xfId="0" applyFont="1" applyFill="1" applyBorder="1" applyAlignment="1">
      <alignment horizontal="center" vertical="center"/>
    </xf>
    <xf numFmtId="0" fontId="142" fillId="3" borderId="254" xfId="0" applyFont="1" applyFill="1" applyBorder="1" applyAlignment="1">
      <alignment horizontal="center" vertical="center"/>
    </xf>
    <xf numFmtId="0" fontId="2" fillId="3" borderId="2" xfId="0" applyFont="1" applyFill="1" applyBorder="1" applyAlignment="1">
      <alignment horizontal="center" vertical="center"/>
    </xf>
    <xf numFmtId="0" fontId="3" fillId="6" borderId="131" xfId="0" applyFont="1" applyFill="1" applyBorder="1" applyAlignment="1">
      <alignment horizontal="center" vertical="center"/>
    </xf>
    <xf numFmtId="0" fontId="3" fillId="6" borderId="24" xfId="0" applyFont="1" applyFill="1" applyBorder="1" applyAlignment="1">
      <alignment horizontal="center" vertical="center"/>
    </xf>
    <xf numFmtId="0" fontId="106" fillId="3" borderId="256" xfId="0" applyFont="1" applyFill="1" applyBorder="1" applyAlignment="1">
      <alignment horizontal="center" vertical="distributed"/>
    </xf>
    <xf numFmtId="0" fontId="106" fillId="3" borderId="181" xfId="0" applyFont="1" applyFill="1" applyBorder="1" applyAlignment="1">
      <alignment horizontal="centerContinuous" vertical="center"/>
    </xf>
    <xf numFmtId="167" fontId="0" fillId="5" borderId="181" xfId="0" applyNumberFormat="1" applyFill="1" applyBorder="1" applyAlignment="1">
      <alignment horizontal="center" vertical="center"/>
    </xf>
    <xf numFmtId="167" fontId="0" fillId="5" borderId="214" xfId="0" applyNumberFormat="1" applyFill="1" applyBorder="1" applyAlignment="1">
      <alignment horizontal="center" vertical="center"/>
    </xf>
    <xf numFmtId="0" fontId="5" fillId="3" borderId="155" xfId="0" applyFont="1" applyFill="1" applyBorder="1" applyAlignment="1">
      <alignment horizontal="centerContinuous" vertical="center"/>
    </xf>
    <xf numFmtId="0" fontId="2" fillId="3" borderId="125" xfId="0" applyFont="1" applyFill="1" applyBorder="1" applyAlignment="1">
      <alignment horizontal="right" vertical="center"/>
    </xf>
    <xf numFmtId="0" fontId="2" fillId="3" borderId="22" xfId="0" applyFont="1" applyFill="1" applyBorder="1" applyAlignment="1">
      <alignment horizontal="right" vertical="center"/>
    </xf>
    <xf numFmtId="0" fontId="3" fillId="3" borderId="187" xfId="0" applyFont="1" applyFill="1" applyBorder="1" applyAlignment="1">
      <alignment horizontal="center"/>
    </xf>
    <xf numFmtId="0" fontId="2" fillId="3" borderId="2" xfId="0" applyFont="1" applyFill="1" applyBorder="1" applyAlignment="1">
      <alignment horizontal="center" wrapText="1"/>
    </xf>
    <xf numFmtId="0" fontId="2" fillId="3" borderId="0" xfId="0" applyFont="1" applyFill="1" applyBorder="1" applyAlignment="1">
      <alignment horizontal="left" vertical="center"/>
    </xf>
    <xf numFmtId="0" fontId="2" fillId="3" borderId="0" xfId="0" applyNumberFormat="1" applyFont="1" applyFill="1" applyBorder="1" applyAlignment="1">
      <alignment horizontal="right" vertical="center"/>
    </xf>
    <xf numFmtId="0" fontId="2" fillId="2" borderId="0" xfId="0" applyFont="1" applyFill="1" applyAlignment="1">
      <alignment horizontal="center"/>
    </xf>
    <xf numFmtId="171" fontId="5" fillId="2" borderId="0" xfId="0" applyNumberFormat="1" applyFont="1" applyFill="1"/>
    <xf numFmtId="0" fontId="155" fillId="6" borderId="52" xfId="0" applyFont="1" applyFill="1" applyBorder="1" applyAlignment="1">
      <alignment horizontal="center" vertical="center" wrapText="1"/>
    </xf>
    <xf numFmtId="165" fontId="13" fillId="6" borderId="22" xfId="0" applyNumberFormat="1" applyFont="1" applyFill="1" applyBorder="1" applyAlignment="1">
      <alignment horizontal="left" vertical="center"/>
    </xf>
    <xf numFmtId="0" fontId="5" fillId="6" borderId="22" xfId="0" applyFont="1" applyFill="1" applyBorder="1" applyAlignment="1">
      <alignment horizontal="center" vertical="center"/>
    </xf>
    <xf numFmtId="0" fontId="5" fillId="6" borderId="70" xfId="0" applyFont="1" applyFill="1" applyBorder="1" applyAlignment="1">
      <alignment horizontal="center" vertical="center"/>
    </xf>
    <xf numFmtId="0" fontId="156" fillId="5" borderId="142" xfId="0" applyNumberFormat="1" applyFont="1" applyFill="1" applyBorder="1" applyAlignment="1">
      <alignment horizontal="center" vertical="center"/>
    </xf>
    <xf numFmtId="0" fontId="7" fillId="8" borderId="257" xfId="0" applyFont="1" applyFill="1" applyBorder="1" applyAlignment="1">
      <alignment vertical="center"/>
    </xf>
    <xf numFmtId="0" fontId="7" fillId="8" borderId="258" xfId="0" applyFont="1" applyFill="1" applyBorder="1" applyAlignment="1">
      <alignment vertical="center"/>
    </xf>
    <xf numFmtId="0" fontId="7" fillId="8" borderId="259" xfId="0" applyFont="1" applyFill="1" applyBorder="1" applyAlignment="1">
      <alignment vertical="center"/>
    </xf>
    <xf numFmtId="0" fontId="7" fillId="8" borderId="260" xfId="0" applyFont="1" applyFill="1" applyBorder="1" applyAlignment="1">
      <alignment vertical="center"/>
    </xf>
    <xf numFmtId="0" fontId="7" fillId="8" borderId="261" xfId="0" applyFont="1" applyFill="1" applyBorder="1" applyAlignment="1">
      <alignment vertical="center"/>
    </xf>
    <xf numFmtId="166" fontId="38" fillId="9" borderId="262" xfId="0" applyNumberFormat="1" applyFont="1" applyFill="1" applyBorder="1" applyAlignment="1">
      <alignment horizontal="center" vertical="center"/>
    </xf>
    <xf numFmtId="166" fontId="38" fillId="9" borderId="263" xfId="0" applyNumberFormat="1" applyFont="1" applyFill="1" applyBorder="1" applyAlignment="1">
      <alignment horizontal="center" vertical="center"/>
    </xf>
    <xf numFmtId="165" fontId="142" fillId="3" borderId="255" xfId="0" applyNumberFormat="1" applyFont="1" applyFill="1" applyBorder="1" applyAlignment="1">
      <alignment horizontal="center" vertical="center"/>
    </xf>
    <xf numFmtId="1" fontId="142" fillId="3" borderId="265" xfId="0" applyNumberFormat="1" applyFont="1" applyFill="1" applyBorder="1" applyAlignment="1">
      <alignment horizontal="center" vertical="center" wrapText="1"/>
    </xf>
    <xf numFmtId="0" fontId="136" fillId="6" borderId="30" xfId="0" applyFont="1" applyFill="1" applyBorder="1" applyAlignment="1">
      <alignment horizontal="center" vertical="center"/>
    </xf>
    <xf numFmtId="0" fontId="150" fillId="3" borderId="6" xfId="0" applyFont="1" applyFill="1" applyBorder="1" applyAlignment="1">
      <alignment horizontal="center" vertical="center"/>
    </xf>
    <xf numFmtId="0" fontId="150" fillId="3" borderId="64" xfId="0" applyFont="1" applyFill="1" applyBorder="1" applyAlignment="1">
      <alignment horizontal="center" vertical="center"/>
    </xf>
    <xf numFmtId="0" fontId="150" fillId="3" borderId="87" xfId="0" applyFont="1" applyFill="1" applyBorder="1" applyAlignment="1">
      <alignment horizontal="center" vertical="center"/>
    </xf>
    <xf numFmtId="0" fontId="151" fillId="0" borderId="60" xfId="0" applyFont="1" applyFill="1" applyBorder="1" applyAlignment="1">
      <alignment horizontal="center" vertical="center"/>
    </xf>
    <xf numFmtId="0" fontId="151" fillId="0" borderId="34" xfId="0" applyFont="1" applyFill="1" applyBorder="1" applyAlignment="1">
      <alignment horizontal="center" vertical="center"/>
    </xf>
    <xf numFmtId="2" fontId="150" fillId="5" borderId="72" xfId="0" applyNumberFormat="1" applyFont="1" applyFill="1" applyBorder="1" applyAlignment="1">
      <alignment horizontal="center" vertical="center"/>
    </xf>
    <xf numFmtId="0" fontId="155" fillId="6" borderId="199" xfId="0" applyFont="1" applyFill="1" applyBorder="1" applyAlignment="1">
      <alignment horizontal="center" vertical="center"/>
    </xf>
    <xf numFmtId="0" fontId="150" fillId="6" borderId="199" xfId="0" applyFont="1" applyFill="1" applyBorder="1" applyAlignment="1">
      <alignment horizontal="center" vertical="center"/>
    </xf>
    <xf numFmtId="0" fontId="150" fillId="6" borderId="220" xfId="0" applyFont="1" applyFill="1" applyBorder="1" applyAlignment="1">
      <alignment vertical="center"/>
    </xf>
    <xf numFmtId="0" fontId="150" fillId="6" borderId="213" xfId="0" applyFont="1" applyFill="1" applyBorder="1" applyAlignment="1">
      <alignment vertical="center"/>
    </xf>
    <xf numFmtId="0" fontId="148" fillId="7" borderId="130" xfId="0" applyNumberFormat="1" applyFont="1" applyFill="1" applyBorder="1" applyAlignment="1">
      <alignment horizontal="center" vertical="center"/>
    </xf>
    <xf numFmtId="0" fontId="148" fillId="0" borderId="129" xfId="0" applyNumberFormat="1" applyFont="1" applyBorder="1" applyAlignment="1">
      <alignment horizontal="center" vertical="center"/>
    </xf>
    <xf numFmtId="0" fontId="148" fillId="7" borderId="264" xfId="0" applyNumberFormat="1" applyFont="1" applyFill="1" applyBorder="1" applyAlignment="1">
      <alignment horizontal="center" vertical="center"/>
    </xf>
    <xf numFmtId="165" fontId="13" fillId="6" borderId="90" xfId="0" applyNumberFormat="1" applyFont="1" applyFill="1" applyBorder="1" applyAlignment="1">
      <alignment horizontal="left" vertical="center"/>
    </xf>
    <xf numFmtId="0" fontId="136" fillId="6" borderId="266" xfId="0" applyFont="1" applyFill="1" applyBorder="1" applyAlignment="1">
      <alignment horizontal="center" vertical="center"/>
    </xf>
    <xf numFmtId="0" fontId="136" fillId="6" borderId="228" xfId="0" applyFont="1" applyFill="1" applyBorder="1" applyAlignment="1">
      <alignment horizontal="left" vertical="center"/>
    </xf>
    <xf numFmtId="0" fontId="136" fillId="6" borderId="0" xfId="0" applyFont="1" applyFill="1" applyBorder="1" applyAlignment="1">
      <alignment horizontal="left" vertical="center"/>
    </xf>
    <xf numFmtId="0" fontId="155" fillId="6" borderId="108" xfId="0" applyFont="1" applyFill="1" applyBorder="1" applyAlignment="1">
      <alignment horizontal="left" vertical="top"/>
    </xf>
    <xf numFmtId="0" fontId="2" fillId="6" borderId="267" xfId="0" applyFont="1" applyFill="1" applyBorder="1" applyAlignment="1">
      <alignment vertical="center"/>
    </xf>
    <xf numFmtId="0" fontId="124" fillId="6" borderId="268" xfId="0" applyFont="1" applyFill="1" applyBorder="1" applyAlignment="1">
      <alignment horizontal="center" vertical="center"/>
    </xf>
    <xf numFmtId="0" fontId="124" fillId="6" borderId="269" xfId="0" applyFont="1" applyFill="1" applyBorder="1" applyAlignment="1">
      <alignment vertical="center"/>
    </xf>
    <xf numFmtId="0" fontId="3" fillId="6" borderId="270" xfId="0" applyFont="1" applyFill="1" applyBorder="1" applyAlignment="1">
      <alignment horizontal="left" vertical="top"/>
    </xf>
    <xf numFmtId="0" fontId="106" fillId="3" borderId="130" xfId="0" applyFont="1" applyFill="1" applyBorder="1" applyAlignment="1">
      <alignment horizontal="centerContinuous"/>
    </xf>
    <xf numFmtId="0" fontId="18" fillId="3" borderId="4" xfId="0" applyNumberFormat="1" applyFont="1" applyFill="1" applyBorder="1" applyAlignment="1">
      <alignment horizontal="center" vertical="center"/>
    </xf>
    <xf numFmtId="0" fontId="18" fillId="3" borderId="0" xfId="0" applyNumberFormat="1" applyFont="1" applyFill="1" applyBorder="1" applyAlignment="1">
      <alignment horizontal="right" vertical="center"/>
    </xf>
    <xf numFmtId="0" fontId="13" fillId="0" borderId="5" xfId="0" applyNumberFormat="1" applyFont="1" applyFill="1" applyBorder="1" applyAlignment="1">
      <alignment horizontal="center"/>
    </xf>
    <xf numFmtId="0" fontId="18" fillId="3" borderId="5" xfId="0" applyNumberFormat="1" applyFont="1" applyFill="1" applyBorder="1"/>
    <xf numFmtId="0" fontId="18" fillId="3" borderId="4" xfId="0" applyNumberFormat="1" applyFont="1" applyFill="1" applyBorder="1" applyAlignment="1">
      <alignment vertical="center"/>
    </xf>
    <xf numFmtId="0" fontId="176" fillId="3" borderId="0" xfId="0" applyNumberFormat="1" applyFont="1" applyFill="1" applyBorder="1" applyAlignment="1">
      <alignment horizontal="center" vertical="center"/>
    </xf>
    <xf numFmtId="0" fontId="18" fillId="3" borderId="90" xfId="0" applyNumberFormat="1" applyFont="1" applyFill="1" applyBorder="1" applyAlignment="1">
      <alignment horizontal="left" vertical="center"/>
    </xf>
    <xf numFmtId="0" fontId="176" fillId="3" borderId="22" xfId="0" applyNumberFormat="1" applyFont="1" applyFill="1" applyBorder="1" applyAlignment="1">
      <alignment horizontal="center" vertical="center"/>
    </xf>
    <xf numFmtId="0" fontId="2" fillId="6" borderId="271" xfId="0" applyFont="1" applyFill="1" applyBorder="1" applyAlignment="1">
      <alignment horizontal="left" vertical="center"/>
    </xf>
    <xf numFmtId="0" fontId="3" fillId="6" borderId="272" xfId="0" applyFont="1" applyFill="1" applyBorder="1" applyAlignment="1">
      <alignment horizontal="right" vertical="center"/>
    </xf>
    <xf numFmtId="0" fontId="2" fillId="6" borderId="91" xfId="0" applyFont="1" applyFill="1" applyBorder="1" applyAlignment="1">
      <alignment horizontal="center" wrapText="1"/>
    </xf>
    <xf numFmtId="165" fontId="2" fillId="5" borderId="273" xfId="0" applyNumberFormat="1" applyFont="1" applyFill="1" applyBorder="1" applyAlignment="1">
      <alignment horizontal="center" vertical="center"/>
    </xf>
    <xf numFmtId="165" fontId="2" fillId="5" borderId="274" xfId="0" applyNumberFormat="1" applyFont="1" applyFill="1" applyBorder="1" applyAlignment="1">
      <alignment horizontal="center" vertical="center"/>
    </xf>
    <xf numFmtId="1" fontId="3" fillId="5" borderId="275" xfId="0" applyNumberFormat="1" applyFont="1" applyFill="1" applyBorder="1" applyAlignment="1" applyProtection="1">
      <alignment horizontal="center" vertical="center"/>
      <protection hidden="1"/>
    </xf>
    <xf numFmtId="0" fontId="2" fillId="3" borderId="276" xfId="0" applyNumberFormat="1" applyFont="1" applyFill="1" applyBorder="1" applyAlignment="1">
      <alignment horizontal="center" vertical="center"/>
    </xf>
    <xf numFmtId="0" fontId="2" fillId="7" borderId="155" xfId="0" applyFont="1" applyFill="1" applyBorder="1" applyAlignment="1">
      <alignment horizontal="center" vertical="center"/>
    </xf>
    <xf numFmtId="165" fontId="0" fillId="5" borderId="28" xfId="0" applyNumberFormat="1" applyFill="1" applyBorder="1" applyAlignment="1" applyProtection="1">
      <alignment horizontal="center" vertical="center"/>
      <protection hidden="1"/>
    </xf>
    <xf numFmtId="0" fontId="18" fillId="3" borderId="70" xfId="0" applyNumberFormat="1" applyFont="1" applyFill="1" applyBorder="1"/>
    <xf numFmtId="2" fontId="13" fillId="5" borderId="157" xfId="0" applyNumberFormat="1" applyFont="1" applyFill="1" applyBorder="1" applyAlignment="1" applyProtection="1">
      <alignment horizontal="center" vertical="center"/>
      <protection hidden="1"/>
    </xf>
    <xf numFmtId="0" fontId="18" fillId="3" borderId="157" xfId="0" applyNumberFormat="1" applyFont="1" applyFill="1" applyBorder="1" applyAlignment="1">
      <alignment horizontal="center" vertical="center"/>
    </xf>
    <xf numFmtId="0" fontId="13" fillId="5" borderId="157" xfId="0" applyNumberFormat="1" applyFont="1" applyFill="1" applyBorder="1" applyAlignment="1">
      <alignment horizontal="left" vertical="center"/>
    </xf>
    <xf numFmtId="0" fontId="13" fillId="5" borderId="157" xfId="0" applyNumberFormat="1" applyFont="1" applyFill="1" applyBorder="1" applyAlignment="1">
      <alignment horizontal="center" vertical="center"/>
    </xf>
    <xf numFmtId="166" fontId="0" fillId="5" borderId="158" xfId="0" applyNumberFormat="1" applyFill="1" applyBorder="1" applyAlignment="1" applyProtection="1">
      <alignment horizontal="center" vertical="center"/>
      <protection hidden="1"/>
    </xf>
    <xf numFmtId="0" fontId="2" fillId="6" borderId="117" xfId="0" applyFont="1" applyFill="1" applyBorder="1" applyAlignment="1">
      <alignment horizontal="left" vertical="center"/>
    </xf>
    <xf numFmtId="0" fontId="35" fillId="6" borderId="0" xfId="0" applyFont="1" applyFill="1" applyBorder="1" applyAlignment="1">
      <alignment horizontal="center"/>
    </xf>
    <xf numFmtId="0" fontId="2" fillId="6" borderId="277" xfId="0" applyFont="1" applyFill="1" applyBorder="1" applyAlignment="1">
      <alignment horizontal="center"/>
    </xf>
    <xf numFmtId="0" fontId="2" fillId="6" borderId="52" xfId="0" applyFont="1" applyFill="1" applyBorder="1" applyAlignment="1">
      <alignment horizontal="center" vertical="center"/>
    </xf>
    <xf numFmtId="0" fontId="2" fillId="6" borderId="57" xfId="0" applyFont="1" applyFill="1" applyBorder="1" applyAlignment="1">
      <alignment horizontal="center" vertical="center"/>
    </xf>
    <xf numFmtId="0" fontId="18" fillId="6" borderId="89" xfId="0" applyFont="1" applyFill="1" applyBorder="1" applyAlignment="1">
      <alignment horizontal="center" vertical="center"/>
    </xf>
    <xf numFmtId="0" fontId="18" fillId="3" borderId="2" xfId="0" applyFont="1" applyFill="1" applyBorder="1" applyAlignment="1">
      <alignment horizontal="center" vertical="center"/>
    </xf>
    <xf numFmtId="0" fontId="18" fillId="3" borderId="278" xfId="0" applyFont="1" applyFill="1" applyBorder="1" applyAlignment="1">
      <alignment horizontal="center" vertical="center"/>
    </xf>
    <xf numFmtId="0" fontId="0" fillId="11" borderId="5" xfId="0" applyFill="1" applyBorder="1"/>
    <xf numFmtId="49" fontId="53" fillId="3" borderId="40" xfId="0" applyNumberFormat="1" applyFont="1" applyFill="1" applyBorder="1" applyAlignment="1">
      <alignment horizontal="center"/>
    </xf>
    <xf numFmtId="11" fontId="0" fillId="5" borderId="228" xfId="0" applyNumberFormat="1" applyFill="1" applyBorder="1" applyAlignment="1" applyProtection="1">
      <alignment horizontal="center" vertical="center"/>
      <protection hidden="1"/>
    </xf>
    <xf numFmtId="11" fontId="0" fillId="5" borderId="214" xfId="0" applyNumberFormat="1" applyFill="1" applyBorder="1" applyAlignment="1" applyProtection="1">
      <alignment horizontal="center" vertical="center"/>
      <protection hidden="1"/>
    </xf>
    <xf numFmtId="0" fontId="0" fillId="12" borderId="5" xfId="0" applyFill="1" applyBorder="1"/>
    <xf numFmtId="49" fontId="53" fillId="3" borderId="91" xfId="0" applyNumberFormat="1" applyFont="1" applyFill="1" applyBorder="1" applyAlignment="1">
      <alignment horizontal="center"/>
    </xf>
    <xf numFmtId="11" fontId="0" fillId="5" borderId="42" xfId="0" applyNumberFormat="1" applyFill="1" applyBorder="1" applyAlignment="1" applyProtection="1">
      <alignment horizontal="center" vertical="center"/>
      <protection hidden="1"/>
    </xf>
    <xf numFmtId="11" fontId="0" fillId="5" borderId="18" xfId="0" applyNumberFormat="1" applyFill="1" applyBorder="1" applyAlignment="1" applyProtection="1">
      <alignment horizontal="center" vertical="center"/>
      <protection hidden="1"/>
    </xf>
    <xf numFmtId="0" fontId="0" fillId="13" borderId="5" xfId="0" applyFill="1" applyBorder="1"/>
    <xf numFmtId="0" fontId="0" fillId="14" borderId="5" xfId="0" applyFill="1" applyBorder="1"/>
    <xf numFmtId="0" fontId="0" fillId="15" borderId="5" xfId="0" applyFill="1" applyBorder="1"/>
    <xf numFmtId="49" fontId="2" fillId="3" borderId="279" xfId="0" applyNumberFormat="1" applyFont="1" applyFill="1" applyBorder="1" applyAlignment="1">
      <alignment horizontal="center"/>
    </xf>
    <xf numFmtId="0" fontId="0" fillId="16" borderId="5" xfId="0" applyFill="1" applyBorder="1"/>
    <xf numFmtId="11" fontId="0" fillId="5" borderId="280" xfId="0" applyNumberFormat="1" applyFill="1" applyBorder="1" applyAlignment="1" applyProtection="1">
      <alignment horizontal="center" vertical="center"/>
      <protection hidden="1"/>
    </xf>
    <xf numFmtId="0" fontId="0" fillId="17" borderId="5" xfId="0" applyFill="1" applyBorder="1"/>
    <xf numFmtId="0" fontId="3" fillId="6" borderId="158" xfId="0" applyFont="1" applyFill="1" applyBorder="1" applyAlignment="1">
      <alignment horizontal="right" vertical="center"/>
    </xf>
    <xf numFmtId="0" fontId="46" fillId="5" borderId="191" xfId="0" applyFont="1" applyFill="1" applyBorder="1"/>
    <xf numFmtId="0" fontId="46" fillId="5" borderId="281" xfId="0" applyFont="1" applyFill="1" applyBorder="1"/>
    <xf numFmtId="165" fontId="0" fillId="5" borderId="0" xfId="2" applyNumberFormat="1" applyFont="1" applyFill="1" applyBorder="1" applyAlignment="1">
      <alignment horizontal="center"/>
    </xf>
    <xf numFmtId="0" fontId="177" fillId="5" borderId="0" xfId="0" applyFont="1" applyFill="1"/>
    <xf numFmtId="0" fontId="18" fillId="5" borderId="0" xfId="0" applyFont="1" applyFill="1" applyAlignment="1">
      <alignment vertical="center"/>
    </xf>
    <xf numFmtId="0" fontId="18" fillId="5" borderId="0" xfId="0" applyFont="1" applyFill="1"/>
    <xf numFmtId="0" fontId="5" fillId="3" borderId="35" xfId="0" applyFont="1" applyFill="1" applyBorder="1" applyAlignment="1">
      <alignment horizontal="center" vertical="center"/>
    </xf>
    <xf numFmtId="0" fontId="178" fillId="5" borderId="0" xfId="0" applyFont="1" applyFill="1"/>
    <xf numFmtId="0" fontId="24" fillId="6" borderId="0" xfId="0" applyFont="1" applyFill="1" applyAlignment="1">
      <alignment vertical="center"/>
    </xf>
    <xf numFmtId="0" fontId="24" fillId="5" borderId="0" xfId="0" applyFont="1" applyFill="1" applyAlignment="1">
      <alignment vertical="center"/>
    </xf>
    <xf numFmtId="0" fontId="44" fillId="2" borderId="0" xfId="0" applyFont="1" applyFill="1" applyAlignment="1">
      <alignment vertical="center"/>
    </xf>
    <xf numFmtId="0" fontId="44" fillId="2" borderId="0" xfId="0" applyFont="1" applyFill="1" applyAlignment="1">
      <alignment horizontal="left" vertical="center"/>
    </xf>
    <xf numFmtId="0" fontId="2" fillId="3" borderId="187" xfId="0" applyFont="1" applyFill="1" applyBorder="1" applyAlignment="1">
      <alignment horizontal="center"/>
    </xf>
    <xf numFmtId="0" fontId="107" fillId="3" borderId="187" xfId="0" applyFont="1" applyFill="1" applyBorder="1" applyAlignment="1">
      <alignment horizontal="center"/>
    </xf>
    <xf numFmtId="0" fontId="176" fillId="5" borderId="0" xfId="0" applyFont="1" applyFill="1" applyBorder="1"/>
    <xf numFmtId="0" fontId="2" fillId="6" borderId="62" xfId="0" applyFont="1" applyFill="1" applyBorder="1" applyAlignment="1">
      <alignment horizontal="left"/>
    </xf>
    <xf numFmtId="0" fontId="46" fillId="2" borderId="0" xfId="0" applyFont="1" applyFill="1" applyAlignment="1">
      <alignment horizontal="center" vertical="top" wrapText="1"/>
    </xf>
    <xf numFmtId="0" fontId="2" fillId="2" borderId="0" xfId="0" applyFont="1" applyFill="1" applyAlignment="1">
      <alignment horizontal="center" vertical="top" wrapText="1"/>
    </xf>
    <xf numFmtId="0" fontId="2" fillId="2" borderId="0" xfId="0" applyNumberFormat="1" applyFont="1" applyFill="1" applyBorder="1" applyAlignment="1">
      <alignment horizontal="center" vertical="top" wrapText="1"/>
    </xf>
    <xf numFmtId="0" fontId="2" fillId="2" borderId="0" xfId="0" applyFont="1" applyFill="1" applyBorder="1" applyAlignment="1">
      <alignment horizontal="center" vertical="top" wrapText="1"/>
    </xf>
    <xf numFmtId="0" fontId="125" fillId="2" borderId="0" xfId="0" applyFont="1" applyFill="1" applyAlignment="1">
      <alignment horizontal="center" vertical="top" wrapText="1"/>
    </xf>
    <xf numFmtId="0" fontId="80" fillId="5" borderId="0" xfId="0" applyNumberFormat="1" applyFont="1" applyFill="1" applyBorder="1" applyAlignment="1">
      <alignment horizontal="left" vertical="center"/>
    </xf>
    <xf numFmtId="0" fontId="47" fillId="41" borderId="216" xfId="0" applyFont="1" applyFill="1" applyBorder="1" applyAlignment="1">
      <alignment horizontal="center" vertical="center"/>
    </xf>
    <xf numFmtId="0" fontId="47" fillId="41" borderId="199" xfId="0" applyFont="1" applyFill="1" applyBorder="1" applyAlignment="1">
      <alignment horizontal="center" vertical="center"/>
    </xf>
    <xf numFmtId="0" fontId="46" fillId="41" borderId="218" xfId="0" applyFont="1" applyFill="1" applyBorder="1" applyAlignment="1">
      <alignment horizontal="center" vertical="center"/>
    </xf>
    <xf numFmtId="49" fontId="0" fillId="3" borderId="279" xfId="0" applyNumberFormat="1" applyFill="1" applyBorder="1" applyAlignment="1">
      <alignment horizontal="center"/>
    </xf>
    <xf numFmtId="0" fontId="3" fillId="6" borderId="230" xfId="0" applyFont="1" applyFill="1" applyBorder="1" applyAlignment="1">
      <alignment horizontal="center"/>
    </xf>
    <xf numFmtId="0" fontId="136" fillId="6" borderId="122" xfId="0" applyFont="1" applyFill="1" applyBorder="1" applyAlignment="1">
      <alignment horizontal="center" vertical="center" wrapText="1"/>
    </xf>
    <xf numFmtId="0" fontId="136" fillId="6" borderId="100" xfId="0" applyFont="1" applyFill="1" applyBorder="1" applyAlignment="1">
      <alignment horizontal="center" vertical="center" wrapText="1"/>
    </xf>
    <xf numFmtId="0" fontId="0" fillId="7" borderId="108" xfId="0" applyNumberFormat="1" applyFill="1" applyBorder="1" applyAlignment="1">
      <alignment horizontal="center" vertical="center"/>
    </xf>
    <xf numFmtId="0" fontId="46" fillId="7" borderId="2" xfId="0" applyNumberFormat="1" applyFont="1" applyFill="1" applyBorder="1" applyAlignment="1">
      <alignment horizontal="center" vertical="center"/>
    </xf>
    <xf numFmtId="0" fontId="2" fillId="7" borderId="37" xfId="0" applyNumberFormat="1" applyFont="1" applyFill="1" applyBorder="1" applyAlignment="1">
      <alignment horizontal="center" vertical="center"/>
    </xf>
    <xf numFmtId="165" fontId="0" fillId="7" borderId="284" xfId="0" applyNumberFormat="1" applyFill="1" applyBorder="1" applyAlignment="1">
      <alignment horizontal="center" vertical="center"/>
    </xf>
    <xf numFmtId="0" fontId="155" fillId="6" borderId="187" xfId="0" applyFont="1" applyFill="1" applyBorder="1" applyAlignment="1">
      <alignment horizontal="center" vertical="center"/>
    </xf>
    <xf numFmtId="2" fontId="151" fillId="5" borderId="225" xfId="0" applyNumberFormat="1" applyFont="1" applyFill="1" applyBorder="1" applyAlignment="1">
      <alignment horizontal="center" vertical="center"/>
    </xf>
    <xf numFmtId="0" fontId="142" fillId="5" borderId="208" xfId="0" applyFont="1" applyFill="1" applyBorder="1" applyAlignment="1">
      <alignment horizontal="right" vertical="center"/>
    </xf>
    <xf numFmtId="0" fontId="0" fillId="2" borderId="55" xfId="0" applyFill="1" applyBorder="1" applyAlignment="1">
      <alignment horizontal="left" vertical="center"/>
    </xf>
    <xf numFmtId="0" fontId="86" fillId="2" borderId="4" xfId="0" applyFont="1" applyFill="1" applyBorder="1" applyAlignment="1">
      <alignment horizontal="center" vertical="center"/>
    </xf>
    <xf numFmtId="0" fontId="86" fillId="2" borderId="4" xfId="0" applyFont="1" applyFill="1" applyBorder="1" applyAlignment="1">
      <alignment horizontal="left" vertical="center"/>
    </xf>
    <xf numFmtId="0" fontId="79" fillId="2" borderId="4" xfId="0" applyFont="1" applyFill="1" applyBorder="1" applyAlignment="1">
      <alignment horizontal="center" vertical="center"/>
    </xf>
    <xf numFmtId="0" fontId="153" fillId="3" borderId="150" xfId="0" applyFont="1" applyFill="1" applyBorder="1" applyAlignment="1">
      <alignment horizontal="center" vertical="center"/>
    </xf>
    <xf numFmtId="0" fontId="13" fillId="6" borderId="22" xfId="0" applyFont="1" applyFill="1" applyBorder="1" applyAlignment="1">
      <alignment vertical="center"/>
    </xf>
    <xf numFmtId="0" fontId="46" fillId="6" borderId="22" xfId="0" applyFont="1" applyFill="1" applyBorder="1" applyAlignment="1">
      <alignment horizontal="left" vertical="center"/>
    </xf>
    <xf numFmtId="0" fontId="46" fillId="6" borderId="22" xfId="0" applyFont="1" applyFill="1" applyBorder="1" applyAlignment="1">
      <alignment horizontal="center" vertical="center"/>
    </xf>
    <xf numFmtId="0" fontId="0" fillId="6" borderId="22" xfId="0" applyFill="1" applyBorder="1" applyAlignment="1">
      <alignment horizontal="center" vertical="center"/>
    </xf>
    <xf numFmtId="0" fontId="0" fillId="6" borderId="70" xfId="0" applyFill="1" applyBorder="1" applyAlignment="1">
      <alignment horizontal="center" vertical="center"/>
    </xf>
    <xf numFmtId="1" fontId="2" fillId="3" borderId="42" xfId="0" applyNumberFormat="1" applyFont="1" applyFill="1" applyBorder="1" applyAlignment="1">
      <alignment horizontal="center" vertical="center" wrapText="1"/>
    </xf>
    <xf numFmtId="1" fontId="2" fillId="3" borderId="285" xfId="0" applyNumberFormat="1" applyFont="1" applyFill="1" applyBorder="1" applyAlignment="1">
      <alignment horizontal="center" vertical="center" wrapText="1"/>
    </xf>
    <xf numFmtId="0" fontId="0" fillId="3" borderId="286" xfId="0" applyFill="1" applyBorder="1" applyAlignment="1">
      <alignment horizontal="center"/>
    </xf>
    <xf numFmtId="0" fontId="18" fillId="0" borderId="228" xfId="0" applyNumberFormat="1" applyFont="1" applyFill="1" applyBorder="1" applyAlignment="1">
      <alignment horizontal="center" vertical="center"/>
    </xf>
    <xf numFmtId="0" fontId="18" fillId="0" borderId="187" xfId="0" applyNumberFormat="1" applyFont="1" applyFill="1" applyBorder="1" applyAlignment="1">
      <alignment horizontal="center" vertical="center"/>
    </xf>
    <xf numFmtId="0" fontId="18" fillId="0" borderId="219" xfId="0" applyNumberFormat="1" applyFont="1" applyFill="1" applyBorder="1" applyAlignment="1">
      <alignment horizontal="center" vertical="center"/>
    </xf>
    <xf numFmtId="0" fontId="3" fillId="6" borderId="287" xfId="0" applyFont="1" applyFill="1" applyBorder="1" applyAlignment="1">
      <alignment horizontal="center" vertical="center" wrapText="1"/>
    </xf>
    <xf numFmtId="49" fontId="2" fillId="3" borderId="288" xfId="0" applyNumberFormat="1" applyFont="1" applyFill="1" applyBorder="1" applyAlignment="1">
      <alignment horizontal="center"/>
    </xf>
    <xf numFmtId="0" fontId="17" fillId="6" borderId="32" xfId="0" applyFont="1" applyFill="1" applyBorder="1" applyAlignment="1">
      <alignment horizontal="left" vertical="center"/>
    </xf>
    <xf numFmtId="165" fontId="18" fillId="5" borderId="289" xfId="0" applyNumberFormat="1" applyFont="1" applyFill="1" applyBorder="1" applyAlignment="1">
      <alignment horizontal="center" vertical="center"/>
    </xf>
    <xf numFmtId="167" fontId="18" fillId="5" borderId="215" xfId="0" applyNumberFormat="1" applyFont="1" applyFill="1" applyBorder="1" applyAlignment="1">
      <alignment horizontal="center" vertical="center"/>
    </xf>
    <xf numFmtId="165" fontId="2" fillId="6" borderId="199" xfId="0" applyNumberFormat="1" applyFont="1" applyFill="1" applyBorder="1" applyAlignment="1">
      <alignment horizontal="left" vertical="center"/>
    </xf>
    <xf numFmtId="165" fontId="0" fillId="5" borderId="290" xfId="0" applyNumberFormat="1" applyFill="1" applyBorder="1" applyAlignment="1">
      <alignment horizontal="center" vertical="center"/>
    </xf>
    <xf numFmtId="166" fontId="0" fillId="5" borderId="291" xfId="0" applyNumberFormat="1" applyFill="1" applyBorder="1" applyAlignment="1">
      <alignment horizontal="center" vertical="center"/>
    </xf>
    <xf numFmtId="11" fontId="0" fillId="5" borderId="282" xfId="0" applyNumberFormat="1" applyFill="1" applyBorder="1" applyAlignment="1">
      <alignment horizontal="center" vertical="center"/>
    </xf>
    <xf numFmtId="0" fontId="0" fillId="3" borderId="41" xfId="0" applyFill="1" applyBorder="1" applyAlignment="1">
      <alignment horizontal="center" vertical="center" wrapText="1"/>
    </xf>
    <xf numFmtId="165" fontId="0" fillId="5" borderId="5" xfId="0" applyNumberFormat="1" applyFill="1" applyBorder="1" applyAlignment="1">
      <alignment horizontal="center" vertical="center"/>
    </xf>
    <xf numFmtId="0" fontId="3" fillId="6" borderId="230" xfId="0" applyFont="1" applyFill="1" applyBorder="1" applyAlignment="1">
      <alignment horizontal="center" vertical="center"/>
    </xf>
    <xf numFmtId="49" fontId="0" fillId="3" borderId="41" xfId="0" applyNumberFormat="1" applyFill="1" applyBorder="1" applyAlignment="1">
      <alignment horizontal="center" vertical="center" wrapText="1"/>
    </xf>
    <xf numFmtId="165" fontId="18" fillId="5" borderId="92" xfId="0" applyNumberFormat="1" applyFont="1" applyFill="1" applyBorder="1" applyAlignment="1">
      <alignment horizontal="center" vertical="center"/>
    </xf>
    <xf numFmtId="165" fontId="0" fillId="19" borderId="287" xfId="0" applyNumberFormat="1" applyFill="1" applyBorder="1" applyAlignment="1">
      <alignment horizontal="center"/>
    </xf>
    <xf numFmtId="165" fontId="18" fillId="5" borderId="71" xfId="0" applyNumberFormat="1" applyFont="1" applyFill="1" applyBorder="1" applyAlignment="1">
      <alignment horizontal="center" vertical="center"/>
    </xf>
    <xf numFmtId="165" fontId="0" fillId="19" borderId="100" xfId="0" applyNumberFormat="1" applyFill="1" applyBorder="1" applyAlignment="1">
      <alignment horizontal="center"/>
    </xf>
    <xf numFmtId="49" fontId="53" fillId="3" borderId="293" xfId="0" applyNumberFormat="1" applyFont="1" applyFill="1" applyBorder="1" applyAlignment="1">
      <alignment horizontal="center"/>
    </xf>
    <xf numFmtId="0" fontId="2" fillId="19" borderId="100" xfId="0" applyFont="1" applyFill="1" applyBorder="1" applyAlignment="1">
      <alignment horizontal="left"/>
    </xf>
    <xf numFmtId="0" fontId="0" fillId="3" borderId="92" xfId="0" applyFill="1" applyBorder="1" applyAlignment="1">
      <alignment horizontal="center" vertical="center" wrapText="1"/>
    </xf>
    <xf numFmtId="49" fontId="53" fillId="3" borderId="293" xfId="0" applyNumberFormat="1" applyFont="1" applyFill="1" applyBorder="1" applyAlignment="1">
      <alignment horizontal="center" vertical="center"/>
    </xf>
    <xf numFmtId="0" fontId="2" fillId="19" borderId="294" xfId="0" applyFont="1" applyFill="1" applyBorder="1" applyAlignment="1">
      <alignment horizontal="left"/>
    </xf>
    <xf numFmtId="0" fontId="0" fillId="3" borderId="295" xfId="0" applyFill="1" applyBorder="1" applyAlignment="1">
      <alignment horizontal="center" vertical="center"/>
    </xf>
    <xf numFmtId="2" fontId="0" fillId="5" borderId="211" xfId="0" applyNumberFormat="1" applyFill="1" applyBorder="1" applyAlignment="1">
      <alignment horizontal="center" vertical="center"/>
    </xf>
    <xf numFmtId="0" fontId="13" fillId="6" borderId="55" xfId="0" applyFont="1" applyFill="1" applyBorder="1"/>
    <xf numFmtId="0" fontId="13" fillId="6" borderId="31" xfId="0" applyFont="1" applyFill="1" applyBorder="1"/>
    <xf numFmtId="0" fontId="18" fillId="6" borderId="30" xfId="0" applyFont="1" applyFill="1" applyBorder="1" applyAlignment="1">
      <alignment horizontal="right"/>
    </xf>
    <xf numFmtId="0" fontId="0" fillId="6" borderId="30" xfId="0" applyFill="1" applyBorder="1" applyAlignment="1">
      <alignment horizontal="right" vertical="center"/>
    </xf>
    <xf numFmtId="165" fontId="2" fillId="6" borderId="30" xfId="0" applyNumberFormat="1" applyFont="1" applyFill="1" applyBorder="1" applyAlignment="1">
      <alignment horizontal="left" vertical="center"/>
    </xf>
    <xf numFmtId="0" fontId="0" fillId="6" borderId="31" xfId="0" applyFill="1" applyBorder="1" applyAlignment="1">
      <alignment horizontal="right"/>
    </xf>
    <xf numFmtId="164" fontId="0" fillId="6" borderId="104" xfId="0" applyNumberFormat="1" applyFill="1" applyBorder="1" applyAlignment="1">
      <alignment horizontal="left"/>
    </xf>
    <xf numFmtId="11" fontId="0" fillId="5" borderId="18" xfId="0" applyNumberFormat="1" applyFill="1" applyBorder="1" applyAlignment="1">
      <alignment horizontal="center" vertical="center"/>
    </xf>
    <xf numFmtId="0" fontId="0" fillId="5" borderId="18" xfId="0" applyFill="1" applyBorder="1"/>
    <xf numFmtId="0" fontId="0" fillId="5" borderId="18" xfId="0" applyFill="1" applyBorder="1" applyAlignment="1">
      <alignment horizontal="center" vertical="center" wrapText="1"/>
    </xf>
    <xf numFmtId="166" fontId="0" fillId="5" borderId="284" xfId="0" applyNumberFormat="1" applyFill="1" applyBorder="1" applyAlignment="1">
      <alignment horizontal="center" vertical="center"/>
    </xf>
    <xf numFmtId="166" fontId="0" fillId="5" borderId="18" xfId="0" applyNumberFormat="1" applyFill="1" applyBorder="1" applyAlignment="1">
      <alignment horizontal="center" vertical="center"/>
    </xf>
    <xf numFmtId="166" fontId="0" fillId="5" borderId="296" xfId="0" applyNumberFormat="1" applyFill="1" applyBorder="1" applyAlignment="1">
      <alignment horizontal="center" vertical="center"/>
    </xf>
    <xf numFmtId="0" fontId="0" fillId="5" borderId="0" xfId="0" applyFill="1" applyBorder="1" applyAlignment="1">
      <alignment horizontal="center" vertical="center"/>
    </xf>
    <xf numFmtId="0" fontId="0" fillId="5" borderId="12" xfId="0" applyFill="1" applyBorder="1" applyAlignment="1">
      <alignment vertical="center"/>
    </xf>
    <xf numFmtId="0" fontId="0" fillId="3" borderId="297" xfId="0" applyFill="1" applyBorder="1" applyAlignment="1">
      <alignment horizontal="center" vertical="center"/>
    </xf>
    <xf numFmtId="0" fontId="46" fillId="5" borderId="22" xfId="0" applyFont="1" applyFill="1" applyBorder="1" applyAlignment="1">
      <alignment horizontal="left"/>
    </xf>
    <xf numFmtId="0" fontId="0" fillId="5" borderId="22" xfId="0" applyFill="1" applyBorder="1" applyAlignment="1">
      <alignment vertical="center"/>
    </xf>
    <xf numFmtId="0" fontId="0" fillId="5" borderId="101" xfId="0" applyFill="1" applyBorder="1" applyAlignment="1">
      <alignment vertical="center"/>
    </xf>
    <xf numFmtId="49" fontId="0" fillId="3" borderId="223" xfId="0" applyNumberFormat="1" applyFill="1" applyBorder="1" applyAlignment="1" applyProtection="1">
      <alignment horizontal="center" vertical="center" wrapText="1"/>
      <protection hidden="1"/>
    </xf>
    <xf numFmtId="49" fontId="0" fillId="3" borderId="224" xfId="0" applyNumberFormat="1" applyFill="1" applyBorder="1" applyAlignment="1" applyProtection="1">
      <alignment horizontal="center" vertical="center" wrapText="1"/>
      <protection hidden="1"/>
    </xf>
    <xf numFmtId="49" fontId="0" fillId="3" borderId="221" xfId="0" applyNumberFormat="1" applyFill="1" applyBorder="1" applyAlignment="1" applyProtection="1">
      <alignment horizontal="center" vertical="center" wrapText="1"/>
      <protection hidden="1"/>
    </xf>
    <xf numFmtId="166" fontId="0" fillId="5" borderId="102" xfId="0" applyNumberFormat="1" applyFill="1" applyBorder="1" applyAlignment="1">
      <alignment horizontal="center" vertical="center"/>
    </xf>
    <xf numFmtId="166" fontId="0" fillId="19" borderId="298" xfId="0" applyNumberFormat="1" applyFill="1" applyBorder="1" applyAlignment="1" applyProtection="1">
      <alignment horizontal="center" vertical="center"/>
      <protection hidden="1"/>
    </xf>
    <xf numFmtId="166" fontId="0" fillId="19" borderId="187" xfId="0" applyNumberFormat="1" applyFill="1" applyBorder="1" applyAlignment="1" applyProtection="1">
      <alignment horizontal="center" vertical="center"/>
      <protection hidden="1"/>
    </xf>
    <xf numFmtId="166" fontId="0" fillId="19" borderId="292" xfId="0" applyNumberFormat="1" applyFill="1" applyBorder="1" applyAlignment="1">
      <alignment horizontal="center" vertical="center"/>
    </xf>
    <xf numFmtId="0" fontId="0" fillId="3" borderId="299" xfId="0" applyFill="1" applyBorder="1" applyAlignment="1">
      <alignment horizontal="center" vertical="center"/>
    </xf>
    <xf numFmtId="166" fontId="0" fillId="19" borderId="0" xfId="0" applyNumberFormat="1" applyFill="1" applyBorder="1" applyAlignment="1" applyProtection="1">
      <alignment horizontal="center" vertical="center"/>
      <protection hidden="1"/>
    </xf>
    <xf numFmtId="166" fontId="0" fillId="19" borderId="5" xfId="0" applyNumberFormat="1" applyFill="1" applyBorder="1" applyAlignment="1" applyProtection="1">
      <alignment horizontal="center" vertical="center"/>
      <protection hidden="1"/>
    </xf>
    <xf numFmtId="11" fontId="0" fillId="19" borderId="300" xfId="0" applyNumberFormat="1" applyFill="1" applyBorder="1" applyAlignment="1">
      <alignment horizontal="center" vertical="center"/>
    </xf>
    <xf numFmtId="166" fontId="0" fillId="19" borderId="109" xfId="0" applyNumberFormat="1" applyFill="1" applyBorder="1" applyAlignment="1" applyProtection="1">
      <alignment horizontal="center" vertical="center"/>
      <protection hidden="1"/>
    </xf>
    <xf numFmtId="166" fontId="0" fillId="19" borderId="22" xfId="0" applyNumberFormat="1" applyFill="1" applyBorder="1" applyAlignment="1" applyProtection="1">
      <alignment horizontal="center" vertical="center"/>
      <protection hidden="1"/>
    </xf>
    <xf numFmtId="166" fontId="0" fillId="19" borderId="70" xfId="0" applyNumberFormat="1" applyFill="1" applyBorder="1" applyAlignment="1" applyProtection="1">
      <alignment horizontal="center" vertical="center"/>
      <protection hidden="1"/>
    </xf>
    <xf numFmtId="0" fontId="2" fillId="6" borderId="136" xfId="0" applyFont="1" applyFill="1" applyBorder="1" applyAlignment="1">
      <alignment horizontal="right" vertical="center"/>
    </xf>
    <xf numFmtId="165" fontId="2" fillId="6" borderId="32" xfId="0" applyNumberFormat="1" applyFont="1" applyFill="1" applyBorder="1" applyAlignment="1">
      <alignment horizontal="left" vertical="center"/>
    </xf>
    <xf numFmtId="11" fontId="0" fillId="5" borderId="298" xfId="0" applyNumberFormat="1" applyFill="1" applyBorder="1" applyAlignment="1" applyProtection="1">
      <alignment horizontal="center" vertical="center"/>
      <protection hidden="1"/>
    </xf>
    <xf numFmtId="11" fontId="0" fillId="5" borderId="187" xfId="0" applyNumberFormat="1" applyFill="1" applyBorder="1" applyAlignment="1" applyProtection="1">
      <alignment horizontal="center" vertical="center"/>
      <protection hidden="1"/>
    </xf>
    <xf numFmtId="11" fontId="0" fillId="5" borderId="301" xfId="0" applyNumberFormat="1" applyFill="1" applyBorder="1" applyAlignment="1" applyProtection="1">
      <alignment horizontal="center" vertical="center"/>
      <protection hidden="1"/>
    </xf>
    <xf numFmtId="0" fontId="0" fillId="19" borderId="283" xfId="0" applyFill="1" applyBorder="1" applyAlignment="1">
      <alignment horizontal="center" vertical="center"/>
    </xf>
    <xf numFmtId="0" fontId="0" fillId="19" borderId="284" xfId="0" applyFill="1" applyBorder="1" applyAlignment="1">
      <alignment horizontal="center" vertical="center"/>
    </xf>
    <xf numFmtId="0" fontId="0" fillId="19" borderId="282" xfId="0" applyFill="1" applyBorder="1" applyAlignment="1">
      <alignment vertical="center"/>
    </xf>
    <xf numFmtId="0" fontId="0" fillId="19" borderId="102" xfId="0" applyFill="1" applyBorder="1" applyAlignment="1">
      <alignment horizontal="center" vertical="center"/>
    </xf>
    <xf numFmtId="0" fontId="46" fillId="19" borderId="109" xfId="0" applyFont="1" applyFill="1" applyBorder="1" applyAlignment="1">
      <alignment horizontal="left"/>
    </xf>
    <xf numFmtId="164" fontId="0" fillId="7" borderId="300" xfId="0" applyNumberFormat="1" applyFill="1" applyBorder="1" applyAlignment="1">
      <alignment horizontal="center" vertical="center"/>
    </xf>
    <xf numFmtId="0" fontId="46" fillId="4" borderId="216" xfId="0" applyFont="1" applyFill="1" applyBorder="1" applyAlignment="1">
      <alignment horizontal="center" vertical="center"/>
    </xf>
    <xf numFmtId="0" fontId="46" fillId="4" borderId="218" xfId="0" applyFont="1" applyFill="1" applyBorder="1" applyAlignment="1">
      <alignment horizontal="center" vertical="center"/>
    </xf>
    <xf numFmtId="0" fontId="3" fillId="6" borderId="160" xfId="0" applyFont="1" applyFill="1" applyBorder="1" applyAlignment="1" applyProtection="1">
      <alignment horizontal="left" vertical="center"/>
      <protection hidden="1"/>
    </xf>
    <xf numFmtId="165" fontId="0" fillId="5" borderId="302" xfId="0" applyNumberFormat="1" applyFill="1" applyBorder="1" applyAlignment="1">
      <alignment horizontal="center" vertical="center"/>
    </xf>
    <xf numFmtId="165" fontId="0" fillId="5" borderId="303" xfId="0" applyNumberFormat="1" applyFill="1" applyBorder="1" applyAlignment="1">
      <alignment horizontal="center" vertical="center"/>
    </xf>
    <xf numFmtId="0" fontId="0" fillId="3" borderId="304" xfId="0" applyFill="1" applyBorder="1" applyAlignment="1">
      <alignment horizontal="center" vertical="center"/>
    </xf>
    <xf numFmtId="0" fontId="0" fillId="7" borderId="283" xfId="0" applyFill="1" applyBorder="1" applyAlignment="1">
      <alignment horizontal="center" vertical="center"/>
    </xf>
    <xf numFmtId="0" fontId="0" fillId="7" borderId="282" xfId="0" applyFill="1" applyBorder="1" applyAlignment="1">
      <alignment horizontal="center" vertical="center"/>
    </xf>
    <xf numFmtId="0" fontId="0" fillId="7" borderId="102" xfId="0" applyFill="1" applyBorder="1" applyAlignment="1">
      <alignment horizontal="center" vertical="center"/>
    </xf>
    <xf numFmtId="0" fontId="46" fillId="7" borderId="0" xfId="0" applyFont="1" applyFill="1" applyBorder="1" applyAlignment="1">
      <alignment horizontal="center" vertical="center"/>
    </xf>
    <xf numFmtId="0" fontId="2" fillId="7" borderId="5" xfId="0" applyFont="1" applyFill="1" applyBorder="1" applyAlignment="1">
      <alignment horizontal="center" vertical="center"/>
    </xf>
    <xf numFmtId="0" fontId="46" fillId="19" borderId="22" xfId="0" applyFont="1" applyFill="1" applyBorder="1" applyAlignment="1">
      <alignment horizontal="left"/>
    </xf>
    <xf numFmtId="1" fontId="9" fillId="7" borderId="92" xfId="0" applyNumberFormat="1" applyFont="1" applyFill="1" applyBorder="1" applyAlignment="1">
      <alignment horizontal="center" vertical="center"/>
    </xf>
    <xf numFmtId="0" fontId="9" fillId="7" borderId="91" xfId="0" applyFont="1" applyFill="1" applyBorder="1" applyAlignment="1">
      <alignment horizontal="center" vertical="center"/>
    </xf>
    <xf numFmtId="0" fontId="9" fillId="7" borderId="50" xfId="0" applyFont="1" applyFill="1" applyBorder="1" applyAlignment="1">
      <alignment horizontal="center" vertical="center"/>
    </xf>
    <xf numFmtId="0" fontId="9" fillId="7" borderId="148" xfId="0" applyFont="1" applyFill="1" applyBorder="1" applyAlignment="1">
      <alignment horizontal="center" vertical="center"/>
    </xf>
    <xf numFmtId="0" fontId="0" fillId="19" borderId="298" xfId="0" applyFill="1" applyBorder="1" applyAlignment="1">
      <alignment horizontal="center" vertical="center"/>
    </xf>
    <xf numFmtId="0" fontId="0" fillId="19" borderId="187" xfId="0" applyFill="1" applyBorder="1" applyAlignment="1">
      <alignment horizontal="center" vertical="center"/>
    </xf>
    <xf numFmtId="0" fontId="0" fillId="19" borderId="301" xfId="0" applyFill="1" applyBorder="1" applyAlignment="1">
      <alignment vertical="center"/>
    </xf>
    <xf numFmtId="165" fontId="0" fillId="7" borderId="305" xfId="0" applyNumberFormat="1" applyFill="1" applyBorder="1" applyAlignment="1">
      <alignment horizontal="center" vertical="center"/>
    </xf>
    <xf numFmtId="0" fontId="2" fillId="19" borderId="217" xfId="0" applyFont="1" applyFill="1" applyBorder="1" applyAlignment="1">
      <alignment vertical="center"/>
    </xf>
    <xf numFmtId="0" fontId="0" fillId="19" borderId="208" xfId="0" applyFill="1" applyBorder="1" applyAlignment="1">
      <alignment vertical="center"/>
    </xf>
    <xf numFmtId="0" fontId="46" fillId="19" borderId="208" xfId="0" applyFont="1" applyFill="1" applyBorder="1" applyAlignment="1">
      <alignment horizontal="left" vertical="center"/>
    </xf>
    <xf numFmtId="0" fontId="46" fillId="19" borderId="208" xfId="0" applyFont="1" applyFill="1" applyBorder="1" applyAlignment="1">
      <alignment horizontal="center" vertical="center"/>
    </xf>
    <xf numFmtId="49" fontId="53" fillId="3" borderId="284" xfId="0" applyNumberFormat="1" applyFont="1" applyFill="1" applyBorder="1" applyAlignment="1">
      <alignment horizontal="center"/>
    </xf>
    <xf numFmtId="0" fontId="0" fillId="3" borderId="60" xfId="0" applyFill="1" applyBorder="1" applyAlignment="1">
      <alignment horizontal="center" vertical="center"/>
    </xf>
    <xf numFmtId="166" fontId="0" fillId="5" borderId="306" xfId="0" applyNumberFormat="1" applyFill="1" applyBorder="1" applyAlignment="1">
      <alignment horizontal="center" vertical="center"/>
    </xf>
    <xf numFmtId="166" fontId="0" fillId="5" borderId="307" xfId="0" applyNumberFormat="1" applyFill="1" applyBorder="1" applyAlignment="1" applyProtection="1">
      <alignment horizontal="center" vertical="center"/>
      <protection hidden="1"/>
    </xf>
    <xf numFmtId="165" fontId="0" fillId="6" borderId="199" xfId="0" applyNumberFormat="1" applyFill="1" applyBorder="1" applyAlignment="1">
      <alignment horizontal="left" vertical="center"/>
    </xf>
    <xf numFmtId="0" fontId="13" fillId="6" borderId="220" xfId="0" applyFont="1" applyFill="1" applyBorder="1" applyAlignment="1">
      <alignment vertical="center"/>
    </xf>
    <xf numFmtId="0" fontId="60" fillId="3" borderId="279" xfId="0" applyFont="1" applyFill="1" applyBorder="1" applyAlignment="1">
      <alignment horizontal="center"/>
    </xf>
    <xf numFmtId="0" fontId="4" fillId="3" borderId="279" xfId="0" applyFont="1" applyFill="1" applyBorder="1" applyAlignment="1">
      <alignment horizontal="center"/>
    </xf>
    <xf numFmtId="166" fontId="0" fillId="5" borderId="307" xfId="0" applyNumberFormat="1" applyFill="1" applyBorder="1" applyAlignment="1">
      <alignment horizontal="center" vertical="center"/>
    </xf>
    <xf numFmtId="0" fontId="0" fillId="19" borderId="220" xfId="0" applyFill="1" applyBorder="1" applyAlignment="1">
      <alignment horizontal="center" vertical="center"/>
    </xf>
    <xf numFmtId="0" fontId="0" fillId="19" borderId="199" xfId="0" applyNumberFormat="1" applyFill="1" applyBorder="1" applyAlignment="1">
      <alignment horizontal="center" vertical="center"/>
    </xf>
    <xf numFmtId="0" fontId="0" fillId="19" borderId="213" xfId="0" applyNumberFormat="1" applyFill="1" applyBorder="1" applyAlignment="1">
      <alignment horizontal="center" vertical="center"/>
    </xf>
    <xf numFmtId="0" fontId="13" fillId="6" borderId="220" xfId="0" applyFont="1" applyFill="1" applyBorder="1"/>
    <xf numFmtId="0" fontId="13" fillId="6" borderId="199" xfId="0" applyFont="1" applyFill="1" applyBorder="1"/>
    <xf numFmtId="0" fontId="18" fillId="6" borderId="199" xfId="0" applyFont="1" applyFill="1" applyBorder="1" applyAlignment="1">
      <alignment horizontal="right"/>
    </xf>
    <xf numFmtId="0" fontId="0" fillId="6" borderId="199" xfId="0" applyFill="1" applyBorder="1" applyAlignment="1">
      <alignment horizontal="right" vertical="center"/>
    </xf>
    <xf numFmtId="165" fontId="2" fillId="6" borderId="199" xfId="0" applyNumberFormat="1" applyFont="1" applyFill="1" applyBorder="1" applyAlignment="1">
      <alignment horizontal="right" vertical="center"/>
    </xf>
    <xf numFmtId="0" fontId="17" fillId="6" borderId="213" xfId="0" applyFont="1" applyFill="1" applyBorder="1" applyAlignment="1">
      <alignment horizontal="left" vertical="center"/>
    </xf>
    <xf numFmtId="0" fontId="60" fillId="3" borderId="230" xfId="0" applyFont="1" applyFill="1" applyBorder="1" applyAlignment="1">
      <alignment horizontal="center" vertical="center"/>
    </xf>
    <xf numFmtId="169" fontId="0" fillId="2" borderId="0" xfId="0" applyNumberFormat="1" applyFill="1" applyAlignment="1">
      <alignment vertical="center"/>
    </xf>
    <xf numFmtId="0" fontId="4" fillId="3" borderId="308" xfId="0" applyFont="1" applyFill="1" applyBorder="1" applyAlignment="1">
      <alignment horizontal="center"/>
    </xf>
    <xf numFmtId="2" fontId="0" fillId="5" borderId="275" xfId="0" applyNumberFormat="1" applyFill="1" applyBorder="1" applyAlignment="1">
      <alignment horizontal="center" vertical="center"/>
    </xf>
    <xf numFmtId="2" fontId="0" fillId="5" borderId="309" xfId="0" applyNumberFormat="1" applyFill="1" applyBorder="1" applyAlignment="1">
      <alignment horizontal="center" vertical="center"/>
    </xf>
    <xf numFmtId="2" fontId="0" fillId="5" borderId="310" xfId="0" applyNumberFormat="1" applyFill="1" applyBorder="1" applyAlignment="1">
      <alignment horizontal="center" vertical="center"/>
    </xf>
    <xf numFmtId="0" fontId="0" fillId="5" borderId="70" xfId="0" applyNumberFormat="1" applyFill="1" applyBorder="1" applyAlignment="1">
      <alignment horizontal="center" vertical="center"/>
    </xf>
    <xf numFmtId="165" fontId="0" fillId="5" borderId="289" xfId="0" applyNumberFormat="1" applyFill="1" applyBorder="1" applyAlignment="1">
      <alignment horizontal="center" vertical="center"/>
    </xf>
    <xf numFmtId="0" fontId="0" fillId="19" borderId="22" xfId="0" applyFill="1" applyBorder="1"/>
    <xf numFmtId="0" fontId="0" fillId="19" borderId="22" xfId="0" applyFill="1" applyBorder="1" applyAlignment="1" applyProtection="1">
      <alignment vertical="center"/>
      <protection hidden="1"/>
    </xf>
    <xf numFmtId="0" fontId="0" fillId="19" borderId="101" xfId="0" applyFill="1" applyBorder="1" applyAlignment="1">
      <alignment vertical="center"/>
    </xf>
    <xf numFmtId="0" fontId="0" fillId="3" borderId="311" xfId="0" applyFill="1" applyBorder="1" applyAlignment="1">
      <alignment horizontal="center" vertical="center"/>
    </xf>
    <xf numFmtId="11" fontId="0" fillId="5" borderId="306" xfId="0" applyNumberFormat="1" applyFill="1" applyBorder="1" applyAlignment="1">
      <alignment horizontal="center" vertical="center"/>
    </xf>
    <xf numFmtId="0" fontId="80" fillId="5" borderId="42" xfId="0" applyNumberFormat="1" applyFont="1" applyFill="1" applyBorder="1" applyAlignment="1">
      <alignment horizontal="center" vertical="center"/>
    </xf>
    <xf numFmtId="0" fontId="80" fillId="5" borderId="54" xfId="0" applyNumberFormat="1" applyFont="1" applyFill="1" applyBorder="1" applyAlignment="1">
      <alignment horizontal="center" vertical="center"/>
    </xf>
    <xf numFmtId="0" fontId="80" fillId="5" borderId="302" xfId="0" applyNumberFormat="1" applyFont="1" applyFill="1" applyBorder="1" applyAlignment="1">
      <alignment horizontal="center" vertical="center"/>
    </xf>
    <xf numFmtId="0" fontId="0" fillId="3" borderId="105" xfId="0" applyFill="1" applyBorder="1" applyAlignment="1">
      <alignment horizontal="centerContinuous"/>
    </xf>
    <xf numFmtId="0" fontId="3" fillId="6" borderId="292" xfId="0" applyFont="1" applyFill="1" applyBorder="1" applyAlignment="1">
      <alignment horizontal="center" vertical="center" wrapText="1"/>
    </xf>
    <xf numFmtId="0" fontId="4" fillId="3" borderId="313" xfId="0" applyFont="1" applyFill="1" applyBorder="1" applyAlignment="1">
      <alignment horizontal="center" vertical="center"/>
    </xf>
    <xf numFmtId="0" fontId="80" fillId="0" borderId="42" xfId="0" applyNumberFormat="1" applyFont="1" applyFill="1" applyBorder="1" applyAlignment="1">
      <alignment horizontal="center" vertical="center"/>
    </xf>
    <xf numFmtId="0" fontId="80" fillId="0" borderId="314" xfId="0" applyNumberFormat="1" applyFont="1" applyFill="1" applyBorder="1" applyAlignment="1">
      <alignment horizontal="center" vertical="center"/>
    </xf>
    <xf numFmtId="0" fontId="80" fillId="0" borderId="315" xfId="0" applyNumberFormat="1" applyFont="1" applyFill="1" applyBorder="1" applyAlignment="1">
      <alignment horizontal="center" vertical="center"/>
    </xf>
    <xf numFmtId="0" fontId="18" fillId="0" borderId="316" xfId="0" applyNumberFormat="1" applyFont="1" applyFill="1" applyBorder="1" applyAlignment="1">
      <alignment horizontal="center" vertical="center"/>
    </xf>
    <xf numFmtId="0" fontId="80" fillId="0" borderId="312" xfId="0" applyNumberFormat="1" applyFont="1" applyFill="1" applyBorder="1" applyAlignment="1">
      <alignment horizontal="center" vertical="center"/>
    </xf>
    <xf numFmtId="0" fontId="80" fillId="0" borderId="317" xfId="0" applyNumberFormat="1" applyFont="1" applyFill="1" applyBorder="1" applyAlignment="1">
      <alignment horizontal="center" vertical="center"/>
    </xf>
    <xf numFmtId="0" fontId="151" fillId="5" borderId="302" xfId="0" applyFont="1" applyFill="1" applyBorder="1" applyAlignment="1">
      <alignment horizontal="center" vertical="center"/>
    </xf>
    <xf numFmtId="0" fontId="151" fillId="5" borderId="312" xfId="0" applyFont="1" applyFill="1" applyBorder="1" applyAlignment="1">
      <alignment horizontal="center" vertical="center"/>
    </xf>
    <xf numFmtId="0" fontId="150" fillId="3" borderId="286" xfId="0" applyFont="1" applyFill="1" applyBorder="1" applyAlignment="1">
      <alignment horizontal="centerContinuous" vertical="center"/>
    </xf>
    <xf numFmtId="0" fontId="150" fillId="3" borderId="105" xfId="0" applyFont="1" applyFill="1" applyBorder="1" applyAlignment="1">
      <alignment horizontal="centerContinuous" vertical="center"/>
    </xf>
    <xf numFmtId="0" fontId="3" fillId="6" borderId="5" xfId="0" applyFont="1" applyFill="1" applyBorder="1" applyAlignment="1">
      <alignment horizontal="center" vertical="center" wrapText="1"/>
    </xf>
    <xf numFmtId="0" fontId="153" fillId="3" borderId="313" xfId="0" applyFont="1" applyFill="1" applyBorder="1" applyAlignment="1">
      <alignment horizontal="center" vertical="center"/>
    </xf>
    <xf numFmtId="1" fontId="150" fillId="3" borderId="42" xfId="0" applyNumberFormat="1" applyFont="1" applyFill="1" applyBorder="1" applyAlignment="1">
      <alignment horizontal="center" vertical="center" wrapText="1"/>
    </xf>
    <xf numFmtId="1" fontId="150" fillId="3" borderId="285" xfId="0" applyNumberFormat="1" applyFont="1" applyFill="1" applyBorder="1" applyAlignment="1">
      <alignment horizontal="center" vertical="center" wrapText="1"/>
    </xf>
    <xf numFmtId="0" fontId="165" fillId="5" borderId="42" xfId="0" applyFont="1" applyFill="1" applyBorder="1" applyAlignment="1">
      <alignment horizontal="center" vertical="center"/>
    </xf>
    <xf numFmtId="0" fontId="151" fillId="0" borderId="228" xfId="0" applyFont="1" applyFill="1" applyBorder="1" applyAlignment="1">
      <alignment horizontal="center" vertical="center"/>
    </xf>
    <xf numFmtId="0" fontId="151" fillId="0" borderId="314" xfId="0" applyFont="1" applyFill="1" applyBorder="1" applyAlignment="1">
      <alignment horizontal="center" vertical="center"/>
    </xf>
    <xf numFmtId="0" fontId="151" fillId="0" borderId="315" xfId="0" applyFont="1" applyFill="1" applyBorder="1" applyAlignment="1">
      <alignment horizontal="center" vertical="center"/>
    </xf>
    <xf numFmtId="0" fontId="164" fillId="0" borderId="315" xfId="0" applyFont="1" applyFill="1" applyBorder="1" applyAlignment="1">
      <alignment horizontal="center" vertical="center"/>
    </xf>
    <xf numFmtId="0" fontId="151" fillId="0" borderId="316" xfId="0" applyFont="1" applyFill="1" applyBorder="1" applyAlignment="1">
      <alignment horizontal="center" vertical="center"/>
    </xf>
    <xf numFmtId="0" fontId="151" fillId="0" borderId="317" xfId="0" applyFont="1" applyFill="1" applyBorder="1" applyAlignment="1">
      <alignment horizontal="center" vertical="center"/>
    </xf>
    <xf numFmtId="0" fontId="151" fillId="5" borderId="302" xfId="0" applyNumberFormat="1" applyFont="1" applyFill="1" applyBorder="1" applyAlignment="1">
      <alignment horizontal="center" vertical="center"/>
    </xf>
    <xf numFmtId="0" fontId="151" fillId="5" borderId="312" xfId="0" applyNumberFormat="1" applyFont="1" applyFill="1" applyBorder="1" applyAlignment="1">
      <alignment horizontal="center" vertical="center"/>
    </xf>
    <xf numFmtId="1" fontId="5" fillId="3" borderId="42" xfId="0" applyNumberFormat="1" applyFont="1" applyFill="1" applyBorder="1" applyAlignment="1">
      <alignment horizontal="center" vertical="center" wrapText="1"/>
    </xf>
    <xf numFmtId="1" fontId="5" fillId="3" borderId="285" xfId="0" applyNumberFormat="1" applyFont="1" applyFill="1" applyBorder="1" applyAlignment="1">
      <alignment horizontal="center" vertical="center" wrapText="1"/>
    </xf>
    <xf numFmtId="0" fontId="151" fillId="0" borderId="228" xfId="0" applyNumberFormat="1" applyFont="1" applyFill="1" applyBorder="1" applyAlignment="1">
      <alignment horizontal="center" vertical="center"/>
    </xf>
    <xf numFmtId="0" fontId="151" fillId="0" borderId="314" xfId="0" applyNumberFormat="1" applyFont="1" applyFill="1" applyBorder="1" applyAlignment="1">
      <alignment horizontal="center" vertical="center"/>
    </xf>
    <xf numFmtId="0" fontId="151" fillId="0" borderId="315" xfId="0" applyNumberFormat="1" applyFont="1" applyFill="1" applyBorder="1" applyAlignment="1">
      <alignment horizontal="center" vertical="center"/>
    </xf>
    <xf numFmtId="0" fontId="151" fillId="0" borderId="316" xfId="0" applyNumberFormat="1" applyFont="1" applyFill="1" applyBorder="1" applyAlignment="1">
      <alignment horizontal="center" vertical="center"/>
    </xf>
    <xf numFmtId="0" fontId="151" fillId="0" borderId="317" xfId="0" applyNumberFormat="1" applyFont="1" applyFill="1" applyBorder="1" applyAlignment="1">
      <alignment horizontal="center" vertical="center"/>
    </xf>
    <xf numFmtId="0" fontId="2" fillId="6" borderId="298" xfId="0" applyFont="1" applyFill="1" applyBorder="1" applyAlignment="1">
      <alignment horizontal="left" vertical="center"/>
    </xf>
    <xf numFmtId="0" fontId="0" fillId="6" borderId="318" xfId="0" applyFill="1" applyBorder="1" applyAlignment="1">
      <alignment horizontal="center"/>
    </xf>
    <xf numFmtId="0" fontId="2" fillId="6" borderId="108" xfId="0" applyFont="1" applyFill="1" applyBorder="1" applyAlignment="1">
      <alignment horizontal="left" vertical="center"/>
    </xf>
    <xf numFmtId="0" fontId="0" fillId="6" borderId="312" xfId="0" applyFill="1" applyBorder="1" applyAlignment="1">
      <alignment horizontal="center"/>
    </xf>
    <xf numFmtId="0" fontId="3" fillId="3" borderId="319" xfId="0" applyFont="1" applyFill="1" applyBorder="1" applyAlignment="1">
      <alignment horizontal="center"/>
    </xf>
    <xf numFmtId="0" fontId="0" fillId="3" borderId="302" xfId="0" applyFill="1" applyBorder="1" applyAlignment="1">
      <alignment horizontal="center" vertical="justify" wrapText="1"/>
    </xf>
    <xf numFmtId="0" fontId="0" fillId="6" borderId="319" xfId="0" applyFill="1" applyBorder="1" applyAlignment="1">
      <alignment horizontal="center"/>
    </xf>
    <xf numFmtId="49" fontId="3" fillId="6" borderId="319" xfId="0" applyNumberFormat="1" applyFont="1" applyFill="1" applyBorder="1" applyAlignment="1">
      <alignment horizontal="center" vertical="center"/>
    </xf>
    <xf numFmtId="0" fontId="0" fillId="3" borderId="319" xfId="0" applyFill="1" applyBorder="1" applyAlignment="1">
      <alignment horizontal="center" wrapText="1"/>
    </xf>
    <xf numFmtId="0" fontId="0" fillId="3" borderId="319" xfId="0" applyFill="1" applyBorder="1" applyAlignment="1">
      <alignment horizontal="center"/>
    </xf>
    <xf numFmtId="0" fontId="2" fillId="3" borderId="319" xfId="0" applyNumberFormat="1" applyFont="1" applyFill="1" applyBorder="1" applyAlignment="1">
      <alignment horizontal="center"/>
    </xf>
    <xf numFmtId="0" fontId="2" fillId="3" borderId="319" xfId="0" applyFont="1" applyFill="1" applyBorder="1"/>
    <xf numFmtId="0" fontId="2" fillId="3" borderId="318" xfId="0" applyFont="1" applyFill="1" applyBorder="1"/>
    <xf numFmtId="49" fontId="0" fillId="6" borderId="302" xfId="0" applyNumberFormat="1" applyFill="1" applyBorder="1" applyAlignment="1">
      <alignment horizontal="left" vertical="center"/>
    </xf>
    <xf numFmtId="0" fontId="0" fillId="3" borderId="302" xfId="0" applyFill="1" applyBorder="1" applyAlignment="1">
      <alignment horizontal="center"/>
    </xf>
    <xf numFmtId="0" fontId="2" fillId="3" borderId="302" xfId="0" applyFont="1" applyFill="1" applyBorder="1" applyAlignment="1">
      <alignment horizontal="left"/>
    </xf>
    <xf numFmtId="0" fontId="2" fillId="3" borderId="302" xfId="0" applyFont="1" applyFill="1" applyBorder="1" applyAlignment="1">
      <alignment horizontal="center"/>
    </xf>
    <xf numFmtId="0" fontId="2" fillId="3" borderId="312" xfId="0" applyFont="1" applyFill="1" applyBorder="1" applyAlignment="1">
      <alignment horizontal="center"/>
    </xf>
    <xf numFmtId="0" fontId="0" fillId="5" borderId="0" xfId="0" applyFill="1" applyAlignment="1">
      <alignment horizontal="left" vertical="center"/>
    </xf>
    <xf numFmtId="0" fontId="2" fillId="5" borderId="0" xfId="0" applyFont="1" applyFill="1" applyBorder="1" applyAlignment="1">
      <alignment horizontal="left" vertical="center"/>
    </xf>
    <xf numFmtId="165" fontId="0" fillId="6" borderId="32" xfId="0" applyNumberFormat="1" applyFill="1" applyBorder="1" applyAlignment="1">
      <alignment horizontal="center" vertical="center"/>
    </xf>
    <xf numFmtId="0" fontId="2" fillId="3" borderId="320" xfId="0" applyFont="1" applyFill="1" applyBorder="1" applyAlignment="1">
      <alignment horizontal="right" vertical="center"/>
    </xf>
    <xf numFmtId="11" fontId="0" fillId="7" borderId="103" xfId="2" applyNumberFormat="1" applyFont="1" applyFill="1" applyBorder="1" applyAlignment="1">
      <alignment horizontal="center" vertical="center"/>
    </xf>
    <xf numFmtId="0" fontId="2" fillId="3" borderId="105" xfId="0" applyFont="1" applyFill="1" applyBorder="1" applyAlignment="1">
      <alignment horizontal="right" vertical="center"/>
    </xf>
    <xf numFmtId="11" fontId="0" fillId="7" borderId="148" xfId="2" applyNumberFormat="1" applyFont="1" applyFill="1" applyBorder="1" applyAlignment="1">
      <alignment horizontal="center" vertical="center"/>
    </xf>
    <xf numFmtId="0" fontId="2" fillId="3" borderId="321" xfId="0" applyFont="1" applyFill="1" applyBorder="1" applyAlignment="1">
      <alignment horizontal="right" vertical="center"/>
    </xf>
    <xf numFmtId="165" fontId="18" fillId="5" borderId="0" xfId="2" applyNumberFormat="1" applyFont="1" applyFill="1" applyBorder="1" applyAlignment="1">
      <alignment horizontal="left" vertical="center"/>
    </xf>
    <xf numFmtId="2" fontId="0" fillId="7" borderId="28" xfId="2" applyNumberFormat="1" applyFont="1" applyFill="1" applyBorder="1" applyAlignment="1">
      <alignment horizontal="center" vertical="center"/>
    </xf>
    <xf numFmtId="164" fontId="0" fillId="7" borderId="103" xfId="2" applyNumberFormat="1" applyFont="1" applyFill="1" applyBorder="1" applyAlignment="1">
      <alignment horizontal="center" vertical="center"/>
    </xf>
    <xf numFmtId="164" fontId="0" fillId="7" borderId="148" xfId="2" applyNumberFormat="1" applyFont="1" applyFill="1" applyBorder="1" applyAlignment="1">
      <alignment horizontal="center" vertical="center"/>
    </xf>
    <xf numFmtId="164" fontId="0" fillId="7" borderId="28" xfId="2" applyNumberFormat="1" applyFont="1" applyFill="1" applyBorder="1" applyAlignment="1">
      <alignment horizontal="center" vertical="center"/>
    </xf>
    <xf numFmtId="0" fontId="3" fillId="3" borderId="2" xfId="0" applyFont="1" applyFill="1" applyBorder="1" applyAlignment="1">
      <alignment horizontal="center" vertical="center"/>
    </xf>
    <xf numFmtId="0" fontId="2" fillId="5" borderId="0" xfId="0" applyFont="1" applyFill="1" applyAlignment="1">
      <alignment horizontal="center"/>
    </xf>
    <xf numFmtId="49" fontId="0" fillId="3" borderId="26" xfId="0" applyNumberFormat="1" applyFill="1" applyBorder="1" applyAlignment="1">
      <alignment horizontal="center" vertical="center"/>
    </xf>
    <xf numFmtId="0" fontId="184" fillId="3" borderId="0" xfId="0" applyFont="1" applyFill="1" applyBorder="1" applyAlignment="1">
      <alignment horizontal="right" vertical="center"/>
    </xf>
    <xf numFmtId="0" fontId="3" fillId="6" borderId="0" xfId="0" applyFont="1" applyFill="1" applyBorder="1" applyAlignment="1">
      <alignment horizontal="left" vertical="top"/>
    </xf>
    <xf numFmtId="0" fontId="0" fillId="3" borderId="7" xfId="0" applyFill="1" applyBorder="1" applyAlignment="1">
      <alignment horizontal="center" vertical="center"/>
    </xf>
    <xf numFmtId="0" fontId="150" fillId="6" borderId="322" xfId="0" applyFont="1" applyFill="1" applyBorder="1" applyAlignment="1">
      <alignment horizontal="center" vertical="top"/>
    </xf>
    <xf numFmtId="0" fontId="150" fillId="2" borderId="221" xfId="0" applyNumberFormat="1" applyFont="1" applyFill="1" applyBorder="1" applyAlignment="1">
      <alignment horizontal="center" vertical="center"/>
    </xf>
    <xf numFmtId="0" fontId="150" fillId="2" borderId="306" xfId="0" applyFont="1" applyFill="1" applyBorder="1" applyAlignment="1">
      <alignment horizontal="center" vertical="center"/>
    </xf>
    <xf numFmtId="0" fontId="142" fillId="6" borderId="322" xfId="0" applyFont="1" applyFill="1" applyBorder="1" applyAlignment="1">
      <alignment horizontal="center" vertical="top"/>
    </xf>
    <xf numFmtId="0" fontId="142" fillId="2" borderId="221" xfId="0" applyNumberFormat="1" applyFont="1" applyFill="1" applyBorder="1" applyAlignment="1">
      <alignment horizontal="center" vertical="center"/>
    </xf>
    <xf numFmtId="0" fontId="142" fillId="2" borderId="306" xfId="0" applyFont="1" applyFill="1" applyBorder="1" applyAlignment="1">
      <alignment horizontal="center" vertical="center"/>
    </xf>
    <xf numFmtId="0" fontId="2" fillId="3" borderId="127" xfId="0" applyFont="1" applyFill="1" applyBorder="1" applyAlignment="1">
      <alignment horizontal="center"/>
    </xf>
    <xf numFmtId="0" fontId="51" fillId="2" borderId="0" xfId="0" applyFont="1" applyFill="1" applyAlignment="1">
      <alignment horizontal="center" vertical="top" wrapText="1"/>
    </xf>
    <xf numFmtId="0" fontId="51" fillId="2" borderId="0" xfId="0" applyFont="1" applyFill="1" applyAlignment="1">
      <alignment vertical="top" wrapText="1"/>
    </xf>
    <xf numFmtId="165" fontId="51" fillId="2" borderId="0" xfId="0" applyNumberFormat="1" applyFont="1" applyFill="1" applyAlignment="1">
      <alignment vertical="top" wrapText="1"/>
    </xf>
    <xf numFmtId="2" fontId="0" fillId="41" borderId="0" xfId="0" applyNumberFormat="1" applyFill="1" applyAlignment="1">
      <alignment horizontal="center"/>
    </xf>
    <xf numFmtId="168" fontId="0" fillId="41" borderId="0" xfId="0" applyNumberFormat="1" applyFill="1" applyAlignment="1">
      <alignment horizontal="center"/>
    </xf>
    <xf numFmtId="165" fontId="2" fillId="2" borderId="0" xfId="0" applyNumberFormat="1" applyFont="1" applyFill="1"/>
    <xf numFmtId="0" fontId="2" fillId="5" borderId="0" xfId="0" applyFont="1" applyFill="1" applyBorder="1" applyAlignment="1" applyProtection="1">
      <alignment horizontal="left"/>
      <protection hidden="1"/>
    </xf>
    <xf numFmtId="0" fontId="187" fillId="5" borderId="0" xfId="0" applyFont="1" applyFill="1" applyAlignment="1">
      <alignment horizontal="left"/>
    </xf>
    <xf numFmtId="49" fontId="48" fillId="8" borderId="0" xfId="0" applyNumberFormat="1" applyFont="1" applyFill="1" applyAlignment="1">
      <alignment horizontal="right" vertical="center"/>
    </xf>
    <xf numFmtId="49" fontId="48" fillId="8" borderId="0" xfId="0" applyNumberFormat="1" applyFont="1" applyFill="1" applyAlignment="1">
      <alignment horizontal="left" vertical="center"/>
    </xf>
    <xf numFmtId="0" fontId="7" fillId="8" borderId="0" xfId="0" applyFont="1" applyFill="1" applyAlignment="1">
      <alignment vertical="center"/>
    </xf>
    <xf numFmtId="0" fontId="18" fillId="2" borderId="0" xfId="0" applyFont="1" applyFill="1"/>
    <xf numFmtId="0" fontId="13" fillId="6" borderId="172" xfId="0" applyFont="1" applyFill="1" applyBorder="1" applyAlignment="1">
      <alignment horizontal="center" vertical="center"/>
    </xf>
    <xf numFmtId="0" fontId="118" fillId="2" borderId="0" xfId="0" applyFont="1" applyFill="1"/>
    <xf numFmtId="0" fontId="124" fillId="5" borderId="22" xfId="0" applyFont="1" applyFill="1" applyBorder="1" applyAlignment="1">
      <alignment vertical="center"/>
    </xf>
    <xf numFmtId="0" fontId="188" fillId="2" borderId="0" xfId="0" applyFont="1" applyFill="1"/>
    <xf numFmtId="0" fontId="188" fillId="2" borderId="0" xfId="0" applyFont="1" applyFill="1" applyBorder="1" applyAlignment="1">
      <alignment vertical="center"/>
    </xf>
    <xf numFmtId="0" fontId="188" fillId="2" borderId="0" xfId="0" applyFont="1" applyFill="1" applyBorder="1"/>
    <xf numFmtId="0" fontId="151" fillId="5" borderId="42" xfId="0" applyNumberFormat="1" applyFont="1" applyFill="1" applyBorder="1" applyAlignment="1">
      <alignment horizontal="center" vertical="center"/>
    </xf>
    <xf numFmtId="0" fontId="151" fillId="5" borderId="54" xfId="0" applyNumberFormat="1" applyFont="1" applyFill="1" applyBorder="1" applyAlignment="1">
      <alignment horizontal="center" vertical="center"/>
    </xf>
    <xf numFmtId="0" fontId="151" fillId="0" borderId="319" xfId="0" applyNumberFormat="1" applyFont="1" applyFill="1" applyBorder="1" applyAlignment="1">
      <alignment horizontal="center" vertical="center"/>
    </xf>
    <xf numFmtId="0" fontId="151" fillId="0" borderId="318" xfId="0" applyNumberFormat="1" applyFont="1" applyFill="1" applyBorder="1" applyAlignment="1">
      <alignment horizontal="center" vertical="center"/>
    </xf>
    <xf numFmtId="0" fontId="151" fillId="0" borderId="319" xfId="0" applyFont="1" applyFill="1" applyBorder="1" applyAlignment="1">
      <alignment horizontal="center" vertical="center"/>
    </xf>
    <xf numFmtId="0" fontId="151" fillId="0" borderId="318" xfId="0" applyFont="1" applyFill="1" applyBorder="1" applyAlignment="1">
      <alignment horizontal="center" vertical="center"/>
    </xf>
    <xf numFmtId="0" fontId="164" fillId="0" borderId="42" xfId="0" applyFont="1" applyFill="1" applyBorder="1" applyAlignment="1">
      <alignment horizontal="center" vertical="center"/>
    </xf>
  </cellXfs>
  <cellStyles count="3">
    <cellStyle name="Comma" xfId="2" builtinId="3"/>
    <cellStyle name="Hyperlink" xfId="1" builtinId="8"/>
    <cellStyle name="Normal" xfId="0" builtinId="0"/>
  </cellStyles>
  <dxfs count="2">
    <dxf>
      <fill>
        <patternFill>
          <bgColor theme="0" tint="-0.34998626667073579"/>
        </patternFill>
      </fill>
    </dxf>
    <dxf>
      <fill>
        <patternFill>
          <bgColor theme="0" tint="-0.34998626667073579"/>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4EE00"/>
      <rgbColor rgb="00FF00FF"/>
      <rgbColor rgb="0000FFFF"/>
      <rgbColor rgb="00800000"/>
      <rgbColor rgb="00008000"/>
      <rgbColor rgb="00000080"/>
      <rgbColor rgb="00808000"/>
      <rgbColor rgb="00800080"/>
      <rgbColor rgb="00008080"/>
      <rgbColor rgb="00D9D6CF"/>
      <rgbColor rgb="00808080"/>
      <rgbColor rgb="009999FF"/>
      <rgbColor rgb="00993366"/>
      <rgbColor rgb="00F9FCDE"/>
      <rgbColor rgb="00EBF8FF"/>
      <rgbColor rgb="00660066"/>
      <rgbColor rgb="00FF8080"/>
      <rgbColor rgb="000066CC"/>
      <rgbColor rgb="00CCCCFF"/>
      <rgbColor rgb="0009007E"/>
      <rgbColor rgb="00FF00FF"/>
      <rgbColor rgb="00FFFF00"/>
      <rgbColor rgb="0000FFFF"/>
      <rgbColor rgb="00800080"/>
      <rgbColor rgb="00800000"/>
      <rgbColor rgb="00008080"/>
      <rgbColor rgb="000000FF"/>
      <rgbColor rgb="0000CCFF"/>
      <rgbColor rgb="00F1F4F5"/>
      <rgbColor rgb="00CCFFCC"/>
      <rgbColor rgb="00FFFF99"/>
      <rgbColor rgb="00C6DDF4"/>
      <rgbColor rgb="00FF99CC"/>
      <rgbColor rgb="00CC99FF"/>
      <rgbColor rgb="00FFEBD2"/>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9FCDE"/>
      <color rgb="FF333399"/>
      <color rgb="FFFFFFCC"/>
      <color rgb="FFF1F4F5"/>
      <color rgb="FFFFFF00"/>
      <color rgb="FFF8F8EC"/>
      <color rgb="FFFF5050"/>
      <color rgb="FFF5F505"/>
      <color rgb="FFFD323C"/>
      <color rgb="FFF359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5.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6.xml"/></Relationships>
</file>

<file path=xl/charts/_rels/chart13.xml.rels><?xml version="1.0" encoding="UTF-8" standalone="yes"?>
<Relationships xmlns="http://schemas.openxmlformats.org/package/2006/relationships"><Relationship Id="rId1" Type="http://schemas.openxmlformats.org/officeDocument/2006/relationships/chartUserShapes" Target="../drawings/drawing17.xml"/></Relationships>
</file>

<file path=xl/charts/_rels/chart14.xml.rels><?xml version="1.0" encoding="UTF-8" standalone="yes"?>
<Relationships xmlns="http://schemas.openxmlformats.org/package/2006/relationships"><Relationship Id="rId1" Type="http://schemas.openxmlformats.org/officeDocument/2006/relationships/chartUserShapes" Target="../drawings/drawing18.xml"/></Relationships>
</file>

<file path=xl/charts/_rels/chart15.xml.rels><?xml version="1.0" encoding="UTF-8" standalone="yes"?>
<Relationships xmlns="http://schemas.openxmlformats.org/package/2006/relationships"><Relationship Id="rId1" Type="http://schemas.openxmlformats.org/officeDocument/2006/relationships/chartUserShapes" Target="../drawings/drawing20.xml"/></Relationships>
</file>

<file path=xl/charts/_rels/chart16.xml.rels><?xml version="1.0" encoding="UTF-8" standalone="yes"?>
<Relationships xmlns="http://schemas.openxmlformats.org/package/2006/relationships"><Relationship Id="rId1" Type="http://schemas.openxmlformats.org/officeDocument/2006/relationships/chartUserShapes" Target="../drawings/drawing21.xml"/></Relationships>
</file>

<file path=xl/charts/_rels/chart17.xml.rels><?xml version="1.0" encoding="UTF-8" standalone="yes"?>
<Relationships xmlns="http://schemas.openxmlformats.org/package/2006/relationships"><Relationship Id="rId1" Type="http://schemas.openxmlformats.org/officeDocument/2006/relationships/chartUserShapes" Target="../drawings/drawing24.xml"/></Relationships>
</file>

<file path=xl/charts/_rels/chart20.xml.rels><?xml version="1.0" encoding="UTF-8" standalone="yes"?>
<Relationships xmlns="http://schemas.openxmlformats.org/package/2006/relationships"><Relationship Id="rId1" Type="http://schemas.openxmlformats.org/officeDocument/2006/relationships/chartUserShapes" Target="../drawings/drawing2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i="0" u="none" strike="noStrike" baseline="0">
                <a:solidFill>
                  <a:srgbClr val="000000"/>
                </a:solidFill>
                <a:latin typeface="Arial"/>
                <a:ea typeface="Arial"/>
                <a:cs typeface="Arial"/>
              </a:defRPr>
            </a:pPr>
            <a:r>
              <a:rPr lang="pt-BR" sz="1300" b="1" i="0" strike="noStrike">
                <a:solidFill>
                  <a:srgbClr val="000000"/>
                </a:solidFill>
                <a:latin typeface="Arial"/>
                <a:cs typeface="Arial"/>
              </a:rPr>
              <a:t>Titration of  20 mL</a:t>
            </a:r>
            <a:r>
              <a:rPr lang="pt-BR" sz="1300" b="1" i="0" strike="noStrike" baseline="0">
                <a:solidFill>
                  <a:srgbClr val="000000"/>
                </a:solidFill>
                <a:latin typeface="Arial"/>
                <a:cs typeface="Arial"/>
              </a:rPr>
              <a:t> of  </a:t>
            </a:r>
            <a:r>
              <a:rPr lang="pt-BR" sz="1200" b="1" i="0" u="none" strike="noStrike" baseline="0">
                <a:sym typeface="Symbol"/>
              </a:rPr>
              <a:t></a:t>
            </a:r>
            <a:r>
              <a:rPr lang="pt-BR" sz="1200" b="1" i="0" u="none" strike="noStrike" baseline="0"/>
              <a:t>0.1 mol/L </a:t>
            </a:r>
            <a:r>
              <a:rPr lang="pt-BR" sz="1300" b="1" i="0" strike="noStrike">
                <a:solidFill>
                  <a:srgbClr val="000000"/>
                </a:solidFill>
                <a:latin typeface="Arial"/>
                <a:cs typeface="Arial"/>
              </a:rPr>
              <a:t>acetic acid with 0.100 mol/L strong base</a:t>
            </a:r>
          </a:p>
        </c:rich>
      </c:tx>
      <c:layout>
        <c:manualLayout>
          <c:xMode val="edge"/>
          <c:yMode val="edge"/>
          <c:x val="0.10244296803096158"/>
          <c:y val="1.9697233108584219E-2"/>
        </c:manualLayout>
      </c:layout>
      <c:overlay val="0"/>
      <c:spPr>
        <a:noFill/>
        <a:ln w="25400">
          <a:noFill/>
        </a:ln>
      </c:spPr>
    </c:title>
    <c:autoTitleDeleted val="0"/>
    <c:plotArea>
      <c:layout>
        <c:manualLayout>
          <c:layoutTarget val="inner"/>
          <c:xMode val="edge"/>
          <c:yMode val="edge"/>
          <c:x val="0.10192860685269106"/>
          <c:y val="9.1363868324025793E-2"/>
          <c:w val="0.86733983421390948"/>
          <c:h val="0.77763167456896465"/>
        </c:manualLayout>
      </c:layout>
      <c:scatterChart>
        <c:scatterStyle val="smoothMarker"/>
        <c:varyColors val="0"/>
        <c:ser>
          <c:idx val="0"/>
          <c:order val="0"/>
          <c:tx>
            <c:v>pH_sim</c:v>
          </c:tx>
          <c:spPr>
            <a:ln w="28575">
              <a:solidFill>
                <a:srgbClr val="002060"/>
              </a:solidFill>
              <a:prstDash val="solid"/>
            </a:ln>
          </c:spPr>
          <c:marker>
            <c:symbol val="square"/>
            <c:size val="3"/>
            <c:spPr>
              <a:solidFill>
                <a:srgbClr val="FFFF00"/>
              </a:solidFill>
              <a:ln>
                <a:solidFill>
                  <a:srgbClr val="FF0000"/>
                </a:solidFill>
                <a:prstDash val="solid"/>
              </a:ln>
            </c:spPr>
          </c:marker>
          <c:xVal>
            <c:numRef>
              <c:f>Titration!$C$41:$C$162</c:f>
              <c:numCache>
                <c:formatCode>0.000</c:formatCode>
                <c:ptCount val="122"/>
                <c:pt idx="0">
                  <c:v>0</c:v>
                </c:pt>
                <c:pt idx="1">
                  <c:v>0.01</c:v>
                </c:pt>
                <c:pt idx="2">
                  <c:v>0.03</c:v>
                </c:pt>
              </c:numCache>
            </c:numRef>
          </c:xVal>
          <c:yVal>
            <c:numRef>
              <c:f>Titration!$D$41:$D$162</c:f>
              <c:numCache>
                <c:formatCode>0.000</c:formatCode>
                <c:ptCount val="122"/>
                <c:pt idx="0">
                  <c:v>7.9433521092869341</c:v>
                </c:pt>
                <c:pt idx="1">
                  <c:v>8.1055189087055624</c:v>
                </c:pt>
                <c:pt idx="2">
                  <c:v>8.7693646536208689</c:v>
                </c:pt>
              </c:numCache>
            </c:numRef>
          </c:yVal>
          <c:smooth val="1"/>
          <c:extLst>
            <c:ext xmlns:c16="http://schemas.microsoft.com/office/drawing/2014/chart" uri="{C3380CC4-5D6E-409C-BE32-E72D297353CC}">
              <c16:uniqueId val="{00000000-5E6D-42E7-A6F7-EE87111DE5E8}"/>
            </c:ext>
          </c:extLst>
        </c:ser>
        <c:dLbls>
          <c:showLegendKey val="0"/>
          <c:showVal val="0"/>
          <c:showCatName val="0"/>
          <c:showSerName val="0"/>
          <c:showPercent val="0"/>
          <c:showBubbleSize val="0"/>
        </c:dLbls>
        <c:axId val="151019520"/>
        <c:axId val="151021824"/>
      </c:scatterChart>
      <c:valAx>
        <c:axId val="151019520"/>
        <c:scaling>
          <c:orientation val="minMax"/>
          <c:min val="0"/>
        </c:scaling>
        <c:delete val="0"/>
        <c:axPos val="b"/>
        <c:majorGridlines/>
        <c:title>
          <c:tx>
            <c:rich>
              <a:bodyPr/>
              <a:lstStyle/>
              <a:p>
                <a:pPr>
                  <a:defRPr sz="1200" b="1" i="0" u="none" strike="noStrike" baseline="0">
                    <a:solidFill>
                      <a:srgbClr val="000000"/>
                    </a:solidFill>
                    <a:latin typeface="Arial"/>
                    <a:ea typeface="Arial"/>
                    <a:cs typeface="Arial"/>
                  </a:defRPr>
                </a:pPr>
                <a:r>
                  <a:rPr lang="pt-BR"/>
                  <a:t>Volume of titrant (mL)</a:t>
                </a:r>
              </a:p>
            </c:rich>
          </c:tx>
          <c:layout>
            <c:manualLayout>
              <c:xMode val="edge"/>
              <c:yMode val="edge"/>
              <c:x val="0.43567588534192492"/>
              <c:y val="0.92794750656168956"/>
            </c:manualLayout>
          </c:layout>
          <c:overlay val="0"/>
          <c:spPr>
            <a:noFill/>
            <a:ln w="25400">
              <a:noFill/>
            </a:ln>
          </c:spPr>
        </c:title>
        <c:numFmt formatCode="0.00" sourceLinked="0"/>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51021824"/>
        <c:crosses val="autoZero"/>
        <c:crossBetween val="midCat"/>
      </c:valAx>
      <c:valAx>
        <c:axId val="151021824"/>
        <c:scaling>
          <c:orientation val="minMax"/>
          <c:max val="13"/>
          <c:min val="1"/>
        </c:scaling>
        <c:delete val="0"/>
        <c:axPos val="l"/>
        <c:majorGridlines>
          <c:spPr>
            <a:ln w="3175">
              <a:solidFill>
                <a:srgbClr val="000000"/>
              </a:solidFill>
              <a:prstDash val="solid"/>
            </a:ln>
          </c:spPr>
        </c:majorGridlines>
        <c:title>
          <c:tx>
            <c:rich>
              <a:bodyPr/>
              <a:lstStyle/>
              <a:p>
                <a:pPr>
                  <a:defRPr sz="1200" b="1" i="0" u="none" strike="noStrike" baseline="0">
                    <a:solidFill>
                      <a:srgbClr val="000000"/>
                    </a:solidFill>
                    <a:latin typeface="Arial"/>
                    <a:ea typeface="Arial"/>
                    <a:cs typeface="Arial"/>
                  </a:defRPr>
                </a:pPr>
                <a:r>
                  <a:rPr lang="pt-BR"/>
                  <a:t>pH</a:t>
                </a:r>
              </a:p>
            </c:rich>
          </c:tx>
          <c:layout>
            <c:manualLayout>
              <c:xMode val="edge"/>
              <c:yMode val="edge"/>
              <c:x val="1.6520305651448883E-2"/>
              <c:y val="0.42650608446671434"/>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51019520"/>
        <c:crosses val="autoZero"/>
        <c:crossBetween val="midCat"/>
      </c:valAx>
      <c:spPr>
        <a:noFill/>
        <a:ln w="12700">
          <a:solidFill>
            <a:schemeClr val="tx1"/>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0.98425196899999956" l="0.78740157499999996" r="0.78740157499999996" t="0.98425196899999956" header="0.49212598500001148" footer="0.49212598500001148"/>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i="0" u="none" strike="noStrike" baseline="0">
                <a:solidFill>
                  <a:srgbClr val="000000"/>
                </a:solidFill>
                <a:latin typeface="Arial"/>
                <a:ea typeface="Arial"/>
                <a:cs typeface="Arial"/>
              </a:defRPr>
            </a:pPr>
            <a:r>
              <a:rPr lang="pt-BR" sz="1300" b="1" i="0" strike="noStrike">
                <a:solidFill>
                  <a:srgbClr val="000000"/>
                </a:solidFill>
                <a:latin typeface="Arial"/>
                <a:cs typeface="Arial"/>
              </a:rPr>
              <a:t>Titrations of hydrochloric, glutamic and phosphoric acids </a:t>
            </a:r>
          </a:p>
          <a:p>
            <a:pPr>
              <a:defRPr sz="1200" b="0" i="0" u="none" strike="noStrike" baseline="0">
                <a:solidFill>
                  <a:srgbClr val="000000"/>
                </a:solidFill>
                <a:latin typeface="Arial"/>
                <a:ea typeface="Arial"/>
                <a:cs typeface="Arial"/>
              </a:defRPr>
            </a:pPr>
            <a:r>
              <a:rPr lang="pt-BR" sz="1300" b="0" i="0" strike="noStrike">
                <a:solidFill>
                  <a:srgbClr val="000000"/>
                </a:solidFill>
                <a:latin typeface="Arial"/>
                <a:cs typeface="Arial"/>
              </a:rPr>
              <a:t>(20 mL, 0.05 mol/L, with 0.1 mol/L NaOH)</a:t>
            </a:r>
            <a:r>
              <a:rPr lang="pt-BR" sz="1300" b="1" i="0" strike="noStrike">
                <a:solidFill>
                  <a:srgbClr val="000000"/>
                </a:solidFill>
                <a:latin typeface="Arial"/>
                <a:cs typeface="Arial"/>
              </a:rPr>
              <a:t> </a:t>
            </a:r>
          </a:p>
        </c:rich>
      </c:tx>
      <c:layout>
        <c:manualLayout>
          <c:xMode val="edge"/>
          <c:yMode val="edge"/>
          <c:x val="0.14934421990354652"/>
          <c:y val="1.2048437127177285E-2"/>
        </c:manualLayout>
      </c:layout>
      <c:overlay val="0"/>
      <c:spPr>
        <a:noFill/>
        <a:ln w="25400">
          <a:noFill/>
        </a:ln>
      </c:spPr>
    </c:title>
    <c:autoTitleDeleted val="0"/>
    <c:plotArea>
      <c:layout>
        <c:manualLayout>
          <c:layoutTarget val="inner"/>
          <c:xMode val="edge"/>
          <c:yMode val="edge"/>
          <c:x val="8.9160199935860746E-2"/>
          <c:y val="6.3318777292576414E-2"/>
          <c:w val="0.88193216009575037"/>
          <c:h val="0.80567685589520011"/>
        </c:manualLayout>
      </c:layout>
      <c:scatterChart>
        <c:scatterStyle val="smoothMarker"/>
        <c:varyColors val="0"/>
        <c:ser>
          <c:idx val="0"/>
          <c:order val="0"/>
          <c:tx>
            <c:v>pH_sim</c:v>
          </c:tx>
          <c:spPr>
            <a:ln w="12700">
              <a:solidFill>
                <a:srgbClr val="09007E"/>
              </a:solidFill>
              <a:prstDash val="solid"/>
            </a:ln>
          </c:spPr>
          <c:marker>
            <c:symbol val="diamond"/>
            <c:size val="5"/>
            <c:spPr>
              <a:solidFill>
                <a:srgbClr val="09007E"/>
              </a:solidFill>
              <a:ln>
                <a:solidFill>
                  <a:srgbClr val="09007E"/>
                </a:solidFill>
                <a:prstDash val="solid"/>
              </a:ln>
            </c:spPr>
          </c:marker>
          <c:xVal>
            <c:numRef>
              <c:f>Simulation!$A$41:$A$201</c:f>
              <c:numCache>
                <c:formatCode>0.000</c:formatCode>
                <c:ptCount val="161"/>
                <c:pt idx="0">
                  <c:v>0</c:v>
                </c:pt>
                <c:pt idx="1">
                  <c:v>1.438806277180352E-3</c:v>
                </c:pt>
                <c:pt idx="2">
                  <c:v>2.6288177097226074E-3</c:v>
                </c:pt>
                <c:pt idx="3">
                  <c:v>3.7099328337087335E-3</c:v>
                </c:pt>
                <c:pt idx="4">
                  <c:v>4.8436340166285339E-3</c:v>
                </c:pt>
                <c:pt idx="5">
                  <c:v>6.2223916331365266E-3</c:v>
                </c:pt>
                <c:pt idx="6">
                  <c:v>8.0956464859822455E-3</c:v>
                </c:pt>
                <c:pt idx="7">
                  <c:v>1.0813579919802264E-2</c:v>
                </c:pt>
                <c:pt idx="8">
                  <c:v>1.4895919021674364E-2</c:v>
                </c:pt>
                <c:pt idx="9">
                  <c:v>2.1140657739604631E-2</c:v>
                </c:pt>
                <c:pt idx="10">
                  <c:v>3.0797696038371531E-2</c:v>
                </c:pt>
                <c:pt idx="11">
                  <c:v>4.5843583944418773E-2</c:v>
                </c:pt>
                <c:pt idx="12">
                  <c:v>6.9394715796194717E-2</c:v>
                </c:pt>
                <c:pt idx="13">
                  <c:v>0.10625123463146986</c:v>
                </c:pt>
                <c:pt idx="14">
                  <c:v>0.16340109745145096</c:v>
                </c:pt>
                <c:pt idx="15">
                  <c:v>0.24999971774853644</c:v>
                </c:pt>
              </c:numCache>
            </c:numRef>
          </c:xVal>
          <c:yVal>
            <c:numRef>
              <c:f>Simulation!$B$41:$B$201</c:f>
              <c:numCache>
                <c:formatCode>0.000</c:formatCode>
                <c:ptCount val="161"/>
                <c:pt idx="0">
                  <c:v>7.6769135189713742</c:v>
                </c:pt>
                <c:pt idx="1">
                  <c:v>7.86252316801788</c:v>
                </c:pt>
                <c:pt idx="2">
                  <c:v>8.0478505400893603</c:v>
                </c:pt>
                <c:pt idx="3">
                  <c:v>8.2330045908902569</c:v>
                </c:pt>
                <c:pt idx="4">
                  <c:v>8.4180876936003646</c:v>
                </c:pt>
                <c:pt idx="5">
                  <c:v>8.6031999270739909</c:v>
                </c:pt>
                <c:pt idx="6">
                  <c:v>8.7884491044445969</c:v>
                </c:pt>
                <c:pt idx="7">
                  <c:v>8.973963636715661</c:v>
                </c:pt>
                <c:pt idx="8">
                  <c:v>9.1599062146008023</c:v>
                </c:pt>
                <c:pt idx="9">
                  <c:v>9.3464849055739094</c:v>
                </c:pt>
                <c:pt idx="10">
                  <c:v>9.533954066792889</c:v>
                </c:pt>
                <c:pt idx="11">
                  <c:v>9.7225903548321675</c:v>
                </c:pt>
                <c:pt idx="12">
                  <c:v>9.9126219207107482</c:v>
                </c:pt>
                <c:pt idx="13">
                  <c:v>10.104092784457569</c:v>
                </c:pt>
                <c:pt idx="14">
                  <c:v>10.296683121582836</c:v>
                </c:pt>
                <c:pt idx="15">
                  <c:v>10.489597027727214</c:v>
                </c:pt>
              </c:numCache>
            </c:numRef>
          </c:yVal>
          <c:smooth val="1"/>
          <c:extLst>
            <c:ext xmlns:c16="http://schemas.microsoft.com/office/drawing/2014/chart" uri="{C3380CC4-5D6E-409C-BE32-E72D297353CC}">
              <c16:uniqueId val="{00000000-55CD-49B7-A496-77B8A599A9F7}"/>
            </c:ext>
          </c:extLst>
        </c:ser>
        <c:ser>
          <c:idx val="1"/>
          <c:order val="1"/>
          <c:tx>
            <c:v>pH_sim_disp</c:v>
          </c:tx>
          <c:spPr>
            <a:ln w="28575">
              <a:noFill/>
            </a:ln>
          </c:spPr>
          <c:marker>
            <c:symbol val="square"/>
            <c:size val="3"/>
            <c:spPr>
              <a:solidFill>
                <a:srgbClr val="F4EE00"/>
              </a:solidFill>
              <a:ln>
                <a:solidFill>
                  <a:srgbClr val="FF0000"/>
                </a:solidFill>
                <a:prstDash val="solid"/>
              </a:ln>
            </c:spPr>
          </c:marker>
          <c:xVal>
            <c:numRef>
              <c:f>Simulation!$A$41:$A$201</c:f>
              <c:numCache>
                <c:formatCode>0.000</c:formatCode>
                <c:ptCount val="161"/>
                <c:pt idx="0">
                  <c:v>0</c:v>
                </c:pt>
                <c:pt idx="1">
                  <c:v>1.438806277180352E-3</c:v>
                </c:pt>
                <c:pt idx="2">
                  <c:v>2.6288177097226074E-3</c:v>
                </c:pt>
                <c:pt idx="3">
                  <c:v>3.7099328337087335E-3</c:v>
                </c:pt>
                <c:pt idx="4">
                  <c:v>4.8436340166285339E-3</c:v>
                </c:pt>
                <c:pt idx="5">
                  <c:v>6.2223916331365266E-3</c:v>
                </c:pt>
                <c:pt idx="6">
                  <c:v>8.0956464859822455E-3</c:v>
                </c:pt>
                <c:pt idx="7">
                  <c:v>1.0813579919802264E-2</c:v>
                </c:pt>
                <c:pt idx="8">
                  <c:v>1.4895919021674364E-2</c:v>
                </c:pt>
                <c:pt idx="9">
                  <c:v>2.1140657739604631E-2</c:v>
                </c:pt>
                <c:pt idx="10">
                  <c:v>3.0797696038371531E-2</c:v>
                </c:pt>
                <c:pt idx="11">
                  <c:v>4.5843583944418773E-2</c:v>
                </c:pt>
                <c:pt idx="12">
                  <c:v>6.9394715796194717E-2</c:v>
                </c:pt>
                <c:pt idx="13">
                  <c:v>0.10625123463146986</c:v>
                </c:pt>
                <c:pt idx="14">
                  <c:v>0.16340109745145096</c:v>
                </c:pt>
                <c:pt idx="15">
                  <c:v>0.24999971774853644</c:v>
                </c:pt>
              </c:numCache>
            </c:numRef>
          </c:xVal>
          <c:yVal>
            <c:numRef>
              <c:f>Simulation!$D$41:$D$201</c:f>
              <c:numCache>
                <c:formatCode>0.000</c:formatCode>
                <c:ptCount val="161"/>
              </c:numCache>
            </c:numRef>
          </c:yVal>
          <c:smooth val="1"/>
          <c:extLst>
            <c:ext xmlns:c16="http://schemas.microsoft.com/office/drawing/2014/chart" uri="{C3380CC4-5D6E-409C-BE32-E72D297353CC}">
              <c16:uniqueId val="{00000001-55CD-49B7-A496-77B8A599A9F7}"/>
            </c:ext>
          </c:extLst>
        </c:ser>
        <c:ser>
          <c:idx val="2"/>
          <c:order val="2"/>
          <c:tx>
            <c:v>ret_1</c:v>
          </c:tx>
          <c:spPr>
            <a:ln w="12700">
              <a:solidFill>
                <a:srgbClr val="000080"/>
              </a:solidFill>
              <a:prstDash val="solid"/>
            </a:ln>
          </c:spPr>
          <c:marker>
            <c:symbol val="triangle"/>
            <c:size val="5"/>
            <c:spPr>
              <a:solidFill>
                <a:srgbClr val="FFFF00"/>
              </a:solidFill>
              <a:ln>
                <a:solidFill>
                  <a:srgbClr val="000080"/>
                </a:solidFill>
                <a:prstDash val="solid"/>
              </a:ln>
            </c:spPr>
          </c:marker>
          <c:xVal>
            <c:numRef>
              <c:f>Simulation!$BA$41:$BA$201</c:f>
              <c:numCache>
                <c:formatCode>General</c:formatCode>
                <c:ptCount val="161"/>
              </c:numCache>
            </c:numRef>
          </c:xVal>
          <c:yVal>
            <c:numRef>
              <c:f>Simulation!$BB$41:$BB$201</c:f>
              <c:numCache>
                <c:formatCode>General</c:formatCode>
                <c:ptCount val="161"/>
              </c:numCache>
            </c:numRef>
          </c:yVal>
          <c:smooth val="1"/>
          <c:extLst>
            <c:ext xmlns:c16="http://schemas.microsoft.com/office/drawing/2014/chart" uri="{C3380CC4-5D6E-409C-BE32-E72D297353CC}">
              <c16:uniqueId val="{00000002-55CD-49B7-A496-77B8A599A9F7}"/>
            </c:ext>
          </c:extLst>
        </c:ser>
        <c:ser>
          <c:idx val="3"/>
          <c:order val="3"/>
          <c:tx>
            <c:v>ret_2</c:v>
          </c:tx>
          <c:spPr>
            <a:ln w="12700">
              <a:solidFill>
                <a:srgbClr val="800000"/>
              </a:solidFill>
              <a:prstDash val="solid"/>
            </a:ln>
          </c:spPr>
          <c:marker>
            <c:symbol val="x"/>
            <c:size val="5"/>
            <c:spPr>
              <a:noFill/>
              <a:ln>
                <a:solidFill>
                  <a:srgbClr val="800000"/>
                </a:solidFill>
                <a:prstDash val="solid"/>
              </a:ln>
            </c:spPr>
          </c:marker>
          <c:xVal>
            <c:numRef>
              <c:f>Simulation!$BC$41:$BC$201</c:f>
              <c:numCache>
                <c:formatCode>General</c:formatCode>
                <c:ptCount val="161"/>
              </c:numCache>
            </c:numRef>
          </c:xVal>
          <c:yVal>
            <c:numRef>
              <c:f>Simulation!$BD$41:$BD$201</c:f>
              <c:numCache>
                <c:formatCode>General</c:formatCode>
                <c:ptCount val="161"/>
              </c:numCache>
            </c:numRef>
          </c:yVal>
          <c:smooth val="1"/>
          <c:extLst>
            <c:ext xmlns:c16="http://schemas.microsoft.com/office/drawing/2014/chart" uri="{C3380CC4-5D6E-409C-BE32-E72D297353CC}">
              <c16:uniqueId val="{00000003-55CD-49B7-A496-77B8A599A9F7}"/>
            </c:ext>
          </c:extLst>
        </c:ser>
        <c:ser>
          <c:idx val="4"/>
          <c:order val="4"/>
          <c:tx>
            <c:v>ret_3</c:v>
          </c:tx>
          <c:spPr>
            <a:ln w="12700">
              <a:solidFill>
                <a:srgbClr val="800080"/>
              </a:solidFill>
              <a:prstDash val="solid"/>
            </a:ln>
          </c:spPr>
          <c:marker>
            <c:symbol val="star"/>
            <c:size val="5"/>
            <c:spPr>
              <a:noFill/>
              <a:ln>
                <a:solidFill>
                  <a:srgbClr val="800080"/>
                </a:solidFill>
                <a:prstDash val="solid"/>
              </a:ln>
            </c:spPr>
          </c:marker>
          <c:xVal>
            <c:numRef>
              <c:f>Simulation!$BE$41:$BE$201</c:f>
              <c:numCache>
                <c:formatCode>General</c:formatCode>
                <c:ptCount val="161"/>
              </c:numCache>
            </c:numRef>
          </c:xVal>
          <c:yVal>
            <c:numRef>
              <c:f>Simulation!$BF$41:$BF$201</c:f>
              <c:numCache>
                <c:formatCode>General</c:formatCode>
                <c:ptCount val="161"/>
              </c:numCache>
            </c:numRef>
          </c:yVal>
          <c:smooth val="1"/>
          <c:extLst>
            <c:ext xmlns:c16="http://schemas.microsoft.com/office/drawing/2014/chart" uri="{C3380CC4-5D6E-409C-BE32-E72D297353CC}">
              <c16:uniqueId val="{00000004-55CD-49B7-A496-77B8A599A9F7}"/>
            </c:ext>
          </c:extLst>
        </c:ser>
        <c:ser>
          <c:idx val="5"/>
          <c:order val="5"/>
          <c:tx>
            <c:v>ret_4</c:v>
          </c:tx>
          <c:spPr>
            <a:ln w="12700">
              <a:solidFill>
                <a:srgbClr val="800000"/>
              </a:solidFill>
              <a:prstDash val="solid"/>
            </a:ln>
          </c:spPr>
          <c:marker>
            <c:symbol val="circle"/>
            <c:size val="5"/>
            <c:spPr>
              <a:solidFill>
                <a:srgbClr val="800000"/>
              </a:solidFill>
              <a:ln>
                <a:solidFill>
                  <a:srgbClr val="800000"/>
                </a:solidFill>
                <a:prstDash val="solid"/>
              </a:ln>
            </c:spPr>
          </c:marker>
          <c:xVal>
            <c:numRef>
              <c:f>Simulation!$BG$41:$BG$201</c:f>
              <c:numCache>
                <c:formatCode>General</c:formatCode>
                <c:ptCount val="161"/>
              </c:numCache>
            </c:numRef>
          </c:xVal>
          <c:yVal>
            <c:numRef>
              <c:f>Simulation!$BH$41:$BH$201</c:f>
              <c:numCache>
                <c:formatCode>General</c:formatCode>
                <c:ptCount val="161"/>
              </c:numCache>
            </c:numRef>
          </c:yVal>
          <c:smooth val="1"/>
          <c:extLst>
            <c:ext xmlns:c16="http://schemas.microsoft.com/office/drawing/2014/chart" uri="{C3380CC4-5D6E-409C-BE32-E72D297353CC}">
              <c16:uniqueId val="{00000005-55CD-49B7-A496-77B8A599A9F7}"/>
            </c:ext>
          </c:extLst>
        </c:ser>
        <c:ser>
          <c:idx val="6"/>
          <c:order val="6"/>
          <c:tx>
            <c:v>ret_5</c:v>
          </c:tx>
          <c:spPr>
            <a:ln w="12700">
              <a:solidFill>
                <a:srgbClr val="008080"/>
              </a:solidFill>
              <a:prstDash val="solid"/>
            </a:ln>
          </c:spPr>
          <c:marker>
            <c:symbol val="plus"/>
            <c:size val="5"/>
            <c:spPr>
              <a:noFill/>
              <a:ln>
                <a:solidFill>
                  <a:srgbClr val="008080"/>
                </a:solidFill>
                <a:prstDash val="solid"/>
              </a:ln>
            </c:spPr>
          </c:marker>
          <c:xVal>
            <c:numRef>
              <c:f>Simulation!$BI$41:$BI$201</c:f>
              <c:numCache>
                <c:formatCode>General</c:formatCode>
                <c:ptCount val="161"/>
              </c:numCache>
            </c:numRef>
          </c:xVal>
          <c:yVal>
            <c:numRef>
              <c:f>Simulation!$BJ$41:$BJ$201</c:f>
              <c:numCache>
                <c:formatCode>General</c:formatCode>
                <c:ptCount val="161"/>
              </c:numCache>
            </c:numRef>
          </c:yVal>
          <c:smooth val="1"/>
          <c:extLst>
            <c:ext xmlns:c16="http://schemas.microsoft.com/office/drawing/2014/chart" uri="{C3380CC4-5D6E-409C-BE32-E72D297353CC}">
              <c16:uniqueId val="{00000006-55CD-49B7-A496-77B8A599A9F7}"/>
            </c:ext>
          </c:extLst>
        </c:ser>
        <c:ser>
          <c:idx val="7"/>
          <c:order val="7"/>
          <c:tx>
            <c:v>ret_6</c:v>
          </c:tx>
          <c:spPr>
            <a:ln w="12700">
              <a:solidFill>
                <a:srgbClr val="008000"/>
              </a:solidFill>
              <a:prstDash val="solid"/>
            </a:ln>
          </c:spPr>
          <c:marker>
            <c:symbol val="triangle"/>
            <c:size val="5"/>
            <c:spPr>
              <a:solidFill>
                <a:srgbClr val="008000"/>
              </a:solidFill>
              <a:ln>
                <a:solidFill>
                  <a:srgbClr val="008000"/>
                </a:solidFill>
                <a:prstDash val="solid"/>
              </a:ln>
            </c:spPr>
          </c:marker>
          <c:xVal>
            <c:numRef>
              <c:f>Simulation!$BK$41:$BK$201</c:f>
              <c:numCache>
                <c:formatCode>General</c:formatCode>
                <c:ptCount val="161"/>
              </c:numCache>
            </c:numRef>
          </c:xVal>
          <c:yVal>
            <c:numRef>
              <c:f>Simulation!$BL$41:$BL$201</c:f>
              <c:numCache>
                <c:formatCode>General</c:formatCode>
                <c:ptCount val="161"/>
              </c:numCache>
            </c:numRef>
          </c:yVal>
          <c:smooth val="1"/>
          <c:extLst>
            <c:ext xmlns:c16="http://schemas.microsoft.com/office/drawing/2014/chart" uri="{C3380CC4-5D6E-409C-BE32-E72D297353CC}">
              <c16:uniqueId val="{00000007-55CD-49B7-A496-77B8A599A9F7}"/>
            </c:ext>
          </c:extLst>
        </c:ser>
        <c:ser>
          <c:idx val="8"/>
          <c:order val="8"/>
          <c:tx>
            <c:v>ret_7</c:v>
          </c:tx>
          <c:spPr>
            <a:ln w="12700">
              <a:solidFill>
                <a:srgbClr val="00CCFF"/>
              </a:solidFill>
              <a:prstDash val="solid"/>
            </a:ln>
          </c:spPr>
          <c:marker>
            <c:symbol val="dash"/>
            <c:size val="5"/>
            <c:spPr>
              <a:noFill/>
              <a:ln>
                <a:solidFill>
                  <a:srgbClr val="00CCFF"/>
                </a:solidFill>
                <a:prstDash val="solid"/>
              </a:ln>
            </c:spPr>
          </c:marker>
          <c:xVal>
            <c:numRef>
              <c:f>Simulation!$BM$41:$BM$201</c:f>
              <c:numCache>
                <c:formatCode>General</c:formatCode>
                <c:ptCount val="161"/>
              </c:numCache>
            </c:numRef>
          </c:xVal>
          <c:yVal>
            <c:numRef>
              <c:f>Simulation!$BN$41:$BN$201</c:f>
              <c:numCache>
                <c:formatCode>General</c:formatCode>
                <c:ptCount val="161"/>
              </c:numCache>
            </c:numRef>
          </c:yVal>
          <c:smooth val="1"/>
          <c:extLst>
            <c:ext xmlns:c16="http://schemas.microsoft.com/office/drawing/2014/chart" uri="{C3380CC4-5D6E-409C-BE32-E72D297353CC}">
              <c16:uniqueId val="{00000008-55CD-49B7-A496-77B8A599A9F7}"/>
            </c:ext>
          </c:extLst>
        </c:ser>
        <c:ser>
          <c:idx val="9"/>
          <c:order val="9"/>
          <c:tx>
            <c:v>ret_8</c:v>
          </c:tx>
          <c:spPr>
            <a:ln w="12700">
              <a:solidFill>
                <a:srgbClr val="FF6600"/>
              </a:solidFill>
              <a:prstDash val="solid"/>
            </a:ln>
          </c:spPr>
          <c:marker>
            <c:symbol val="diamond"/>
            <c:size val="5"/>
            <c:spPr>
              <a:solidFill>
                <a:srgbClr val="F1F4F5"/>
              </a:solidFill>
              <a:ln>
                <a:solidFill>
                  <a:srgbClr val="FF6600"/>
                </a:solidFill>
                <a:prstDash val="solid"/>
              </a:ln>
            </c:spPr>
          </c:marker>
          <c:xVal>
            <c:numRef>
              <c:f>Simulation!$BO$41:$BO$201</c:f>
              <c:numCache>
                <c:formatCode>General</c:formatCode>
                <c:ptCount val="161"/>
              </c:numCache>
            </c:numRef>
          </c:xVal>
          <c:yVal>
            <c:numRef>
              <c:f>Simulation!$BP$41:$BP$201</c:f>
              <c:numCache>
                <c:formatCode>General</c:formatCode>
                <c:ptCount val="161"/>
              </c:numCache>
            </c:numRef>
          </c:yVal>
          <c:smooth val="1"/>
          <c:extLst>
            <c:ext xmlns:c16="http://schemas.microsoft.com/office/drawing/2014/chart" uri="{C3380CC4-5D6E-409C-BE32-E72D297353CC}">
              <c16:uniqueId val="{00000009-55CD-49B7-A496-77B8A599A9F7}"/>
            </c:ext>
          </c:extLst>
        </c:ser>
        <c:ser>
          <c:idx val="10"/>
          <c:order val="10"/>
          <c:tx>
            <c:v>ret_9</c:v>
          </c:tx>
          <c:spPr>
            <a:ln w="12700">
              <a:solidFill>
                <a:srgbClr val="FF00FF"/>
              </a:solidFill>
              <a:prstDash val="solid"/>
            </a:ln>
          </c:spPr>
          <c:marker>
            <c:symbol val="square"/>
            <c:size val="5"/>
            <c:spPr>
              <a:solidFill>
                <a:srgbClr val="CCFFCC"/>
              </a:solidFill>
              <a:ln>
                <a:solidFill>
                  <a:srgbClr val="FF00FF"/>
                </a:solidFill>
                <a:prstDash val="solid"/>
              </a:ln>
            </c:spPr>
          </c:marker>
          <c:xVal>
            <c:numRef>
              <c:f>Simulation!$BQ$41:$BQ$201</c:f>
              <c:numCache>
                <c:formatCode>General</c:formatCode>
                <c:ptCount val="161"/>
              </c:numCache>
            </c:numRef>
          </c:xVal>
          <c:yVal>
            <c:numRef>
              <c:f>Simulation!$BR$41:$BR$201</c:f>
              <c:numCache>
                <c:formatCode>General</c:formatCode>
                <c:ptCount val="161"/>
              </c:numCache>
            </c:numRef>
          </c:yVal>
          <c:smooth val="1"/>
          <c:extLst>
            <c:ext xmlns:c16="http://schemas.microsoft.com/office/drawing/2014/chart" uri="{C3380CC4-5D6E-409C-BE32-E72D297353CC}">
              <c16:uniqueId val="{0000000A-55CD-49B7-A496-77B8A599A9F7}"/>
            </c:ext>
          </c:extLst>
        </c:ser>
        <c:ser>
          <c:idx val="11"/>
          <c:order val="11"/>
          <c:tx>
            <c:v>ret_10</c:v>
          </c:tx>
          <c:spPr>
            <a:ln w="12700">
              <a:solidFill>
                <a:srgbClr val="FFFF99"/>
              </a:solidFill>
              <a:prstDash val="solid"/>
            </a:ln>
          </c:spPr>
          <c:marker>
            <c:symbol val="triangle"/>
            <c:size val="5"/>
            <c:spPr>
              <a:solidFill>
                <a:srgbClr val="FFFF99"/>
              </a:solidFill>
              <a:ln>
                <a:solidFill>
                  <a:srgbClr val="FFFF99"/>
                </a:solidFill>
                <a:prstDash val="solid"/>
              </a:ln>
            </c:spPr>
          </c:marker>
          <c:xVal>
            <c:numRef>
              <c:f>Simulation!$BS$41:$BS$201</c:f>
              <c:numCache>
                <c:formatCode>General</c:formatCode>
                <c:ptCount val="161"/>
              </c:numCache>
            </c:numRef>
          </c:xVal>
          <c:yVal>
            <c:numRef>
              <c:f>Simulation!$BT$41:$BT$201</c:f>
              <c:numCache>
                <c:formatCode>General</c:formatCode>
                <c:ptCount val="161"/>
              </c:numCache>
            </c:numRef>
          </c:yVal>
          <c:smooth val="1"/>
          <c:extLst>
            <c:ext xmlns:c16="http://schemas.microsoft.com/office/drawing/2014/chart" uri="{C3380CC4-5D6E-409C-BE32-E72D297353CC}">
              <c16:uniqueId val="{0000000B-55CD-49B7-A496-77B8A599A9F7}"/>
            </c:ext>
          </c:extLst>
        </c:ser>
        <c:ser>
          <c:idx val="12"/>
          <c:order val="12"/>
          <c:tx>
            <c:v>ret_11</c:v>
          </c:tx>
          <c:spPr>
            <a:ln w="12700">
              <a:solidFill>
                <a:srgbClr val="C6DDF4"/>
              </a:solidFill>
              <a:prstDash val="solid"/>
            </a:ln>
          </c:spPr>
          <c:marker>
            <c:symbol val="x"/>
            <c:size val="5"/>
            <c:spPr>
              <a:noFill/>
              <a:ln>
                <a:solidFill>
                  <a:srgbClr val="C6DDF4"/>
                </a:solidFill>
                <a:prstDash val="solid"/>
              </a:ln>
            </c:spPr>
          </c:marker>
          <c:xVal>
            <c:numRef>
              <c:f>Simulation!$BU$41:$BU$201</c:f>
              <c:numCache>
                <c:formatCode>General</c:formatCode>
                <c:ptCount val="161"/>
              </c:numCache>
            </c:numRef>
          </c:xVal>
          <c:yVal>
            <c:numRef>
              <c:f>Simulation!$BV$41:$BV$201</c:f>
              <c:numCache>
                <c:formatCode>General</c:formatCode>
                <c:ptCount val="161"/>
              </c:numCache>
            </c:numRef>
          </c:yVal>
          <c:smooth val="1"/>
          <c:extLst>
            <c:ext xmlns:c16="http://schemas.microsoft.com/office/drawing/2014/chart" uri="{C3380CC4-5D6E-409C-BE32-E72D297353CC}">
              <c16:uniqueId val="{0000000C-55CD-49B7-A496-77B8A599A9F7}"/>
            </c:ext>
          </c:extLst>
        </c:ser>
        <c:ser>
          <c:idx val="13"/>
          <c:order val="13"/>
          <c:tx>
            <c:v>ret_12</c:v>
          </c:tx>
          <c:spPr>
            <a:ln w="12700">
              <a:solidFill>
                <a:srgbClr val="FF99CC"/>
              </a:solidFill>
              <a:prstDash val="solid"/>
            </a:ln>
          </c:spPr>
          <c:marker>
            <c:symbol val="star"/>
            <c:size val="5"/>
            <c:spPr>
              <a:noFill/>
              <a:ln>
                <a:solidFill>
                  <a:srgbClr val="FF99CC"/>
                </a:solidFill>
                <a:prstDash val="solid"/>
              </a:ln>
            </c:spPr>
          </c:marker>
          <c:xVal>
            <c:numRef>
              <c:f>Simulation!$BW$41:$BW$201</c:f>
              <c:numCache>
                <c:formatCode>General</c:formatCode>
                <c:ptCount val="161"/>
              </c:numCache>
            </c:numRef>
          </c:xVal>
          <c:yVal>
            <c:numRef>
              <c:f>Simulation!$BX$41:$BX$201</c:f>
              <c:numCache>
                <c:formatCode>General</c:formatCode>
                <c:ptCount val="161"/>
              </c:numCache>
            </c:numRef>
          </c:yVal>
          <c:smooth val="1"/>
          <c:extLst>
            <c:ext xmlns:c16="http://schemas.microsoft.com/office/drawing/2014/chart" uri="{C3380CC4-5D6E-409C-BE32-E72D297353CC}">
              <c16:uniqueId val="{0000000D-55CD-49B7-A496-77B8A599A9F7}"/>
            </c:ext>
          </c:extLst>
        </c:ser>
        <c:ser>
          <c:idx val="14"/>
          <c:order val="14"/>
          <c:tx>
            <c:v>ret_13</c:v>
          </c:tx>
          <c:spPr>
            <a:ln w="12700">
              <a:solidFill>
                <a:srgbClr val="CC99FF"/>
              </a:solidFill>
              <a:prstDash val="solid"/>
            </a:ln>
          </c:spPr>
          <c:marker>
            <c:symbol val="circle"/>
            <c:size val="5"/>
            <c:spPr>
              <a:solidFill>
                <a:srgbClr val="CC99FF"/>
              </a:solidFill>
              <a:ln>
                <a:solidFill>
                  <a:srgbClr val="CC99FF"/>
                </a:solidFill>
                <a:prstDash val="solid"/>
              </a:ln>
            </c:spPr>
          </c:marker>
          <c:xVal>
            <c:numRef>
              <c:f>Simulation!$BY$41:$BY$201</c:f>
              <c:numCache>
                <c:formatCode>General</c:formatCode>
                <c:ptCount val="161"/>
              </c:numCache>
            </c:numRef>
          </c:xVal>
          <c:yVal>
            <c:numRef>
              <c:f>Simulation!$BZ$41:$BZ$201</c:f>
              <c:numCache>
                <c:formatCode>General</c:formatCode>
                <c:ptCount val="161"/>
              </c:numCache>
            </c:numRef>
          </c:yVal>
          <c:smooth val="1"/>
          <c:extLst>
            <c:ext xmlns:c16="http://schemas.microsoft.com/office/drawing/2014/chart" uri="{C3380CC4-5D6E-409C-BE32-E72D297353CC}">
              <c16:uniqueId val="{0000000E-55CD-49B7-A496-77B8A599A9F7}"/>
            </c:ext>
          </c:extLst>
        </c:ser>
        <c:ser>
          <c:idx val="15"/>
          <c:order val="15"/>
          <c:tx>
            <c:v>Evaluation</c:v>
          </c:tx>
          <c:xVal>
            <c:numRef>
              <c:f>Simulation!$AW$41:$AW$201</c:f>
              <c:numCache>
                <c:formatCode>General</c:formatCode>
                <c:ptCount val="161"/>
              </c:numCache>
            </c:numRef>
          </c:xVal>
          <c:yVal>
            <c:numRef>
              <c:f>Simulation!$AX$41:$AX$201</c:f>
              <c:numCache>
                <c:formatCode>General</c:formatCode>
                <c:ptCount val="161"/>
              </c:numCache>
            </c:numRef>
          </c:yVal>
          <c:smooth val="1"/>
          <c:extLst>
            <c:ext xmlns:c16="http://schemas.microsoft.com/office/drawing/2014/chart" uri="{C3380CC4-5D6E-409C-BE32-E72D297353CC}">
              <c16:uniqueId val="{0000000F-55CD-49B7-A496-77B8A599A9F7}"/>
            </c:ext>
          </c:extLst>
        </c:ser>
        <c:ser>
          <c:idx val="16"/>
          <c:order val="16"/>
          <c:tx>
            <c:v>Regression</c:v>
          </c:tx>
          <c:xVal>
            <c:numRef>
              <c:f>Simulation!$AY$41:$AY$201</c:f>
              <c:numCache>
                <c:formatCode>General</c:formatCode>
                <c:ptCount val="161"/>
              </c:numCache>
            </c:numRef>
          </c:xVal>
          <c:yVal>
            <c:numRef>
              <c:f>Simulation!$AZ$41:$AZ$201</c:f>
              <c:numCache>
                <c:formatCode>General</c:formatCode>
                <c:ptCount val="161"/>
              </c:numCache>
            </c:numRef>
          </c:yVal>
          <c:smooth val="1"/>
          <c:extLst>
            <c:ext xmlns:c16="http://schemas.microsoft.com/office/drawing/2014/chart" uri="{C3380CC4-5D6E-409C-BE32-E72D297353CC}">
              <c16:uniqueId val="{00000001-1A0C-4B15-BF9E-EDCD62CF73D0}"/>
            </c:ext>
          </c:extLst>
        </c:ser>
        <c:dLbls>
          <c:showLegendKey val="0"/>
          <c:showVal val="0"/>
          <c:showCatName val="0"/>
          <c:showSerName val="0"/>
          <c:showPercent val="0"/>
          <c:showBubbleSize val="0"/>
        </c:dLbls>
        <c:axId val="150242432"/>
        <c:axId val="150244352"/>
      </c:scatterChart>
      <c:valAx>
        <c:axId val="150242432"/>
        <c:scaling>
          <c:orientation val="minMax"/>
        </c:scaling>
        <c:delete val="0"/>
        <c:axPos val="b"/>
        <c:majorGridlines/>
        <c:title>
          <c:tx>
            <c:rich>
              <a:bodyPr/>
              <a:lstStyle/>
              <a:p>
                <a:pPr>
                  <a:defRPr sz="1200" b="1" i="0" u="none" strike="noStrike" baseline="0">
                    <a:solidFill>
                      <a:srgbClr val="000000"/>
                    </a:solidFill>
                    <a:latin typeface="Arial"/>
                    <a:ea typeface="Arial"/>
                    <a:cs typeface="Arial"/>
                  </a:defRPr>
                </a:pPr>
                <a:r>
                  <a:rPr lang="pt-BR"/>
                  <a:t>Volume of titrant (mL)</a:t>
                </a:r>
              </a:p>
            </c:rich>
          </c:tx>
          <c:layout>
            <c:manualLayout>
              <c:xMode val="edge"/>
              <c:yMode val="edge"/>
              <c:x val="0.43567588534192492"/>
              <c:y val="0.92794750656168956"/>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50244352"/>
        <c:crosses val="autoZero"/>
        <c:crossBetween val="midCat"/>
      </c:valAx>
      <c:valAx>
        <c:axId val="150244352"/>
        <c:scaling>
          <c:orientation val="minMax"/>
          <c:min val="7"/>
        </c:scaling>
        <c:delete val="0"/>
        <c:axPos val="l"/>
        <c:majorGridlines>
          <c:spPr>
            <a:ln w="3175">
              <a:solidFill>
                <a:srgbClr val="000000"/>
              </a:solidFill>
              <a:prstDash val="solid"/>
            </a:ln>
          </c:spPr>
        </c:majorGridlines>
        <c:title>
          <c:tx>
            <c:rich>
              <a:bodyPr/>
              <a:lstStyle/>
              <a:p>
                <a:pPr>
                  <a:defRPr sz="1200" b="1" i="0" u="none" strike="noStrike" baseline="0">
                    <a:solidFill>
                      <a:srgbClr val="000000"/>
                    </a:solidFill>
                    <a:latin typeface="Arial"/>
                    <a:ea typeface="Arial"/>
                    <a:cs typeface="Arial"/>
                  </a:defRPr>
                </a:pPr>
                <a:r>
                  <a:rPr lang="pt-BR"/>
                  <a:t>pH</a:t>
                </a:r>
              </a:p>
            </c:rich>
          </c:tx>
          <c:layout>
            <c:manualLayout>
              <c:xMode val="edge"/>
              <c:yMode val="edge"/>
              <c:x val="1.6520305651448883E-2"/>
              <c:y val="0.42650608446671434"/>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50242432"/>
        <c:crosses val="autoZero"/>
        <c:crossBetween val="midCat"/>
      </c:valAx>
      <c:spPr>
        <a:noFill/>
        <a:ln w="12700">
          <a:solidFill>
            <a:srgbClr val="F9FCDE"/>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0.98425196899999956" l="0.78740157499999996" r="0.78740157499999996" t="0.98425196899999956" header="0.49212598500001148" footer="0.49212598500001148"/>
    <c:pageSetup paperSize="9"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i="0" u="none" strike="noStrike" baseline="0">
                <a:solidFill>
                  <a:srgbClr val="000000"/>
                </a:solidFill>
                <a:latin typeface="Arial"/>
                <a:ea typeface="Arial"/>
                <a:cs typeface="Arial"/>
              </a:defRPr>
            </a:pPr>
            <a:r>
              <a:rPr lang="pt-BR" sz="1200"/>
              <a:t>Distribution of HiB species</a:t>
            </a:r>
          </a:p>
        </c:rich>
      </c:tx>
      <c:layout>
        <c:manualLayout>
          <c:xMode val="edge"/>
          <c:yMode val="edge"/>
          <c:x val="0.10091743119265995"/>
          <c:y val="1.5306178330762532E-2"/>
        </c:manualLayout>
      </c:layout>
      <c:overlay val="0"/>
      <c:spPr>
        <a:noFill/>
        <a:ln w="25400">
          <a:noFill/>
        </a:ln>
      </c:spPr>
    </c:title>
    <c:autoTitleDeleted val="0"/>
    <c:plotArea>
      <c:layout>
        <c:manualLayout>
          <c:layoutTarget val="inner"/>
          <c:xMode val="edge"/>
          <c:yMode val="edge"/>
          <c:x val="0.10536082054632871"/>
          <c:y val="8.3678298673743295E-2"/>
          <c:w val="0.86270886220066589"/>
          <c:h val="0.77382273571272808"/>
        </c:manualLayout>
      </c:layout>
      <c:scatterChart>
        <c:scatterStyle val="smoothMarker"/>
        <c:varyColors val="0"/>
        <c:ser>
          <c:idx val="1"/>
          <c:order val="0"/>
          <c:tx>
            <c:v>alfa 0</c:v>
          </c:tx>
          <c:spPr>
            <a:ln w="25400">
              <a:solidFill>
                <a:srgbClr val="FF0000"/>
              </a:solidFill>
              <a:prstDash val="solid"/>
            </a:ln>
          </c:spPr>
          <c:marker>
            <c:symbol val="none"/>
          </c:marker>
          <c:xVal>
            <c:numRef>
              <c:f>Distribution!$O$12:$O$114</c:f>
              <c:numCache>
                <c:formatCode>0.000</c:formatCode>
                <c:ptCount val="103"/>
                <c:pt idx="0">
                  <c:v>0</c:v>
                </c:pt>
                <c:pt idx="1">
                  <c:v>0.2</c:v>
                </c:pt>
                <c:pt idx="2">
                  <c:v>0.4</c:v>
                </c:pt>
                <c:pt idx="3">
                  <c:v>0.60000000000000009</c:v>
                </c:pt>
                <c:pt idx="4">
                  <c:v>0.8</c:v>
                </c:pt>
                <c:pt idx="5">
                  <c:v>1</c:v>
                </c:pt>
                <c:pt idx="6">
                  <c:v>1.2</c:v>
                </c:pt>
                <c:pt idx="7">
                  <c:v>1.4</c:v>
                </c:pt>
                <c:pt idx="8">
                  <c:v>1.5999999999999999</c:v>
                </c:pt>
                <c:pt idx="9">
                  <c:v>1.7999999999999998</c:v>
                </c:pt>
                <c:pt idx="10">
                  <c:v>1.9999999999999998</c:v>
                </c:pt>
                <c:pt idx="11">
                  <c:v>2.1999999999999997</c:v>
                </c:pt>
                <c:pt idx="12">
                  <c:v>2.4</c:v>
                </c:pt>
                <c:pt idx="13">
                  <c:v>2.6</c:v>
                </c:pt>
                <c:pt idx="14">
                  <c:v>2.8000000000000003</c:v>
                </c:pt>
                <c:pt idx="15">
                  <c:v>3.0000000000000004</c:v>
                </c:pt>
                <c:pt idx="16">
                  <c:v>3.2000000000000006</c:v>
                </c:pt>
                <c:pt idx="17">
                  <c:v>3.4000000000000008</c:v>
                </c:pt>
                <c:pt idx="18">
                  <c:v>3.600000000000001</c:v>
                </c:pt>
                <c:pt idx="19">
                  <c:v>3.8000000000000012</c:v>
                </c:pt>
                <c:pt idx="20">
                  <c:v>4.0000000000000009</c:v>
                </c:pt>
                <c:pt idx="21">
                  <c:v>4.2000000000000011</c:v>
                </c:pt>
                <c:pt idx="22">
                  <c:v>4.4000000000000012</c:v>
                </c:pt>
                <c:pt idx="23">
                  <c:v>4.6000000000000014</c:v>
                </c:pt>
                <c:pt idx="24">
                  <c:v>4.8000000000000016</c:v>
                </c:pt>
                <c:pt idx="25">
                  <c:v>5.0000000000000018</c:v>
                </c:pt>
                <c:pt idx="26">
                  <c:v>5.200000000000002</c:v>
                </c:pt>
                <c:pt idx="27">
                  <c:v>5.4000000000000021</c:v>
                </c:pt>
                <c:pt idx="28">
                  <c:v>5.6000000000000023</c:v>
                </c:pt>
                <c:pt idx="29">
                  <c:v>5.8000000000000025</c:v>
                </c:pt>
                <c:pt idx="30">
                  <c:v>6.0000000000000027</c:v>
                </c:pt>
                <c:pt idx="31">
                  <c:v>6.2000000000000028</c:v>
                </c:pt>
                <c:pt idx="32">
                  <c:v>6.400000000000003</c:v>
                </c:pt>
                <c:pt idx="33">
                  <c:v>6.6000000000000032</c:v>
                </c:pt>
                <c:pt idx="34">
                  <c:v>6.8000000000000034</c:v>
                </c:pt>
                <c:pt idx="35">
                  <c:v>7.0000000000000036</c:v>
                </c:pt>
                <c:pt idx="36">
                  <c:v>7.2000000000000037</c:v>
                </c:pt>
                <c:pt idx="37">
                  <c:v>7.4000000000000039</c:v>
                </c:pt>
                <c:pt idx="38">
                  <c:v>7.6000000000000041</c:v>
                </c:pt>
                <c:pt idx="39">
                  <c:v>7.8000000000000043</c:v>
                </c:pt>
                <c:pt idx="40">
                  <c:v>8.0000000000000036</c:v>
                </c:pt>
                <c:pt idx="41">
                  <c:v>8.2000000000000028</c:v>
                </c:pt>
                <c:pt idx="42">
                  <c:v>8.4000000000000021</c:v>
                </c:pt>
                <c:pt idx="43">
                  <c:v>8.6000000000000014</c:v>
                </c:pt>
                <c:pt idx="44">
                  <c:v>8.8000000000000007</c:v>
                </c:pt>
                <c:pt idx="45">
                  <c:v>9</c:v>
                </c:pt>
                <c:pt idx="46">
                  <c:v>9.1999999999999993</c:v>
                </c:pt>
                <c:pt idx="47">
                  <c:v>9.3999999999999986</c:v>
                </c:pt>
                <c:pt idx="48">
                  <c:v>9.5999999999999979</c:v>
                </c:pt>
                <c:pt idx="49">
                  <c:v>9.7999999999999972</c:v>
                </c:pt>
                <c:pt idx="50">
                  <c:v>9.9999999999999964</c:v>
                </c:pt>
                <c:pt idx="51">
                  <c:v>10.199999999999996</c:v>
                </c:pt>
                <c:pt idx="52">
                  <c:v>10.399999999999995</c:v>
                </c:pt>
                <c:pt idx="53">
                  <c:v>10.599999999999994</c:v>
                </c:pt>
                <c:pt idx="54">
                  <c:v>10.799999999999994</c:v>
                </c:pt>
                <c:pt idx="55">
                  <c:v>10.999999999999993</c:v>
                </c:pt>
                <c:pt idx="56">
                  <c:v>11.199999999999992</c:v>
                </c:pt>
                <c:pt idx="57">
                  <c:v>11.399999999999991</c:v>
                </c:pt>
                <c:pt idx="58">
                  <c:v>11.599999999999991</c:v>
                </c:pt>
                <c:pt idx="59">
                  <c:v>11.79999999999999</c:v>
                </c:pt>
                <c:pt idx="60">
                  <c:v>11.999999999999989</c:v>
                </c:pt>
                <c:pt idx="61">
                  <c:v>12.199999999999989</c:v>
                </c:pt>
                <c:pt idx="62">
                  <c:v>12.399999999999988</c:v>
                </c:pt>
                <c:pt idx="63">
                  <c:v>12.599999999999987</c:v>
                </c:pt>
                <c:pt idx="64">
                  <c:v>12.799999999999986</c:v>
                </c:pt>
                <c:pt idx="65">
                  <c:v>12.999999999999986</c:v>
                </c:pt>
                <c:pt idx="66">
                  <c:v>13.199999999999985</c:v>
                </c:pt>
                <c:pt idx="67">
                  <c:v>13.399999999999984</c:v>
                </c:pt>
                <c:pt idx="68">
                  <c:v>13.599999999999984</c:v>
                </c:pt>
                <c:pt idx="69">
                  <c:v>13.799999999999983</c:v>
                </c:pt>
                <c:pt idx="70">
                  <c:v>13.999999999999982</c:v>
                </c:pt>
              </c:numCache>
            </c:numRef>
          </c:xVal>
          <c:yVal>
            <c:numRef>
              <c:f>Distribution!$Q$12:$Q$114</c:f>
              <c:numCache>
                <c:formatCode>0.000</c:formatCode>
                <c:ptCount val="103"/>
                <c:pt idx="0">
                  <c:v>1.829091055273542E-21</c:v>
                </c:pt>
                <c:pt idx="1">
                  <c:v>7.2435383431911843E-21</c:v>
                </c:pt>
                <c:pt idx="2">
                  <c:v>2.8599234805983471E-20</c:v>
                </c:pt>
                <c:pt idx="3">
                  <c:v>1.1238669265176895E-19</c:v>
                </c:pt>
                <c:pt idx="4">
                  <c:v>4.3845416348057186E-19</c:v>
                </c:pt>
                <c:pt idx="5">
                  <c:v>1.6917898444844041E-18</c:v>
                </c:pt>
                <c:pt idx="6">
                  <c:v>6.4218553806404168E-18</c:v>
                </c:pt>
                <c:pt idx="7">
                  <c:v>2.3810539237437955E-17</c:v>
                </c:pt>
                <c:pt idx="8">
                  <c:v>8.5488782587888467E-17</c:v>
                </c:pt>
                <c:pt idx="9">
                  <c:v>2.9452643612770548E-16</c:v>
                </c:pt>
                <c:pt idx="10">
                  <c:v>9.6637119913681631E-16</c:v>
                </c:pt>
                <c:pt idx="11">
                  <c:v>3.0087538662138324E-15</c:v>
                </c:pt>
                <c:pt idx="12">
                  <c:v>8.9029033321061858E-15</c:v>
                </c:pt>
                <c:pt idx="13">
                  <c:v>2.5192211706521684E-14</c:v>
                </c:pt>
                <c:pt idx="14">
                  <c:v>6.8768169314948149E-14</c:v>
                </c:pt>
                <c:pt idx="15">
                  <c:v>1.8273278510425108E-13</c:v>
                </c:pt>
                <c:pt idx="16">
                  <c:v>4.7637572914094328E-13</c:v>
                </c:pt>
                <c:pt idx="17">
                  <c:v>1.2257883308933319E-12</c:v>
                </c:pt>
                <c:pt idx="18">
                  <c:v>3.1268114125243648E-12</c:v>
                </c:pt>
                <c:pt idx="19">
                  <c:v>7.9303947451187688E-12</c:v>
                </c:pt>
                <c:pt idx="20">
                  <c:v>2.0037116831642475E-11</c:v>
                </c:pt>
                <c:pt idx="21">
                  <c:v>5.0494615723314412E-11</c:v>
                </c:pt>
                <c:pt idx="22">
                  <c:v>1.2700428343322344E-10</c:v>
                </c:pt>
                <c:pt idx="23">
                  <c:v>3.1891546092044762E-10</c:v>
                </c:pt>
                <c:pt idx="24">
                  <c:v>7.9944140687684545E-10</c:v>
                </c:pt>
                <c:pt idx="25">
                  <c:v>1.9997016666730045E-9</c:v>
                </c:pt>
                <c:pt idx="26">
                  <c:v>4.986930010001384E-9</c:v>
                </c:pt>
                <c:pt idx="27">
                  <c:v>1.2380914472153525E-8</c:v>
                </c:pt>
                <c:pt idx="28">
                  <c:v>3.0529500815533627E-8</c:v>
                </c:pt>
                <c:pt idx="29">
                  <c:v>7.4511488799997335E-8</c:v>
                </c:pt>
                <c:pt idx="30">
                  <c:v>1.7909717429815086E-7</c:v>
                </c:pt>
                <c:pt idx="31">
                  <c:v>4.2108360492353226E-7</c:v>
                </c:pt>
                <c:pt idx="32">
                  <c:v>9.6029028176582784E-7</c:v>
                </c:pt>
                <c:pt idx="33">
                  <c:v>2.1048340367088852E-6</c:v>
                </c:pt>
                <c:pt idx="34">
                  <c:v>4.3988588405883458E-6</c:v>
                </c:pt>
                <c:pt idx="35">
                  <c:v>8.7259469511914366E-6</c:v>
                </c:pt>
                <c:pt idx="36">
                  <c:v>1.6439591500085179E-5</c:v>
                </c:pt>
                <c:pt idx="37">
                  <c:v>2.9576551439537302E-5</c:v>
                </c:pt>
                <c:pt idx="38">
                  <c:v>5.1245283076373541E-5</c:v>
                </c:pt>
                <c:pt idx="39">
                  <c:v>8.6292078788865792E-5</c:v>
                </c:pt>
                <c:pt idx="40">
                  <c:v>1.4237116091243458E-4</c:v>
                </c:pt>
                <c:pt idx="41">
                  <c:v>2.3162352342425102E-4</c:v>
                </c:pt>
                <c:pt idx="42">
                  <c:v>3.7331093522827272E-4</c:v>
                </c:pt>
                <c:pt idx="43">
                  <c:v>5.9796422975356425E-4</c:v>
                </c:pt>
                <c:pt idx="44">
                  <c:v>9.5392390497511901E-4</c:v>
                </c:pt>
                <c:pt idx="45">
                  <c:v>1.5176369346641891E-3</c:v>
                </c:pt>
                <c:pt idx="46">
                  <c:v>2.4098072685543978E-3</c:v>
                </c:pt>
                <c:pt idx="47">
                  <c:v>3.8205707480714248E-3</c:v>
                </c:pt>
                <c:pt idx="48">
                  <c:v>6.0483441063189178E-3</c:v>
                </c:pt>
                <c:pt idx="49">
                  <c:v>9.558800759507791E-3</c:v>
                </c:pt>
                <c:pt idx="50">
                  <c:v>1.5071996722906525E-2</c:v>
                </c:pt>
                <c:pt idx="51">
                  <c:v>2.3685202823609631E-2</c:v>
                </c:pt>
                <c:pt idx="52">
                  <c:v>3.7031855791726936E-2</c:v>
                </c:pt>
                <c:pt idx="53">
                  <c:v>5.7453252095010378E-2</c:v>
                </c:pt>
                <c:pt idx="54">
                  <c:v>8.8102481629514895E-2</c:v>
                </c:pt>
                <c:pt idx="55">
                  <c:v>0.13279535369514844</c:v>
                </c:pt>
                <c:pt idx="56">
                  <c:v>0.19530186065511448</c:v>
                </c:pt>
                <c:pt idx="57">
                  <c:v>0.27780289236597144</c:v>
                </c:pt>
                <c:pt idx="58">
                  <c:v>0.3787497809911185</c:v>
                </c:pt>
                <c:pt idx="59">
                  <c:v>0.49141730958235946</c:v>
                </c:pt>
                <c:pt idx="60">
                  <c:v>0.60496286440262215</c:v>
                </c:pt>
                <c:pt idx="61">
                  <c:v>0.70821016753905941</c:v>
                </c:pt>
                <c:pt idx="62">
                  <c:v>0.79367572374630424</c:v>
                </c:pt>
                <c:pt idx="63">
                  <c:v>0.85908899631246771</c:v>
                </c:pt>
                <c:pt idx="64">
                  <c:v>0.90621415620882773</c:v>
                </c:pt>
                <c:pt idx="65">
                  <c:v>0.9387036303505113</c:v>
                </c:pt>
                <c:pt idx="66">
                  <c:v>0.96042949226175967</c:v>
                </c:pt>
                <c:pt idx="67">
                  <c:v>0.97466269594403465</c:v>
                </c:pt>
                <c:pt idx="68">
                  <c:v>0.98386234780247495</c:v>
                </c:pt>
                <c:pt idx="69">
                  <c:v>0.98975682749896277</c:v>
                </c:pt>
                <c:pt idx="70">
                  <c:v>0.99351247141801713</c:v>
                </c:pt>
              </c:numCache>
            </c:numRef>
          </c:yVal>
          <c:smooth val="1"/>
          <c:extLst>
            <c:ext xmlns:c16="http://schemas.microsoft.com/office/drawing/2014/chart" uri="{C3380CC4-5D6E-409C-BE32-E72D297353CC}">
              <c16:uniqueId val="{00000000-7F3E-40B2-A7C9-AEB3728940B5}"/>
            </c:ext>
          </c:extLst>
        </c:ser>
        <c:ser>
          <c:idx val="0"/>
          <c:order val="1"/>
          <c:tx>
            <c:v>alfa 1</c:v>
          </c:tx>
          <c:spPr>
            <a:ln w="25400">
              <a:solidFill>
                <a:srgbClr val="000000"/>
              </a:solidFill>
              <a:prstDash val="solid"/>
            </a:ln>
          </c:spPr>
          <c:marker>
            <c:symbol val="square"/>
            <c:size val="6"/>
            <c:spPr>
              <a:noFill/>
              <a:ln w="9525">
                <a:noFill/>
              </a:ln>
            </c:spPr>
          </c:marker>
          <c:xVal>
            <c:numRef>
              <c:f>Distribution!$O$12:$O$114</c:f>
              <c:numCache>
                <c:formatCode>0.000</c:formatCode>
                <c:ptCount val="103"/>
                <c:pt idx="0">
                  <c:v>0</c:v>
                </c:pt>
                <c:pt idx="1">
                  <c:v>0.2</c:v>
                </c:pt>
                <c:pt idx="2">
                  <c:v>0.4</c:v>
                </c:pt>
                <c:pt idx="3">
                  <c:v>0.60000000000000009</c:v>
                </c:pt>
                <c:pt idx="4">
                  <c:v>0.8</c:v>
                </c:pt>
                <c:pt idx="5">
                  <c:v>1</c:v>
                </c:pt>
                <c:pt idx="6">
                  <c:v>1.2</c:v>
                </c:pt>
                <c:pt idx="7">
                  <c:v>1.4</c:v>
                </c:pt>
                <c:pt idx="8">
                  <c:v>1.5999999999999999</c:v>
                </c:pt>
                <c:pt idx="9">
                  <c:v>1.7999999999999998</c:v>
                </c:pt>
                <c:pt idx="10">
                  <c:v>1.9999999999999998</c:v>
                </c:pt>
                <c:pt idx="11">
                  <c:v>2.1999999999999997</c:v>
                </c:pt>
                <c:pt idx="12">
                  <c:v>2.4</c:v>
                </c:pt>
                <c:pt idx="13">
                  <c:v>2.6</c:v>
                </c:pt>
                <c:pt idx="14">
                  <c:v>2.8000000000000003</c:v>
                </c:pt>
                <c:pt idx="15">
                  <c:v>3.0000000000000004</c:v>
                </c:pt>
                <c:pt idx="16">
                  <c:v>3.2000000000000006</c:v>
                </c:pt>
                <c:pt idx="17">
                  <c:v>3.4000000000000008</c:v>
                </c:pt>
                <c:pt idx="18">
                  <c:v>3.600000000000001</c:v>
                </c:pt>
                <c:pt idx="19">
                  <c:v>3.8000000000000012</c:v>
                </c:pt>
                <c:pt idx="20">
                  <c:v>4.0000000000000009</c:v>
                </c:pt>
                <c:pt idx="21">
                  <c:v>4.2000000000000011</c:v>
                </c:pt>
                <c:pt idx="22">
                  <c:v>4.4000000000000012</c:v>
                </c:pt>
                <c:pt idx="23">
                  <c:v>4.6000000000000014</c:v>
                </c:pt>
                <c:pt idx="24">
                  <c:v>4.8000000000000016</c:v>
                </c:pt>
                <c:pt idx="25">
                  <c:v>5.0000000000000018</c:v>
                </c:pt>
                <c:pt idx="26">
                  <c:v>5.200000000000002</c:v>
                </c:pt>
                <c:pt idx="27">
                  <c:v>5.4000000000000021</c:v>
                </c:pt>
                <c:pt idx="28">
                  <c:v>5.6000000000000023</c:v>
                </c:pt>
                <c:pt idx="29">
                  <c:v>5.8000000000000025</c:v>
                </c:pt>
                <c:pt idx="30">
                  <c:v>6.0000000000000027</c:v>
                </c:pt>
                <c:pt idx="31">
                  <c:v>6.2000000000000028</c:v>
                </c:pt>
                <c:pt idx="32">
                  <c:v>6.400000000000003</c:v>
                </c:pt>
                <c:pt idx="33">
                  <c:v>6.6000000000000032</c:v>
                </c:pt>
                <c:pt idx="34">
                  <c:v>6.8000000000000034</c:v>
                </c:pt>
                <c:pt idx="35">
                  <c:v>7.0000000000000036</c:v>
                </c:pt>
                <c:pt idx="36">
                  <c:v>7.2000000000000037</c:v>
                </c:pt>
                <c:pt idx="37">
                  <c:v>7.4000000000000039</c:v>
                </c:pt>
                <c:pt idx="38">
                  <c:v>7.6000000000000041</c:v>
                </c:pt>
                <c:pt idx="39">
                  <c:v>7.8000000000000043</c:v>
                </c:pt>
                <c:pt idx="40">
                  <c:v>8.0000000000000036</c:v>
                </c:pt>
                <c:pt idx="41">
                  <c:v>8.2000000000000028</c:v>
                </c:pt>
                <c:pt idx="42">
                  <c:v>8.4000000000000021</c:v>
                </c:pt>
                <c:pt idx="43">
                  <c:v>8.6000000000000014</c:v>
                </c:pt>
                <c:pt idx="44">
                  <c:v>8.8000000000000007</c:v>
                </c:pt>
                <c:pt idx="45">
                  <c:v>9</c:v>
                </c:pt>
                <c:pt idx="46">
                  <c:v>9.1999999999999993</c:v>
                </c:pt>
                <c:pt idx="47">
                  <c:v>9.3999999999999986</c:v>
                </c:pt>
                <c:pt idx="48">
                  <c:v>9.5999999999999979</c:v>
                </c:pt>
                <c:pt idx="49">
                  <c:v>9.7999999999999972</c:v>
                </c:pt>
                <c:pt idx="50">
                  <c:v>9.9999999999999964</c:v>
                </c:pt>
                <c:pt idx="51">
                  <c:v>10.199999999999996</c:v>
                </c:pt>
                <c:pt idx="52">
                  <c:v>10.399999999999995</c:v>
                </c:pt>
                <c:pt idx="53">
                  <c:v>10.599999999999994</c:v>
                </c:pt>
                <c:pt idx="54">
                  <c:v>10.799999999999994</c:v>
                </c:pt>
                <c:pt idx="55">
                  <c:v>10.999999999999993</c:v>
                </c:pt>
                <c:pt idx="56">
                  <c:v>11.199999999999992</c:v>
                </c:pt>
                <c:pt idx="57">
                  <c:v>11.399999999999991</c:v>
                </c:pt>
                <c:pt idx="58">
                  <c:v>11.599999999999991</c:v>
                </c:pt>
                <c:pt idx="59">
                  <c:v>11.79999999999999</c:v>
                </c:pt>
                <c:pt idx="60">
                  <c:v>11.999999999999989</c:v>
                </c:pt>
                <c:pt idx="61">
                  <c:v>12.199999999999989</c:v>
                </c:pt>
                <c:pt idx="62">
                  <c:v>12.399999999999988</c:v>
                </c:pt>
                <c:pt idx="63">
                  <c:v>12.599999999999987</c:v>
                </c:pt>
                <c:pt idx="64">
                  <c:v>12.799999999999986</c:v>
                </c:pt>
                <c:pt idx="65">
                  <c:v>12.999999999999986</c:v>
                </c:pt>
                <c:pt idx="66">
                  <c:v>13.199999999999985</c:v>
                </c:pt>
                <c:pt idx="67">
                  <c:v>13.399999999999984</c:v>
                </c:pt>
                <c:pt idx="68">
                  <c:v>13.599999999999984</c:v>
                </c:pt>
                <c:pt idx="69">
                  <c:v>13.799999999999983</c:v>
                </c:pt>
                <c:pt idx="70">
                  <c:v>13.999999999999982</c:v>
                </c:pt>
              </c:numCache>
            </c:numRef>
          </c:xVal>
          <c:yVal>
            <c:numRef>
              <c:f>Distribution!$R$12:$R$114</c:f>
              <c:numCache>
                <c:formatCode>0.000</c:formatCode>
                <c:ptCount val="103"/>
                <c:pt idx="0">
                  <c:v>1.1943765121842975E-9</c:v>
                </c:pt>
                <c:pt idx="1">
                  <c:v>2.9843976661383275E-9</c:v>
                </c:pt>
                <c:pt idx="2">
                  <c:v>7.434646809223417E-9</c:v>
                </c:pt>
                <c:pt idx="3">
                  <c:v>1.8434052464173964E-8</c:v>
                </c:pt>
                <c:pt idx="4">
                  <c:v>4.5376409317351823E-8</c:v>
                </c:pt>
                <c:pt idx="5">
                  <c:v>1.1047203188590904E-7</c:v>
                </c:pt>
                <c:pt idx="6">
                  <c:v>2.6458574942557291E-7</c:v>
                </c:pt>
                <c:pt idx="7">
                  <c:v>6.1897792290047827E-7</c:v>
                </c:pt>
                <c:pt idx="8">
                  <c:v>1.4022164600985738E-6</c:v>
                </c:pt>
                <c:pt idx="9">
                  <c:v>3.0481070163458119E-6</c:v>
                </c:pt>
                <c:pt idx="10">
                  <c:v>6.3102985440370833E-6</c:v>
                </c:pt>
                <c:pt idx="11">
                  <c:v>1.2396314606042857E-5</c:v>
                </c:pt>
                <c:pt idx="12">
                  <c:v>2.3143955528845022E-5</c:v>
                </c:pt>
                <c:pt idx="13">
                  <c:v>4.1321133430407849E-5</c:v>
                </c:pt>
                <c:pt idx="14">
                  <c:v>7.1169414245471254E-5</c:v>
                </c:pt>
                <c:pt idx="15">
                  <c:v>1.1932251590498218E-4</c:v>
                </c:pt>
                <c:pt idx="16">
                  <c:v>1.9627073771060302E-4</c:v>
                </c:pt>
                <c:pt idx="17">
                  <c:v>3.1865549427751566E-4</c:v>
                </c:pt>
                <c:pt idx="18">
                  <c:v>5.1287037872579206E-4</c:v>
                </c:pt>
                <c:pt idx="19">
                  <c:v>8.2073080375396994E-4</c:v>
                </c:pt>
                <c:pt idx="20">
                  <c:v>1.308401877894884E-3</c:v>
                </c:pt>
                <c:pt idx="21">
                  <c:v>2.0804199022272426E-3</c:v>
                </c:pt>
                <c:pt idx="22">
                  <c:v>3.3015987909822278E-3</c:v>
                </c:pt>
                <c:pt idx="23">
                  <c:v>5.2309612459720363E-3</c:v>
                </c:pt>
                <c:pt idx="24">
                  <c:v>8.2735627860654592E-3</c:v>
                </c:pt>
                <c:pt idx="25">
                  <c:v>1.3057833808568009E-2</c:v>
                </c:pt>
                <c:pt idx="26">
                  <c:v>2.0546563817161297E-2</c:v>
                </c:pt>
                <c:pt idx="27">
                  <c:v>3.2185380797812732E-2</c:v>
                </c:pt>
                <c:pt idx="28">
                  <c:v>5.0075538879177768E-2</c:v>
                </c:pt>
                <c:pt idx="29">
                  <c:v>7.7113278792795698E-2</c:v>
                </c:pt>
                <c:pt idx="30">
                  <c:v>0.11694850169626846</c:v>
                </c:pt>
                <c:pt idx="31">
                  <c:v>0.17348992553675871</c:v>
                </c:pt>
                <c:pt idx="32">
                  <c:v>0.24963671677554203</c:v>
                </c:pt>
                <c:pt idx="33">
                  <c:v>0.34524212916643437</c:v>
                </c:pt>
                <c:pt idx="34">
                  <c:v>0.45524580652917329</c:v>
                </c:pt>
                <c:pt idx="35">
                  <c:v>0.56979481994736014</c:v>
                </c:pt>
                <c:pt idx="36">
                  <c:v>0.6773247573299459</c:v>
                </c:pt>
                <c:pt idx="37">
                  <c:v>0.76887096902949703</c:v>
                </c:pt>
                <c:pt idx="38">
                  <c:v>0.84054278534411397</c:v>
                </c:pt>
                <c:pt idx="39">
                  <c:v>0.8930522307931541</c:v>
                </c:pt>
                <c:pt idx="40">
                  <c:v>0.92966815466051922</c:v>
                </c:pt>
                <c:pt idx="41">
                  <c:v>0.95430806047963734</c:v>
                </c:pt>
                <c:pt idx="42">
                  <c:v>0.97045776653520954</c:v>
                </c:pt>
                <c:pt idx="43">
                  <c:v>0.98080152755549987</c:v>
                </c:pt>
                <c:pt idx="44">
                  <c:v>0.98723299206795134</c:v>
                </c:pt>
                <c:pt idx="45">
                  <c:v>0.99100036794789437</c:v>
                </c:pt>
                <c:pt idx="46">
                  <c:v>0.99286051200062175</c:v>
                </c:pt>
                <c:pt idx="47">
                  <c:v>0.9931941995741399</c:v>
                </c:pt>
                <c:pt idx="48">
                  <c:v>0.99207023488742163</c:v>
                </c:pt>
                <c:pt idx="49">
                  <c:v>0.98925746856469599</c:v>
                </c:pt>
                <c:pt idx="50">
                  <c:v>0.98418494944016033</c:v>
                </c:pt>
                <c:pt idx="51">
                  <c:v>0.97584993244686868</c:v>
                </c:pt>
                <c:pt idx="52">
                  <c:v>0.96267879322416694</c:v>
                </c:pt>
                <c:pt idx="53">
                  <c:v>0.94236803163028049</c:v>
                </c:pt>
                <c:pt idx="54">
                  <c:v>0.91178841513556308</c:v>
                </c:pt>
                <c:pt idx="55">
                  <c:v>0.86713917780858774</c:v>
                </c:pt>
                <c:pt idx="56">
                  <c:v>0.80465980784030089</c:v>
                </c:pt>
                <c:pt idx="57">
                  <c:v>0.72217540131165869</c:v>
                </c:pt>
                <c:pt idx="58">
                  <c:v>0.62123843747393459</c:v>
                </c:pt>
                <c:pt idx="59">
                  <c:v>0.50857660486623535</c:v>
                </c:pt>
                <c:pt idx="60">
                  <c:v>0.39503415311283407</c:v>
                </c:pt>
                <c:pt idx="61">
                  <c:v>0.29178844247104618</c:v>
                </c:pt>
                <c:pt idx="62">
                  <c:v>0.20632365610964459</c:v>
                </c:pt>
                <c:pt idx="63">
                  <c:v>0.14091073645603708</c:v>
                </c:pt>
                <c:pt idx="64">
                  <c:v>9.3785731568571895E-2</c:v>
                </c:pt>
                <c:pt idx="65">
                  <c:v>6.1296323371126379E-2</c:v>
                </c:pt>
                <c:pt idx="66">
                  <c:v>3.9570488888083184E-2</c:v>
                </c:pt>
                <c:pt idx="67">
                  <c:v>2.5337296440370579E-2</c:v>
                </c:pt>
                <c:pt idx="68">
                  <c:v>1.6137649137085288E-2</c:v>
                </c:pt>
                <c:pt idx="69">
                  <c:v>1.0243171275354611E-2</c:v>
                </c:pt>
                <c:pt idx="70">
                  <c:v>6.4875280921782219E-3</c:v>
                </c:pt>
              </c:numCache>
            </c:numRef>
          </c:yVal>
          <c:smooth val="1"/>
          <c:extLst>
            <c:ext xmlns:c16="http://schemas.microsoft.com/office/drawing/2014/chart" uri="{C3380CC4-5D6E-409C-BE32-E72D297353CC}">
              <c16:uniqueId val="{00000001-7F3E-40B2-A7C9-AEB3728940B5}"/>
            </c:ext>
          </c:extLst>
        </c:ser>
        <c:ser>
          <c:idx val="2"/>
          <c:order val="2"/>
          <c:tx>
            <c:v>alfa 2</c:v>
          </c:tx>
          <c:spPr>
            <a:ln w="25400">
              <a:solidFill>
                <a:srgbClr val="008000"/>
              </a:solidFill>
              <a:prstDash val="solid"/>
            </a:ln>
          </c:spPr>
          <c:marker>
            <c:symbol val="none"/>
          </c:marker>
          <c:xVal>
            <c:numRef>
              <c:f>Distribution!$O$12:$O$114</c:f>
              <c:numCache>
                <c:formatCode>0.000</c:formatCode>
                <c:ptCount val="103"/>
                <c:pt idx="0">
                  <c:v>0</c:v>
                </c:pt>
                <c:pt idx="1">
                  <c:v>0.2</c:v>
                </c:pt>
                <c:pt idx="2">
                  <c:v>0.4</c:v>
                </c:pt>
                <c:pt idx="3">
                  <c:v>0.60000000000000009</c:v>
                </c:pt>
                <c:pt idx="4">
                  <c:v>0.8</c:v>
                </c:pt>
                <c:pt idx="5">
                  <c:v>1</c:v>
                </c:pt>
                <c:pt idx="6">
                  <c:v>1.2</c:v>
                </c:pt>
                <c:pt idx="7">
                  <c:v>1.4</c:v>
                </c:pt>
                <c:pt idx="8">
                  <c:v>1.5999999999999999</c:v>
                </c:pt>
                <c:pt idx="9">
                  <c:v>1.7999999999999998</c:v>
                </c:pt>
                <c:pt idx="10">
                  <c:v>1.9999999999999998</c:v>
                </c:pt>
                <c:pt idx="11">
                  <c:v>2.1999999999999997</c:v>
                </c:pt>
                <c:pt idx="12">
                  <c:v>2.4</c:v>
                </c:pt>
                <c:pt idx="13">
                  <c:v>2.6</c:v>
                </c:pt>
                <c:pt idx="14">
                  <c:v>2.8000000000000003</c:v>
                </c:pt>
                <c:pt idx="15">
                  <c:v>3.0000000000000004</c:v>
                </c:pt>
                <c:pt idx="16">
                  <c:v>3.2000000000000006</c:v>
                </c:pt>
                <c:pt idx="17">
                  <c:v>3.4000000000000008</c:v>
                </c:pt>
                <c:pt idx="18">
                  <c:v>3.600000000000001</c:v>
                </c:pt>
                <c:pt idx="19">
                  <c:v>3.8000000000000012</c:v>
                </c:pt>
                <c:pt idx="20">
                  <c:v>4.0000000000000009</c:v>
                </c:pt>
                <c:pt idx="21">
                  <c:v>4.2000000000000011</c:v>
                </c:pt>
                <c:pt idx="22">
                  <c:v>4.4000000000000012</c:v>
                </c:pt>
                <c:pt idx="23">
                  <c:v>4.6000000000000014</c:v>
                </c:pt>
                <c:pt idx="24">
                  <c:v>4.8000000000000016</c:v>
                </c:pt>
                <c:pt idx="25">
                  <c:v>5.0000000000000018</c:v>
                </c:pt>
                <c:pt idx="26">
                  <c:v>5.200000000000002</c:v>
                </c:pt>
                <c:pt idx="27">
                  <c:v>5.4000000000000021</c:v>
                </c:pt>
                <c:pt idx="28">
                  <c:v>5.6000000000000023</c:v>
                </c:pt>
                <c:pt idx="29">
                  <c:v>5.8000000000000025</c:v>
                </c:pt>
                <c:pt idx="30">
                  <c:v>6.0000000000000027</c:v>
                </c:pt>
                <c:pt idx="31">
                  <c:v>6.2000000000000028</c:v>
                </c:pt>
                <c:pt idx="32">
                  <c:v>6.400000000000003</c:v>
                </c:pt>
                <c:pt idx="33">
                  <c:v>6.6000000000000032</c:v>
                </c:pt>
                <c:pt idx="34">
                  <c:v>6.8000000000000034</c:v>
                </c:pt>
                <c:pt idx="35">
                  <c:v>7.0000000000000036</c:v>
                </c:pt>
                <c:pt idx="36">
                  <c:v>7.2000000000000037</c:v>
                </c:pt>
                <c:pt idx="37">
                  <c:v>7.4000000000000039</c:v>
                </c:pt>
                <c:pt idx="38">
                  <c:v>7.6000000000000041</c:v>
                </c:pt>
                <c:pt idx="39">
                  <c:v>7.8000000000000043</c:v>
                </c:pt>
                <c:pt idx="40">
                  <c:v>8.0000000000000036</c:v>
                </c:pt>
                <c:pt idx="41">
                  <c:v>8.2000000000000028</c:v>
                </c:pt>
                <c:pt idx="42">
                  <c:v>8.4000000000000021</c:v>
                </c:pt>
                <c:pt idx="43">
                  <c:v>8.6000000000000014</c:v>
                </c:pt>
                <c:pt idx="44">
                  <c:v>8.8000000000000007</c:v>
                </c:pt>
                <c:pt idx="45">
                  <c:v>9</c:v>
                </c:pt>
                <c:pt idx="46">
                  <c:v>9.1999999999999993</c:v>
                </c:pt>
                <c:pt idx="47">
                  <c:v>9.3999999999999986</c:v>
                </c:pt>
                <c:pt idx="48">
                  <c:v>9.5999999999999979</c:v>
                </c:pt>
                <c:pt idx="49">
                  <c:v>9.7999999999999972</c:v>
                </c:pt>
                <c:pt idx="50">
                  <c:v>9.9999999999999964</c:v>
                </c:pt>
                <c:pt idx="51">
                  <c:v>10.199999999999996</c:v>
                </c:pt>
                <c:pt idx="52">
                  <c:v>10.399999999999995</c:v>
                </c:pt>
                <c:pt idx="53">
                  <c:v>10.599999999999994</c:v>
                </c:pt>
                <c:pt idx="54">
                  <c:v>10.799999999999994</c:v>
                </c:pt>
                <c:pt idx="55">
                  <c:v>10.999999999999993</c:v>
                </c:pt>
                <c:pt idx="56">
                  <c:v>11.199999999999992</c:v>
                </c:pt>
                <c:pt idx="57">
                  <c:v>11.399999999999991</c:v>
                </c:pt>
                <c:pt idx="58">
                  <c:v>11.599999999999991</c:v>
                </c:pt>
                <c:pt idx="59">
                  <c:v>11.79999999999999</c:v>
                </c:pt>
                <c:pt idx="60">
                  <c:v>11.999999999999989</c:v>
                </c:pt>
                <c:pt idx="61">
                  <c:v>12.199999999999989</c:v>
                </c:pt>
                <c:pt idx="62">
                  <c:v>12.399999999999988</c:v>
                </c:pt>
                <c:pt idx="63">
                  <c:v>12.599999999999987</c:v>
                </c:pt>
                <c:pt idx="64">
                  <c:v>12.799999999999986</c:v>
                </c:pt>
                <c:pt idx="65">
                  <c:v>12.999999999999986</c:v>
                </c:pt>
                <c:pt idx="66">
                  <c:v>13.199999999999985</c:v>
                </c:pt>
                <c:pt idx="67">
                  <c:v>13.399999999999984</c:v>
                </c:pt>
                <c:pt idx="68">
                  <c:v>13.599999999999984</c:v>
                </c:pt>
                <c:pt idx="69">
                  <c:v>13.799999999999983</c:v>
                </c:pt>
                <c:pt idx="70">
                  <c:v>13.999999999999982</c:v>
                </c:pt>
              </c:numCache>
            </c:numRef>
          </c:xVal>
          <c:yVal>
            <c:numRef>
              <c:f>Distribution!$S$12:$S$114</c:f>
              <c:numCache>
                <c:formatCode>0.000</c:formatCode>
                <c:ptCount val="103"/>
                <c:pt idx="0">
                  <c:v>9.0174721821650351E-3</c:v>
                </c:pt>
                <c:pt idx="1">
                  <c:v>1.4216747453741053E-2</c:v>
                </c:pt>
                <c:pt idx="2">
                  <c:v>2.2346211181345322E-2</c:v>
                </c:pt>
                <c:pt idx="3">
                  <c:v>3.4959432668727204E-2</c:v>
                </c:pt>
                <c:pt idx="4">
                  <c:v>5.4296731071253164E-2</c:v>
                </c:pt>
                <c:pt idx="5">
                  <c:v>8.3405732135221289E-2</c:v>
                </c:pt>
                <c:pt idx="6">
                  <c:v>0.1260404678009768</c:v>
                </c:pt>
                <c:pt idx="7">
                  <c:v>0.18604530567026856</c:v>
                </c:pt>
                <c:pt idx="8">
                  <c:v>0.26592466316924818</c:v>
                </c:pt>
                <c:pt idx="9">
                  <c:v>0.36473191562039453</c:v>
                </c:pt>
                <c:pt idx="10">
                  <c:v>0.47642381612098039</c:v>
                </c:pt>
                <c:pt idx="11">
                  <c:v>0.59052208796046002</c:v>
                </c:pt>
                <c:pt idx="12">
                  <c:v>0.69563454874227915</c:v>
                </c:pt>
                <c:pt idx="13">
                  <c:v>0.78363853241890358</c:v>
                </c:pt>
                <c:pt idx="14">
                  <c:v>0.85160254059751683</c:v>
                </c:pt>
                <c:pt idx="15">
                  <c:v>0.90087795339455845</c:v>
                </c:pt>
                <c:pt idx="16">
                  <c:v>0.93497309096935788</c:v>
                </c:pt>
                <c:pt idx="17">
                  <c:v>0.95777824447387894</c:v>
                </c:pt>
                <c:pt idx="18">
                  <c:v>0.9726378672131194</c:v>
                </c:pt>
                <c:pt idx="19">
                  <c:v>0.98207417474705005</c:v>
                </c:pt>
                <c:pt idx="20">
                  <c:v>0.98783569641974256</c:v>
                </c:pt>
                <c:pt idx="21">
                  <c:v>0.99104769727193598</c:v>
                </c:pt>
                <c:pt idx="22">
                  <c:v>0.99235680877044297</c:v>
                </c:pt>
                <c:pt idx="23">
                  <c:v>0.99203057942189021</c:v>
                </c:pt>
                <c:pt idx="24">
                  <c:v>0.99000211862144705</c:v>
                </c:pt>
                <c:pt idx="25">
                  <c:v>0.98585874660876238</c:v>
                </c:pt>
                <c:pt idx="26">
                  <c:v>0.97877475292602456</c:v>
                </c:pt>
                <c:pt idx="27">
                  <c:v>0.96739137004823306</c:v>
                </c:pt>
                <c:pt idx="28">
                  <c:v>0.94966228028215738</c:v>
                </c:pt>
                <c:pt idx="29">
                  <c:v>0.92272593262108915</c:v>
                </c:pt>
                <c:pt idx="30">
                  <c:v>0.88295428621862293</c:v>
                </c:pt>
                <c:pt idx="31">
                  <c:v>0.82645234752375052</c:v>
                </c:pt>
                <c:pt idx="32">
                  <c:v>0.75032949578227637</c:v>
                </c:pt>
                <c:pt idx="33">
                  <c:v>0.65473769223878209</c:v>
                </c:pt>
                <c:pt idx="34">
                  <c:v>0.54474030669892259</c:v>
                </c:pt>
                <c:pt idx="35">
                  <c:v>0.43019172647830684</c:v>
                </c:pt>
                <c:pt idx="36">
                  <c:v>0.32265656579158708</c:v>
                </c:pt>
                <c:pt idx="37">
                  <c:v>0.23109844335609106</c:v>
                </c:pt>
                <c:pt idx="38">
                  <c:v>0.15940552934049843</c:v>
                </c:pt>
                <c:pt idx="39">
                  <c:v>0.10686129100438926</c:v>
                </c:pt>
                <c:pt idx="40">
                  <c:v>7.0189397043352877E-2</c:v>
                </c:pt>
                <c:pt idx="41">
                  <c:v>4.5460284474969546E-2</c:v>
                </c:pt>
                <c:pt idx="42">
                  <c:v>2.9168909768072241E-2</c:v>
                </c:pt>
                <c:pt idx="43">
                  <c:v>1.8600503080155279E-2</c:v>
                </c:pt>
                <c:pt idx="44">
                  <c:v>1.1813081969552013E-2</c:v>
                </c:pt>
                <c:pt idx="45">
                  <c:v>7.4819942952013959E-3</c:v>
                </c:pt>
                <c:pt idx="46">
                  <c:v>4.7296804028698278E-3</c:v>
                </c:pt>
                <c:pt idx="47">
                  <c:v>2.9852295471840063E-3</c:v>
                </c:pt>
                <c:pt idx="48">
                  <c:v>1.881420954323485E-3</c:v>
                </c:pt>
                <c:pt idx="49">
                  <c:v>1.183730655178713E-3</c:v>
                </c:pt>
                <c:pt idx="50">
                  <c:v>7.4305382876725494E-4</c:v>
                </c:pt>
                <c:pt idx="51">
                  <c:v>4.6486472629832487E-4</c:v>
                </c:pt>
                <c:pt idx="52">
                  <c:v>2.8935098284026221E-4</c:v>
                </c:pt>
                <c:pt idx="53">
                  <c:v>1.7871627421570579E-4</c:v>
                </c:pt>
                <c:pt idx="54">
                  <c:v>1.0910323473208167E-4</c:v>
                </c:pt>
                <c:pt idx="55">
                  <c:v>6.5468496191826997E-5</c:v>
                </c:pt>
                <c:pt idx="56">
                  <c:v>3.8331504557983186E-5</c:v>
                </c:pt>
                <c:pt idx="57">
                  <c:v>2.1706322360415026E-5</c:v>
                </c:pt>
                <c:pt idx="58">
                  <c:v>1.17815349437159E-5</c:v>
                </c:pt>
                <c:pt idx="59">
                  <c:v>6.0855514041288533E-6</c:v>
                </c:pt>
                <c:pt idx="60">
                  <c:v>2.9824845434925367E-6</c:v>
                </c:pt>
                <c:pt idx="61">
                  <c:v>1.3899898943089273E-6</c:v>
                </c:pt>
                <c:pt idx="62">
                  <c:v>6.2014405114896231E-7</c:v>
                </c:pt>
                <c:pt idx="63">
                  <c:v>2.6723149524552903E-7</c:v>
                </c:pt>
                <c:pt idx="64">
                  <c:v>1.1222260028742242E-7</c:v>
                </c:pt>
                <c:pt idx="65">
                  <c:v>4.6278362411639003E-8</c:v>
                </c:pt>
                <c:pt idx="66">
                  <c:v>1.8850157052659E-8</c:v>
                </c:pt>
                <c:pt idx="67">
                  <c:v>7.6155948164003231E-9</c:v>
                </c:pt>
                <c:pt idx="68">
                  <c:v>3.0604396919013453E-9</c:v>
                </c:pt>
                <c:pt idx="69">
                  <c:v>1.2256825174619056E-9</c:v>
                </c:pt>
                <c:pt idx="70">
                  <c:v>4.8980454241557239E-10</c:v>
                </c:pt>
              </c:numCache>
            </c:numRef>
          </c:yVal>
          <c:smooth val="1"/>
          <c:extLst>
            <c:ext xmlns:c16="http://schemas.microsoft.com/office/drawing/2014/chart" uri="{C3380CC4-5D6E-409C-BE32-E72D297353CC}">
              <c16:uniqueId val="{00000002-7F3E-40B2-A7C9-AEB3728940B5}"/>
            </c:ext>
          </c:extLst>
        </c:ser>
        <c:ser>
          <c:idx val="3"/>
          <c:order val="3"/>
          <c:tx>
            <c:v>alfa 3</c:v>
          </c:tx>
          <c:spPr>
            <a:ln w="25400">
              <a:solidFill>
                <a:srgbClr val="993300"/>
              </a:solidFill>
              <a:prstDash val="solid"/>
            </a:ln>
          </c:spPr>
          <c:marker>
            <c:symbol val="none"/>
          </c:marker>
          <c:xVal>
            <c:numRef>
              <c:f>Distribution!$O$12:$O$114</c:f>
              <c:numCache>
                <c:formatCode>0.000</c:formatCode>
                <c:ptCount val="103"/>
                <c:pt idx="0">
                  <c:v>0</c:v>
                </c:pt>
                <c:pt idx="1">
                  <c:v>0.2</c:v>
                </c:pt>
                <c:pt idx="2">
                  <c:v>0.4</c:v>
                </c:pt>
                <c:pt idx="3">
                  <c:v>0.60000000000000009</c:v>
                </c:pt>
                <c:pt idx="4">
                  <c:v>0.8</c:v>
                </c:pt>
                <c:pt idx="5">
                  <c:v>1</c:v>
                </c:pt>
                <c:pt idx="6">
                  <c:v>1.2</c:v>
                </c:pt>
                <c:pt idx="7">
                  <c:v>1.4</c:v>
                </c:pt>
                <c:pt idx="8">
                  <c:v>1.5999999999999999</c:v>
                </c:pt>
                <c:pt idx="9">
                  <c:v>1.7999999999999998</c:v>
                </c:pt>
                <c:pt idx="10">
                  <c:v>1.9999999999999998</c:v>
                </c:pt>
                <c:pt idx="11">
                  <c:v>2.1999999999999997</c:v>
                </c:pt>
                <c:pt idx="12">
                  <c:v>2.4</c:v>
                </c:pt>
                <c:pt idx="13">
                  <c:v>2.6</c:v>
                </c:pt>
                <c:pt idx="14">
                  <c:v>2.8000000000000003</c:v>
                </c:pt>
                <c:pt idx="15">
                  <c:v>3.0000000000000004</c:v>
                </c:pt>
                <c:pt idx="16">
                  <c:v>3.2000000000000006</c:v>
                </c:pt>
                <c:pt idx="17">
                  <c:v>3.4000000000000008</c:v>
                </c:pt>
                <c:pt idx="18">
                  <c:v>3.600000000000001</c:v>
                </c:pt>
                <c:pt idx="19">
                  <c:v>3.8000000000000012</c:v>
                </c:pt>
                <c:pt idx="20">
                  <c:v>4.0000000000000009</c:v>
                </c:pt>
                <c:pt idx="21">
                  <c:v>4.2000000000000011</c:v>
                </c:pt>
                <c:pt idx="22">
                  <c:v>4.4000000000000012</c:v>
                </c:pt>
                <c:pt idx="23">
                  <c:v>4.6000000000000014</c:v>
                </c:pt>
                <c:pt idx="24">
                  <c:v>4.8000000000000016</c:v>
                </c:pt>
                <c:pt idx="25">
                  <c:v>5.0000000000000018</c:v>
                </c:pt>
                <c:pt idx="26">
                  <c:v>5.200000000000002</c:v>
                </c:pt>
                <c:pt idx="27">
                  <c:v>5.4000000000000021</c:v>
                </c:pt>
                <c:pt idx="28">
                  <c:v>5.6000000000000023</c:v>
                </c:pt>
                <c:pt idx="29">
                  <c:v>5.8000000000000025</c:v>
                </c:pt>
                <c:pt idx="30">
                  <c:v>6.0000000000000027</c:v>
                </c:pt>
                <c:pt idx="31">
                  <c:v>6.2000000000000028</c:v>
                </c:pt>
                <c:pt idx="32">
                  <c:v>6.400000000000003</c:v>
                </c:pt>
                <c:pt idx="33">
                  <c:v>6.6000000000000032</c:v>
                </c:pt>
                <c:pt idx="34">
                  <c:v>6.8000000000000034</c:v>
                </c:pt>
                <c:pt idx="35">
                  <c:v>7.0000000000000036</c:v>
                </c:pt>
                <c:pt idx="36">
                  <c:v>7.2000000000000037</c:v>
                </c:pt>
                <c:pt idx="37">
                  <c:v>7.4000000000000039</c:v>
                </c:pt>
                <c:pt idx="38">
                  <c:v>7.6000000000000041</c:v>
                </c:pt>
                <c:pt idx="39">
                  <c:v>7.8000000000000043</c:v>
                </c:pt>
                <c:pt idx="40">
                  <c:v>8.0000000000000036</c:v>
                </c:pt>
                <c:pt idx="41">
                  <c:v>8.2000000000000028</c:v>
                </c:pt>
                <c:pt idx="42">
                  <c:v>8.4000000000000021</c:v>
                </c:pt>
                <c:pt idx="43">
                  <c:v>8.6000000000000014</c:v>
                </c:pt>
                <c:pt idx="44">
                  <c:v>8.8000000000000007</c:v>
                </c:pt>
                <c:pt idx="45">
                  <c:v>9</c:v>
                </c:pt>
                <c:pt idx="46">
                  <c:v>9.1999999999999993</c:v>
                </c:pt>
                <c:pt idx="47">
                  <c:v>9.3999999999999986</c:v>
                </c:pt>
                <c:pt idx="48">
                  <c:v>9.5999999999999979</c:v>
                </c:pt>
                <c:pt idx="49">
                  <c:v>9.7999999999999972</c:v>
                </c:pt>
                <c:pt idx="50">
                  <c:v>9.9999999999999964</c:v>
                </c:pt>
                <c:pt idx="51">
                  <c:v>10.199999999999996</c:v>
                </c:pt>
                <c:pt idx="52">
                  <c:v>10.399999999999995</c:v>
                </c:pt>
                <c:pt idx="53">
                  <c:v>10.599999999999994</c:v>
                </c:pt>
                <c:pt idx="54">
                  <c:v>10.799999999999994</c:v>
                </c:pt>
                <c:pt idx="55">
                  <c:v>10.999999999999993</c:v>
                </c:pt>
                <c:pt idx="56">
                  <c:v>11.199999999999992</c:v>
                </c:pt>
                <c:pt idx="57">
                  <c:v>11.399999999999991</c:v>
                </c:pt>
                <c:pt idx="58">
                  <c:v>11.599999999999991</c:v>
                </c:pt>
                <c:pt idx="59">
                  <c:v>11.79999999999999</c:v>
                </c:pt>
                <c:pt idx="60">
                  <c:v>11.999999999999989</c:v>
                </c:pt>
                <c:pt idx="61">
                  <c:v>12.199999999999989</c:v>
                </c:pt>
                <c:pt idx="62">
                  <c:v>12.399999999999988</c:v>
                </c:pt>
                <c:pt idx="63">
                  <c:v>12.599999999999987</c:v>
                </c:pt>
                <c:pt idx="64">
                  <c:v>12.799999999999986</c:v>
                </c:pt>
                <c:pt idx="65">
                  <c:v>12.999999999999986</c:v>
                </c:pt>
                <c:pt idx="66">
                  <c:v>13.199999999999985</c:v>
                </c:pt>
                <c:pt idx="67">
                  <c:v>13.399999999999984</c:v>
                </c:pt>
                <c:pt idx="68">
                  <c:v>13.599999999999984</c:v>
                </c:pt>
                <c:pt idx="69">
                  <c:v>13.799999999999983</c:v>
                </c:pt>
                <c:pt idx="70">
                  <c:v>13.999999999999982</c:v>
                </c:pt>
              </c:numCache>
            </c:numRef>
          </c:xVal>
          <c:yVal>
            <c:numRef>
              <c:f>Distribution!$T$12:$T$114</c:f>
              <c:numCache>
                <c:formatCode>0.000</c:formatCode>
                <c:ptCount val="103"/>
                <c:pt idx="0">
                  <c:v>0.99098252662345854</c:v>
                </c:pt>
                <c:pt idx="1">
                  <c:v>0.98578324956186125</c:v>
                </c:pt>
                <c:pt idx="2">
                  <c:v>0.97765378138400783</c:v>
                </c:pt>
                <c:pt idx="3">
                  <c:v>0.96504054889722035</c:v>
                </c:pt>
                <c:pt idx="4">
                  <c:v>0.94570322355233749</c:v>
                </c:pt>
                <c:pt idx="5">
                  <c:v>0.91659415739274686</c:v>
                </c:pt>
                <c:pt idx="6">
                  <c:v>0.8739592676132738</c:v>
                </c:pt>
                <c:pt idx="7">
                  <c:v>0.81395407535180841</c:v>
                </c:pt>
                <c:pt idx="8">
                  <c:v>0.7340739346142916</c:v>
                </c:pt>
                <c:pt idx="9">
                  <c:v>0.63526503627258879</c:v>
                </c:pt>
                <c:pt idx="10">
                  <c:v>0.52356987358047458</c:v>
                </c:pt>
                <c:pt idx="11">
                  <c:v>0.40946551572493084</c:v>
                </c:pt>
                <c:pt idx="12">
                  <c:v>0.30434230730218298</c:v>
                </c:pt>
                <c:pt idx="13">
                  <c:v>0.21632014644764086</c:v>
                </c:pt>
                <c:pt idx="14">
                  <c:v>0.14832628998816885</c:v>
                </c:pt>
                <c:pt idx="15">
                  <c:v>9.9002724089353858E-2</c:v>
                </c:pt>
                <c:pt idx="16">
                  <c:v>6.4830638292455223E-2</c:v>
                </c:pt>
                <c:pt idx="17">
                  <c:v>4.1903100030617799E-2</c:v>
                </c:pt>
                <c:pt idx="18">
                  <c:v>2.68492624050281E-2</c:v>
                </c:pt>
                <c:pt idx="19">
                  <c:v>1.7105094441265574E-2</c:v>
                </c:pt>
                <c:pt idx="20">
                  <c:v>1.0855901682325392E-2</c:v>
                </c:pt>
                <c:pt idx="21">
                  <c:v>6.8718827753421578E-3</c:v>
                </c:pt>
                <c:pt idx="22">
                  <c:v>4.3415923115704639E-3</c:v>
                </c:pt>
                <c:pt idx="23">
                  <c:v>2.7384590132222548E-3</c:v>
                </c:pt>
                <c:pt idx="24">
                  <c:v>1.7243177930459784E-3</c:v>
                </c:pt>
                <c:pt idx="25">
                  <c:v>1.0834175829679349E-3</c:v>
                </c:pt>
                <c:pt idx="26">
                  <c:v>6.78678269884173E-4</c:v>
                </c:pt>
                <c:pt idx="27">
                  <c:v>4.2323677303982585E-4</c:v>
                </c:pt>
                <c:pt idx="28">
                  <c:v>2.6215030916399611E-4</c:v>
                </c:pt>
                <c:pt idx="29">
                  <c:v>1.6071407462632645E-4</c:v>
                </c:pt>
                <c:pt idx="30">
                  <c:v>9.7032987934303567E-5</c:v>
                </c:pt>
                <c:pt idx="31">
                  <c:v>5.7305855885876475E-5</c:v>
                </c:pt>
                <c:pt idx="32">
                  <c:v>3.2827151899820646E-5</c:v>
                </c:pt>
                <c:pt idx="33">
                  <c:v>1.8073760746896387E-5</c:v>
                </c:pt>
                <c:pt idx="34">
                  <c:v>9.4879130636430419E-6</c:v>
                </c:pt>
                <c:pt idx="35">
                  <c:v>4.7276273818858842E-6</c:v>
                </c:pt>
                <c:pt idx="36">
                  <c:v>2.2372869670326764E-6</c:v>
                </c:pt>
                <c:pt idx="37">
                  <c:v>1.0110629725349097E-6</c:v>
                </c:pt>
                <c:pt idx="38">
                  <c:v>4.4003231113534503E-7</c:v>
                </c:pt>
                <c:pt idx="39">
                  <c:v>1.8612366781933033E-7</c:v>
                </c:pt>
                <c:pt idx="40">
                  <c:v>7.7135215522781146E-8</c:v>
                </c:pt>
                <c:pt idx="41">
                  <c:v>3.1521968791778234E-8</c:v>
                </c:pt>
                <c:pt idx="42">
                  <c:v>1.2761489946631655E-8</c:v>
                </c:pt>
                <c:pt idx="43">
                  <c:v>5.1345912481854244E-9</c:v>
                </c:pt>
                <c:pt idx="44">
                  <c:v>2.0575215999712446E-9</c:v>
                </c:pt>
                <c:pt idx="45">
                  <c:v>8.222399205739279E-10</c:v>
                </c:pt>
                <c:pt idx="46">
                  <c:v>3.2795403675143606E-10</c:v>
                </c:pt>
                <c:pt idx="47">
                  <c:v>1.3060473345656519E-10</c:v>
                </c:pt>
                <c:pt idx="48">
                  <c:v>5.1935840254388812E-11</c:v>
                </c:pt>
                <c:pt idx="49">
                  <c:v>2.0617408715658796E-11</c:v>
                </c:pt>
                <c:pt idx="50">
                  <c:v>8.1658512027948545E-12</c:v>
                </c:pt>
                <c:pt idx="51">
                  <c:v>3.2233523313833998E-12</c:v>
                </c:pt>
                <c:pt idx="52">
                  <c:v>1.2659196685526628E-12</c:v>
                </c:pt>
                <c:pt idx="53">
                  <c:v>4.9333881645131508E-13</c:v>
                </c:pt>
                <c:pt idx="54">
                  <c:v>1.9002853164533453E-13</c:v>
                </c:pt>
                <c:pt idx="55">
                  <c:v>7.1947142680111086E-14</c:v>
                </c:pt>
                <c:pt idx="56">
                  <c:v>2.6578902978136064E-14</c:v>
                </c:pt>
                <c:pt idx="57">
                  <c:v>9.4965844381332886E-15</c:v>
                </c:pt>
                <c:pt idx="58">
                  <c:v>3.2522435523120755E-15</c:v>
                </c:pt>
                <c:pt idx="59">
                  <c:v>1.0599396071240158E-15</c:v>
                </c:pt>
                <c:pt idx="60">
                  <c:v>3.2776259342073192E-16</c:v>
                </c:pt>
                <c:pt idx="61">
                  <c:v>9.6381310797602333E-17</c:v>
                </c:pt>
                <c:pt idx="62">
                  <c:v>2.7131497670384811E-17</c:v>
                </c:pt>
                <c:pt idx="63">
                  <c:v>7.3768139002173107E-18</c:v>
                </c:pt>
                <c:pt idx="64">
                  <c:v>1.9546162863464389E-18</c:v>
                </c:pt>
                <c:pt idx="65">
                  <c:v>5.0857987232152105E-19</c:v>
                </c:pt>
                <c:pt idx="66">
                  <c:v>1.3070619095250562E-19</c:v>
                </c:pt>
                <c:pt idx="67">
                  <c:v>3.3318467320124258E-20</c:v>
                </c:pt>
                <c:pt idx="68">
                  <c:v>8.4482160455121434E-21</c:v>
                </c:pt>
                <c:pt idx="69">
                  <c:v>2.1348097481124492E-21</c:v>
                </c:pt>
                <c:pt idx="70">
                  <c:v>5.3827473286212253E-22</c:v>
                </c:pt>
              </c:numCache>
            </c:numRef>
          </c:yVal>
          <c:smooth val="1"/>
          <c:extLst>
            <c:ext xmlns:c16="http://schemas.microsoft.com/office/drawing/2014/chart" uri="{C3380CC4-5D6E-409C-BE32-E72D297353CC}">
              <c16:uniqueId val="{00000003-7F3E-40B2-A7C9-AEB3728940B5}"/>
            </c:ext>
          </c:extLst>
        </c:ser>
        <c:ser>
          <c:idx val="4"/>
          <c:order val="4"/>
          <c:tx>
            <c:v>alfa 4</c:v>
          </c:tx>
          <c:spPr>
            <a:ln w="25400">
              <a:solidFill>
                <a:srgbClr val="0000FF"/>
              </a:solidFill>
              <a:prstDash val="solid"/>
            </a:ln>
          </c:spPr>
          <c:marker>
            <c:symbol val="none"/>
          </c:marker>
          <c:xVal>
            <c:numRef>
              <c:f>Distribution!$O$12:$O$114</c:f>
              <c:numCache>
                <c:formatCode>0.000</c:formatCode>
                <c:ptCount val="103"/>
                <c:pt idx="0">
                  <c:v>0</c:v>
                </c:pt>
                <c:pt idx="1">
                  <c:v>0.2</c:v>
                </c:pt>
                <c:pt idx="2">
                  <c:v>0.4</c:v>
                </c:pt>
                <c:pt idx="3">
                  <c:v>0.60000000000000009</c:v>
                </c:pt>
                <c:pt idx="4">
                  <c:v>0.8</c:v>
                </c:pt>
                <c:pt idx="5">
                  <c:v>1</c:v>
                </c:pt>
                <c:pt idx="6">
                  <c:v>1.2</c:v>
                </c:pt>
                <c:pt idx="7">
                  <c:v>1.4</c:v>
                </c:pt>
                <c:pt idx="8">
                  <c:v>1.5999999999999999</c:v>
                </c:pt>
                <c:pt idx="9">
                  <c:v>1.7999999999999998</c:v>
                </c:pt>
                <c:pt idx="10">
                  <c:v>1.9999999999999998</c:v>
                </c:pt>
                <c:pt idx="11">
                  <c:v>2.1999999999999997</c:v>
                </c:pt>
                <c:pt idx="12">
                  <c:v>2.4</c:v>
                </c:pt>
                <c:pt idx="13">
                  <c:v>2.6</c:v>
                </c:pt>
                <c:pt idx="14">
                  <c:v>2.8000000000000003</c:v>
                </c:pt>
                <c:pt idx="15">
                  <c:v>3.0000000000000004</c:v>
                </c:pt>
                <c:pt idx="16">
                  <c:v>3.2000000000000006</c:v>
                </c:pt>
                <c:pt idx="17">
                  <c:v>3.4000000000000008</c:v>
                </c:pt>
                <c:pt idx="18">
                  <c:v>3.600000000000001</c:v>
                </c:pt>
                <c:pt idx="19">
                  <c:v>3.8000000000000012</c:v>
                </c:pt>
                <c:pt idx="20">
                  <c:v>4.0000000000000009</c:v>
                </c:pt>
                <c:pt idx="21">
                  <c:v>4.2000000000000011</c:v>
                </c:pt>
                <c:pt idx="22">
                  <c:v>4.4000000000000012</c:v>
                </c:pt>
                <c:pt idx="23">
                  <c:v>4.6000000000000014</c:v>
                </c:pt>
                <c:pt idx="24">
                  <c:v>4.8000000000000016</c:v>
                </c:pt>
                <c:pt idx="25">
                  <c:v>5.0000000000000018</c:v>
                </c:pt>
                <c:pt idx="26">
                  <c:v>5.200000000000002</c:v>
                </c:pt>
                <c:pt idx="27">
                  <c:v>5.4000000000000021</c:v>
                </c:pt>
                <c:pt idx="28">
                  <c:v>5.6000000000000023</c:v>
                </c:pt>
                <c:pt idx="29">
                  <c:v>5.8000000000000025</c:v>
                </c:pt>
                <c:pt idx="30">
                  <c:v>6.0000000000000027</c:v>
                </c:pt>
                <c:pt idx="31">
                  <c:v>6.2000000000000028</c:v>
                </c:pt>
                <c:pt idx="32">
                  <c:v>6.400000000000003</c:v>
                </c:pt>
                <c:pt idx="33">
                  <c:v>6.6000000000000032</c:v>
                </c:pt>
                <c:pt idx="34">
                  <c:v>6.8000000000000034</c:v>
                </c:pt>
                <c:pt idx="35">
                  <c:v>7.0000000000000036</c:v>
                </c:pt>
                <c:pt idx="36">
                  <c:v>7.2000000000000037</c:v>
                </c:pt>
                <c:pt idx="37">
                  <c:v>7.4000000000000039</c:v>
                </c:pt>
                <c:pt idx="38">
                  <c:v>7.6000000000000041</c:v>
                </c:pt>
                <c:pt idx="39">
                  <c:v>7.8000000000000043</c:v>
                </c:pt>
                <c:pt idx="40">
                  <c:v>8.0000000000000036</c:v>
                </c:pt>
                <c:pt idx="41">
                  <c:v>8.2000000000000028</c:v>
                </c:pt>
                <c:pt idx="42">
                  <c:v>8.4000000000000021</c:v>
                </c:pt>
                <c:pt idx="43">
                  <c:v>8.6000000000000014</c:v>
                </c:pt>
                <c:pt idx="44">
                  <c:v>8.8000000000000007</c:v>
                </c:pt>
                <c:pt idx="45">
                  <c:v>9</c:v>
                </c:pt>
                <c:pt idx="46">
                  <c:v>9.1999999999999993</c:v>
                </c:pt>
                <c:pt idx="47">
                  <c:v>9.3999999999999986</c:v>
                </c:pt>
                <c:pt idx="48">
                  <c:v>9.5999999999999979</c:v>
                </c:pt>
                <c:pt idx="49">
                  <c:v>9.7999999999999972</c:v>
                </c:pt>
                <c:pt idx="50">
                  <c:v>9.9999999999999964</c:v>
                </c:pt>
                <c:pt idx="51">
                  <c:v>10.199999999999996</c:v>
                </c:pt>
                <c:pt idx="52">
                  <c:v>10.399999999999995</c:v>
                </c:pt>
                <c:pt idx="53">
                  <c:v>10.599999999999994</c:v>
                </c:pt>
                <c:pt idx="54">
                  <c:v>10.799999999999994</c:v>
                </c:pt>
                <c:pt idx="55">
                  <c:v>10.999999999999993</c:v>
                </c:pt>
                <c:pt idx="56">
                  <c:v>11.199999999999992</c:v>
                </c:pt>
                <c:pt idx="57">
                  <c:v>11.399999999999991</c:v>
                </c:pt>
                <c:pt idx="58">
                  <c:v>11.599999999999991</c:v>
                </c:pt>
                <c:pt idx="59">
                  <c:v>11.79999999999999</c:v>
                </c:pt>
                <c:pt idx="60">
                  <c:v>11.999999999999989</c:v>
                </c:pt>
                <c:pt idx="61">
                  <c:v>12.199999999999989</c:v>
                </c:pt>
                <c:pt idx="62">
                  <c:v>12.399999999999988</c:v>
                </c:pt>
                <c:pt idx="63">
                  <c:v>12.599999999999987</c:v>
                </c:pt>
                <c:pt idx="64">
                  <c:v>12.799999999999986</c:v>
                </c:pt>
                <c:pt idx="65">
                  <c:v>12.999999999999986</c:v>
                </c:pt>
                <c:pt idx="66">
                  <c:v>13.199999999999985</c:v>
                </c:pt>
                <c:pt idx="67">
                  <c:v>13.399999999999984</c:v>
                </c:pt>
                <c:pt idx="68">
                  <c:v>13.599999999999984</c:v>
                </c:pt>
                <c:pt idx="69">
                  <c:v>13.799999999999983</c:v>
                </c:pt>
                <c:pt idx="70">
                  <c:v>13.999999999999982</c:v>
                </c:pt>
              </c:numCache>
            </c:numRef>
          </c:xVal>
          <c:yVal>
            <c:numRef>
              <c:f>Distribution!$U$12:$U$114</c:f>
              <c:numCache>
                <c:formatCode>0.000</c:formatCode>
                <c:ptCount val="103"/>
              </c:numCache>
            </c:numRef>
          </c:yVal>
          <c:smooth val="1"/>
          <c:extLst>
            <c:ext xmlns:c16="http://schemas.microsoft.com/office/drawing/2014/chart" uri="{C3380CC4-5D6E-409C-BE32-E72D297353CC}">
              <c16:uniqueId val="{00000004-7F3E-40B2-A7C9-AEB3728940B5}"/>
            </c:ext>
          </c:extLst>
        </c:ser>
        <c:ser>
          <c:idx val="5"/>
          <c:order val="5"/>
          <c:tx>
            <c:v>alfa 5</c:v>
          </c:tx>
          <c:spPr>
            <a:ln w="25400">
              <a:solidFill>
                <a:srgbClr val="FF00FF"/>
              </a:solidFill>
              <a:prstDash val="solid"/>
            </a:ln>
          </c:spPr>
          <c:marker>
            <c:symbol val="none"/>
          </c:marker>
          <c:xVal>
            <c:numRef>
              <c:f>Distribution!$O$12:$O$114</c:f>
              <c:numCache>
                <c:formatCode>0.000</c:formatCode>
                <c:ptCount val="103"/>
                <c:pt idx="0">
                  <c:v>0</c:v>
                </c:pt>
                <c:pt idx="1">
                  <c:v>0.2</c:v>
                </c:pt>
                <c:pt idx="2">
                  <c:v>0.4</c:v>
                </c:pt>
                <c:pt idx="3">
                  <c:v>0.60000000000000009</c:v>
                </c:pt>
                <c:pt idx="4">
                  <c:v>0.8</c:v>
                </c:pt>
                <c:pt idx="5">
                  <c:v>1</c:v>
                </c:pt>
                <c:pt idx="6">
                  <c:v>1.2</c:v>
                </c:pt>
                <c:pt idx="7">
                  <c:v>1.4</c:v>
                </c:pt>
                <c:pt idx="8">
                  <c:v>1.5999999999999999</c:v>
                </c:pt>
                <c:pt idx="9">
                  <c:v>1.7999999999999998</c:v>
                </c:pt>
                <c:pt idx="10">
                  <c:v>1.9999999999999998</c:v>
                </c:pt>
                <c:pt idx="11">
                  <c:v>2.1999999999999997</c:v>
                </c:pt>
                <c:pt idx="12">
                  <c:v>2.4</c:v>
                </c:pt>
                <c:pt idx="13">
                  <c:v>2.6</c:v>
                </c:pt>
                <c:pt idx="14">
                  <c:v>2.8000000000000003</c:v>
                </c:pt>
                <c:pt idx="15">
                  <c:v>3.0000000000000004</c:v>
                </c:pt>
                <c:pt idx="16">
                  <c:v>3.2000000000000006</c:v>
                </c:pt>
                <c:pt idx="17">
                  <c:v>3.4000000000000008</c:v>
                </c:pt>
                <c:pt idx="18">
                  <c:v>3.600000000000001</c:v>
                </c:pt>
                <c:pt idx="19">
                  <c:v>3.8000000000000012</c:v>
                </c:pt>
                <c:pt idx="20">
                  <c:v>4.0000000000000009</c:v>
                </c:pt>
                <c:pt idx="21">
                  <c:v>4.2000000000000011</c:v>
                </c:pt>
                <c:pt idx="22">
                  <c:v>4.4000000000000012</c:v>
                </c:pt>
                <c:pt idx="23">
                  <c:v>4.6000000000000014</c:v>
                </c:pt>
                <c:pt idx="24">
                  <c:v>4.8000000000000016</c:v>
                </c:pt>
                <c:pt idx="25">
                  <c:v>5.0000000000000018</c:v>
                </c:pt>
                <c:pt idx="26">
                  <c:v>5.200000000000002</c:v>
                </c:pt>
                <c:pt idx="27">
                  <c:v>5.4000000000000021</c:v>
                </c:pt>
                <c:pt idx="28">
                  <c:v>5.6000000000000023</c:v>
                </c:pt>
                <c:pt idx="29">
                  <c:v>5.8000000000000025</c:v>
                </c:pt>
                <c:pt idx="30">
                  <c:v>6.0000000000000027</c:v>
                </c:pt>
                <c:pt idx="31">
                  <c:v>6.2000000000000028</c:v>
                </c:pt>
                <c:pt idx="32">
                  <c:v>6.400000000000003</c:v>
                </c:pt>
                <c:pt idx="33">
                  <c:v>6.6000000000000032</c:v>
                </c:pt>
                <c:pt idx="34">
                  <c:v>6.8000000000000034</c:v>
                </c:pt>
                <c:pt idx="35">
                  <c:v>7.0000000000000036</c:v>
                </c:pt>
                <c:pt idx="36">
                  <c:v>7.2000000000000037</c:v>
                </c:pt>
                <c:pt idx="37">
                  <c:v>7.4000000000000039</c:v>
                </c:pt>
                <c:pt idx="38">
                  <c:v>7.6000000000000041</c:v>
                </c:pt>
                <c:pt idx="39">
                  <c:v>7.8000000000000043</c:v>
                </c:pt>
                <c:pt idx="40">
                  <c:v>8.0000000000000036</c:v>
                </c:pt>
                <c:pt idx="41">
                  <c:v>8.2000000000000028</c:v>
                </c:pt>
                <c:pt idx="42">
                  <c:v>8.4000000000000021</c:v>
                </c:pt>
                <c:pt idx="43">
                  <c:v>8.6000000000000014</c:v>
                </c:pt>
                <c:pt idx="44">
                  <c:v>8.8000000000000007</c:v>
                </c:pt>
                <c:pt idx="45">
                  <c:v>9</c:v>
                </c:pt>
                <c:pt idx="46">
                  <c:v>9.1999999999999993</c:v>
                </c:pt>
                <c:pt idx="47">
                  <c:v>9.3999999999999986</c:v>
                </c:pt>
                <c:pt idx="48">
                  <c:v>9.5999999999999979</c:v>
                </c:pt>
                <c:pt idx="49">
                  <c:v>9.7999999999999972</c:v>
                </c:pt>
                <c:pt idx="50">
                  <c:v>9.9999999999999964</c:v>
                </c:pt>
                <c:pt idx="51">
                  <c:v>10.199999999999996</c:v>
                </c:pt>
                <c:pt idx="52">
                  <c:v>10.399999999999995</c:v>
                </c:pt>
                <c:pt idx="53">
                  <c:v>10.599999999999994</c:v>
                </c:pt>
                <c:pt idx="54">
                  <c:v>10.799999999999994</c:v>
                </c:pt>
                <c:pt idx="55">
                  <c:v>10.999999999999993</c:v>
                </c:pt>
                <c:pt idx="56">
                  <c:v>11.199999999999992</c:v>
                </c:pt>
                <c:pt idx="57">
                  <c:v>11.399999999999991</c:v>
                </c:pt>
                <c:pt idx="58">
                  <c:v>11.599999999999991</c:v>
                </c:pt>
                <c:pt idx="59">
                  <c:v>11.79999999999999</c:v>
                </c:pt>
                <c:pt idx="60">
                  <c:v>11.999999999999989</c:v>
                </c:pt>
                <c:pt idx="61">
                  <c:v>12.199999999999989</c:v>
                </c:pt>
                <c:pt idx="62">
                  <c:v>12.399999999999988</c:v>
                </c:pt>
                <c:pt idx="63">
                  <c:v>12.599999999999987</c:v>
                </c:pt>
                <c:pt idx="64">
                  <c:v>12.799999999999986</c:v>
                </c:pt>
                <c:pt idx="65">
                  <c:v>12.999999999999986</c:v>
                </c:pt>
                <c:pt idx="66">
                  <c:v>13.199999999999985</c:v>
                </c:pt>
                <c:pt idx="67">
                  <c:v>13.399999999999984</c:v>
                </c:pt>
                <c:pt idx="68">
                  <c:v>13.599999999999984</c:v>
                </c:pt>
                <c:pt idx="69">
                  <c:v>13.799999999999983</c:v>
                </c:pt>
                <c:pt idx="70">
                  <c:v>13.999999999999982</c:v>
                </c:pt>
              </c:numCache>
            </c:numRef>
          </c:xVal>
          <c:yVal>
            <c:numRef>
              <c:f>Distribution!$V$12:$V$114</c:f>
              <c:numCache>
                <c:formatCode>0.000</c:formatCode>
                <c:ptCount val="103"/>
              </c:numCache>
            </c:numRef>
          </c:yVal>
          <c:smooth val="1"/>
          <c:extLst>
            <c:ext xmlns:c16="http://schemas.microsoft.com/office/drawing/2014/chart" uri="{C3380CC4-5D6E-409C-BE32-E72D297353CC}">
              <c16:uniqueId val="{00000005-7F3E-40B2-A7C9-AEB3728940B5}"/>
            </c:ext>
          </c:extLst>
        </c:ser>
        <c:ser>
          <c:idx val="6"/>
          <c:order val="6"/>
          <c:tx>
            <c:v>alfa 6</c:v>
          </c:tx>
          <c:spPr>
            <a:ln w="25400">
              <a:solidFill>
                <a:srgbClr val="008080"/>
              </a:solidFill>
              <a:prstDash val="solid"/>
            </a:ln>
          </c:spPr>
          <c:marker>
            <c:symbol val="none"/>
          </c:marker>
          <c:xVal>
            <c:numRef>
              <c:f>Distribution!$O$12:$O$114</c:f>
              <c:numCache>
                <c:formatCode>0.000</c:formatCode>
                <c:ptCount val="103"/>
                <c:pt idx="0">
                  <c:v>0</c:v>
                </c:pt>
                <c:pt idx="1">
                  <c:v>0.2</c:v>
                </c:pt>
                <c:pt idx="2">
                  <c:v>0.4</c:v>
                </c:pt>
                <c:pt idx="3">
                  <c:v>0.60000000000000009</c:v>
                </c:pt>
                <c:pt idx="4">
                  <c:v>0.8</c:v>
                </c:pt>
                <c:pt idx="5">
                  <c:v>1</c:v>
                </c:pt>
                <c:pt idx="6">
                  <c:v>1.2</c:v>
                </c:pt>
                <c:pt idx="7">
                  <c:v>1.4</c:v>
                </c:pt>
                <c:pt idx="8">
                  <c:v>1.5999999999999999</c:v>
                </c:pt>
                <c:pt idx="9">
                  <c:v>1.7999999999999998</c:v>
                </c:pt>
                <c:pt idx="10">
                  <c:v>1.9999999999999998</c:v>
                </c:pt>
                <c:pt idx="11">
                  <c:v>2.1999999999999997</c:v>
                </c:pt>
                <c:pt idx="12">
                  <c:v>2.4</c:v>
                </c:pt>
                <c:pt idx="13">
                  <c:v>2.6</c:v>
                </c:pt>
                <c:pt idx="14">
                  <c:v>2.8000000000000003</c:v>
                </c:pt>
                <c:pt idx="15">
                  <c:v>3.0000000000000004</c:v>
                </c:pt>
                <c:pt idx="16">
                  <c:v>3.2000000000000006</c:v>
                </c:pt>
                <c:pt idx="17">
                  <c:v>3.4000000000000008</c:v>
                </c:pt>
                <c:pt idx="18">
                  <c:v>3.600000000000001</c:v>
                </c:pt>
                <c:pt idx="19">
                  <c:v>3.8000000000000012</c:v>
                </c:pt>
                <c:pt idx="20">
                  <c:v>4.0000000000000009</c:v>
                </c:pt>
                <c:pt idx="21">
                  <c:v>4.2000000000000011</c:v>
                </c:pt>
                <c:pt idx="22">
                  <c:v>4.4000000000000012</c:v>
                </c:pt>
                <c:pt idx="23">
                  <c:v>4.6000000000000014</c:v>
                </c:pt>
                <c:pt idx="24">
                  <c:v>4.8000000000000016</c:v>
                </c:pt>
                <c:pt idx="25">
                  <c:v>5.0000000000000018</c:v>
                </c:pt>
                <c:pt idx="26">
                  <c:v>5.200000000000002</c:v>
                </c:pt>
                <c:pt idx="27">
                  <c:v>5.4000000000000021</c:v>
                </c:pt>
                <c:pt idx="28">
                  <c:v>5.6000000000000023</c:v>
                </c:pt>
                <c:pt idx="29">
                  <c:v>5.8000000000000025</c:v>
                </c:pt>
                <c:pt idx="30">
                  <c:v>6.0000000000000027</c:v>
                </c:pt>
                <c:pt idx="31">
                  <c:v>6.2000000000000028</c:v>
                </c:pt>
                <c:pt idx="32">
                  <c:v>6.400000000000003</c:v>
                </c:pt>
                <c:pt idx="33">
                  <c:v>6.6000000000000032</c:v>
                </c:pt>
                <c:pt idx="34">
                  <c:v>6.8000000000000034</c:v>
                </c:pt>
                <c:pt idx="35">
                  <c:v>7.0000000000000036</c:v>
                </c:pt>
                <c:pt idx="36">
                  <c:v>7.2000000000000037</c:v>
                </c:pt>
                <c:pt idx="37">
                  <c:v>7.4000000000000039</c:v>
                </c:pt>
                <c:pt idx="38">
                  <c:v>7.6000000000000041</c:v>
                </c:pt>
                <c:pt idx="39">
                  <c:v>7.8000000000000043</c:v>
                </c:pt>
                <c:pt idx="40">
                  <c:v>8.0000000000000036</c:v>
                </c:pt>
                <c:pt idx="41">
                  <c:v>8.2000000000000028</c:v>
                </c:pt>
                <c:pt idx="42">
                  <c:v>8.4000000000000021</c:v>
                </c:pt>
                <c:pt idx="43">
                  <c:v>8.6000000000000014</c:v>
                </c:pt>
                <c:pt idx="44">
                  <c:v>8.8000000000000007</c:v>
                </c:pt>
                <c:pt idx="45">
                  <c:v>9</c:v>
                </c:pt>
                <c:pt idx="46">
                  <c:v>9.1999999999999993</c:v>
                </c:pt>
                <c:pt idx="47">
                  <c:v>9.3999999999999986</c:v>
                </c:pt>
                <c:pt idx="48">
                  <c:v>9.5999999999999979</c:v>
                </c:pt>
                <c:pt idx="49">
                  <c:v>9.7999999999999972</c:v>
                </c:pt>
                <c:pt idx="50">
                  <c:v>9.9999999999999964</c:v>
                </c:pt>
                <c:pt idx="51">
                  <c:v>10.199999999999996</c:v>
                </c:pt>
                <c:pt idx="52">
                  <c:v>10.399999999999995</c:v>
                </c:pt>
                <c:pt idx="53">
                  <c:v>10.599999999999994</c:v>
                </c:pt>
                <c:pt idx="54">
                  <c:v>10.799999999999994</c:v>
                </c:pt>
                <c:pt idx="55">
                  <c:v>10.999999999999993</c:v>
                </c:pt>
                <c:pt idx="56">
                  <c:v>11.199999999999992</c:v>
                </c:pt>
                <c:pt idx="57">
                  <c:v>11.399999999999991</c:v>
                </c:pt>
                <c:pt idx="58">
                  <c:v>11.599999999999991</c:v>
                </c:pt>
                <c:pt idx="59">
                  <c:v>11.79999999999999</c:v>
                </c:pt>
                <c:pt idx="60">
                  <c:v>11.999999999999989</c:v>
                </c:pt>
                <c:pt idx="61">
                  <c:v>12.199999999999989</c:v>
                </c:pt>
                <c:pt idx="62">
                  <c:v>12.399999999999988</c:v>
                </c:pt>
                <c:pt idx="63">
                  <c:v>12.599999999999987</c:v>
                </c:pt>
                <c:pt idx="64">
                  <c:v>12.799999999999986</c:v>
                </c:pt>
                <c:pt idx="65">
                  <c:v>12.999999999999986</c:v>
                </c:pt>
                <c:pt idx="66">
                  <c:v>13.199999999999985</c:v>
                </c:pt>
                <c:pt idx="67">
                  <c:v>13.399999999999984</c:v>
                </c:pt>
                <c:pt idx="68">
                  <c:v>13.599999999999984</c:v>
                </c:pt>
                <c:pt idx="69">
                  <c:v>13.799999999999983</c:v>
                </c:pt>
                <c:pt idx="70">
                  <c:v>13.999999999999982</c:v>
                </c:pt>
              </c:numCache>
            </c:numRef>
          </c:xVal>
          <c:yVal>
            <c:numRef>
              <c:f>Distribution!$W$12:$W$114</c:f>
              <c:numCache>
                <c:formatCode>0.000</c:formatCode>
                <c:ptCount val="103"/>
              </c:numCache>
            </c:numRef>
          </c:yVal>
          <c:smooth val="1"/>
          <c:extLst>
            <c:ext xmlns:c16="http://schemas.microsoft.com/office/drawing/2014/chart" uri="{C3380CC4-5D6E-409C-BE32-E72D297353CC}">
              <c16:uniqueId val="{00000006-7F3E-40B2-A7C9-AEB3728940B5}"/>
            </c:ext>
          </c:extLst>
        </c:ser>
        <c:dLbls>
          <c:showLegendKey val="0"/>
          <c:showVal val="0"/>
          <c:showCatName val="0"/>
          <c:showSerName val="0"/>
          <c:showPercent val="0"/>
          <c:showBubbleSize val="0"/>
        </c:dLbls>
        <c:axId val="151631360"/>
        <c:axId val="151633280"/>
      </c:scatterChart>
      <c:valAx>
        <c:axId val="151631360"/>
        <c:scaling>
          <c:orientation val="minMax"/>
          <c:max val="14"/>
        </c:scaling>
        <c:delete val="0"/>
        <c:axPos val="b"/>
        <c:majorGridlines/>
        <c:title>
          <c:tx>
            <c:rich>
              <a:bodyPr/>
              <a:lstStyle/>
              <a:p>
                <a:pPr>
                  <a:defRPr sz="1175" b="1" i="0" u="none" strike="noStrike" baseline="0">
                    <a:solidFill>
                      <a:srgbClr val="000000"/>
                    </a:solidFill>
                    <a:latin typeface="Arial"/>
                    <a:ea typeface="Arial"/>
                    <a:cs typeface="Arial"/>
                  </a:defRPr>
                </a:pPr>
                <a:r>
                  <a:rPr lang="pt-BR"/>
                  <a:t>pH</a:t>
                </a:r>
              </a:p>
            </c:rich>
          </c:tx>
          <c:layout>
            <c:manualLayout>
              <c:xMode val="edge"/>
              <c:yMode val="edge"/>
              <c:x val="0.48546028076766606"/>
              <c:y val="0.93151703365323613"/>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175" b="0" i="0" u="none" strike="noStrike" baseline="0">
                <a:solidFill>
                  <a:srgbClr val="000000"/>
                </a:solidFill>
                <a:latin typeface="Arial"/>
                <a:ea typeface="Arial"/>
                <a:cs typeface="Arial"/>
              </a:defRPr>
            </a:pPr>
            <a:endParaRPr lang="en-US"/>
          </a:p>
        </c:txPr>
        <c:crossAx val="151633280"/>
        <c:crosses val="autoZero"/>
        <c:crossBetween val="midCat"/>
        <c:majorUnit val="1"/>
      </c:valAx>
      <c:valAx>
        <c:axId val="151633280"/>
        <c:scaling>
          <c:orientation val="minMax"/>
          <c:max val="1.03"/>
          <c:min val="0"/>
        </c:scaling>
        <c:delete val="0"/>
        <c:axPos val="l"/>
        <c:majorGridlines>
          <c:spPr>
            <a:ln w="3175">
              <a:solidFill>
                <a:srgbClr val="000000"/>
              </a:solidFill>
              <a:prstDash val="solid"/>
            </a:ln>
          </c:spPr>
        </c:majorGridlines>
        <c:title>
          <c:tx>
            <c:rich>
              <a:bodyPr/>
              <a:lstStyle/>
              <a:p>
                <a:pPr>
                  <a:defRPr sz="1100" b="0" i="0" u="none" strike="noStrike" baseline="0">
                    <a:solidFill>
                      <a:srgbClr val="000000"/>
                    </a:solidFill>
                    <a:latin typeface="Calibri"/>
                    <a:ea typeface="Calibri"/>
                    <a:cs typeface="Calibri"/>
                  </a:defRPr>
                </a:pPr>
                <a:r>
                  <a:rPr lang="pt-BR" sz="1500" b="0" i="0" strike="noStrike">
                    <a:solidFill>
                      <a:srgbClr val="000000"/>
                    </a:solidFill>
                    <a:latin typeface="Symbol"/>
                  </a:rPr>
                  <a:t>a</a:t>
                </a:r>
                <a:r>
                  <a:rPr lang="pt-BR" sz="1500" b="1" i="0" strike="noStrike" baseline="-25000">
                    <a:solidFill>
                      <a:srgbClr val="000000"/>
                    </a:solidFill>
                    <a:latin typeface="Arial"/>
                    <a:cs typeface="Arial"/>
                  </a:rPr>
                  <a:t>i</a:t>
                </a:r>
              </a:p>
            </c:rich>
          </c:tx>
          <c:layout>
            <c:manualLayout>
              <c:xMode val="edge"/>
              <c:yMode val="edge"/>
              <c:x val="7.2568910537559334E-3"/>
              <c:y val="0.42000066785546092"/>
            </c:manualLayout>
          </c:layout>
          <c:overlay val="0"/>
          <c:spPr>
            <a:noFill/>
            <a:ln w="25400">
              <a:noFill/>
            </a:ln>
          </c:spPr>
        </c:title>
        <c:numFmt formatCode="0.00" sourceLinked="0"/>
        <c:majorTickMark val="out"/>
        <c:minorTickMark val="none"/>
        <c:tickLblPos val="nextTo"/>
        <c:spPr>
          <a:ln w="3175">
            <a:solidFill>
              <a:srgbClr val="000000"/>
            </a:solidFill>
            <a:prstDash val="solid"/>
          </a:ln>
        </c:spPr>
        <c:txPr>
          <a:bodyPr rot="0" vert="horz"/>
          <a:lstStyle/>
          <a:p>
            <a:pPr>
              <a:defRPr sz="1175" b="0" i="0" u="none" strike="noStrike" baseline="0">
                <a:solidFill>
                  <a:srgbClr val="000000"/>
                </a:solidFill>
                <a:latin typeface="Arial"/>
                <a:ea typeface="Arial"/>
                <a:cs typeface="Arial"/>
              </a:defRPr>
            </a:pPr>
            <a:endParaRPr lang="en-US"/>
          </a:p>
        </c:txPr>
        <c:crossAx val="151631360"/>
        <c:crosses val="autoZero"/>
        <c:crossBetween val="midCat"/>
      </c:valAx>
      <c:spPr>
        <a:noFill/>
        <a:ln w="12700">
          <a:solidFill>
            <a:schemeClr val="tx1"/>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en-US"/>
    </a:p>
  </c:txPr>
  <c:printSettings>
    <c:headerFooter alignWithMargins="0"/>
    <c:pageMargins b="0.98425196899999956" l="0.78740157499999996" r="0.78740157499999996" t="0.98425196899999956" header="0.49212598500001165" footer="0.49212598500001165"/>
    <c:pageSetup paperSize="9" orientation="landscape"/>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i="0" u="none" strike="noStrike" baseline="0">
                <a:solidFill>
                  <a:srgbClr val="000000"/>
                </a:solidFill>
                <a:latin typeface="Arial"/>
                <a:ea typeface="Arial"/>
                <a:cs typeface="Arial"/>
              </a:defRPr>
            </a:pPr>
            <a:r>
              <a:rPr lang="pt-BR" sz="1200"/>
              <a:t>Average protonation (h</a:t>
            </a:r>
            <a:r>
              <a:rPr lang="pt-BR" sz="1400" baseline="-25000"/>
              <a:t>m</a:t>
            </a:r>
            <a:r>
              <a:rPr lang="pt-BR" sz="1200"/>
              <a:t>) of the base B</a:t>
            </a:r>
          </a:p>
        </c:rich>
      </c:tx>
      <c:layout>
        <c:manualLayout>
          <c:xMode val="edge"/>
          <c:yMode val="edge"/>
          <c:x val="8.3203459071367517E-2"/>
          <c:y val="1.2195096170260418E-2"/>
        </c:manualLayout>
      </c:layout>
      <c:overlay val="0"/>
      <c:spPr>
        <a:noFill/>
        <a:ln w="25400">
          <a:noFill/>
        </a:ln>
      </c:spPr>
    </c:title>
    <c:autoTitleDeleted val="0"/>
    <c:plotArea>
      <c:layout>
        <c:manualLayout>
          <c:layoutTarget val="inner"/>
          <c:xMode val="edge"/>
          <c:yMode val="edge"/>
          <c:x val="8.6614284231314689E-2"/>
          <c:y val="8.0487804878048699E-2"/>
          <c:w val="0.88976491983078021"/>
          <c:h val="0.78048780487804859"/>
        </c:manualLayout>
      </c:layout>
      <c:scatterChart>
        <c:scatterStyle val="smoothMarker"/>
        <c:varyColors val="0"/>
        <c:ser>
          <c:idx val="0"/>
          <c:order val="0"/>
          <c:tx>
            <c:v>n médio</c:v>
          </c:tx>
          <c:spPr>
            <a:ln w="38100">
              <a:solidFill>
                <a:srgbClr val="09007E"/>
              </a:solidFill>
              <a:prstDash val="solid"/>
            </a:ln>
          </c:spPr>
          <c:marker>
            <c:symbol val="none"/>
          </c:marker>
          <c:xVal>
            <c:numRef>
              <c:f>Distribution!$O$12:$O$114</c:f>
              <c:numCache>
                <c:formatCode>0.000</c:formatCode>
                <c:ptCount val="103"/>
                <c:pt idx="0">
                  <c:v>0</c:v>
                </c:pt>
                <c:pt idx="1">
                  <c:v>0.2</c:v>
                </c:pt>
                <c:pt idx="2">
                  <c:v>0.4</c:v>
                </c:pt>
                <c:pt idx="3">
                  <c:v>0.60000000000000009</c:v>
                </c:pt>
                <c:pt idx="4">
                  <c:v>0.8</c:v>
                </c:pt>
                <c:pt idx="5">
                  <c:v>1</c:v>
                </c:pt>
                <c:pt idx="6">
                  <c:v>1.2</c:v>
                </c:pt>
                <c:pt idx="7">
                  <c:v>1.4</c:v>
                </c:pt>
                <c:pt idx="8">
                  <c:v>1.5999999999999999</c:v>
                </c:pt>
                <c:pt idx="9">
                  <c:v>1.7999999999999998</c:v>
                </c:pt>
                <c:pt idx="10">
                  <c:v>1.9999999999999998</c:v>
                </c:pt>
                <c:pt idx="11">
                  <c:v>2.1999999999999997</c:v>
                </c:pt>
                <c:pt idx="12">
                  <c:v>2.4</c:v>
                </c:pt>
                <c:pt idx="13">
                  <c:v>2.6</c:v>
                </c:pt>
                <c:pt idx="14">
                  <c:v>2.8000000000000003</c:v>
                </c:pt>
                <c:pt idx="15">
                  <c:v>3.0000000000000004</c:v>
                </c:pt>
                <c:pt idx="16">
                  <c:v>3.2000000000000006</c:v>
                </c:pt>
                <c:pt idx="17">
                  <c:v>3.4000000000000008</c:v>
                </c:pt>
                <c:pt idx="18">
                  <c:v>3.600000000000001</c:v>
                </c:pt>
                <c:pt idx="19">
                  <c:v>3.8000000000000012</c:v>
                </c:pt>
                <c:pt idx="20">
                  <c:v>4.0000000000000009</c:v>
                </c:pt>
                <c:pt idx="21">
                  <c:v>4.2000000000000011</c:v>
                </c:pt>
                <c:pt idx="22">
                  <c:v>4.4000000000000012</c:v>
                </c:pt>
                <c:pt idx="23">
                  <c:v>4.6000000000000014</c:v>
                </c:pt>
                <c:pt idx="24">
                  <c:v>4.8000000000000016</c:v>
                </c:pt>
                <c:pt idx="25">
                  <c:v>5.0000000000000018</c:v>
                </c:pt>
                <c:pt idx="26">
                  <c:v>5.200000000000002</c:v>
                </c:pt>
                <c:pt idx="27">
                  <c:v>5.4000000000000021</c:v>
                </c:pt>
                <c:pt idx="28">
                  <c:v>5.6000000000000023</c:v>
                </c:pt>
                <c:pt idx="29">
                  <c:v>5.8000000000000025</c:v>
                </c:pt>
                <c:pt idx="30">
                  <c:v>6.0000000000000027</c:v>
                </c:pt>
                <c:pt idx="31">
                  <c:v>6.2000000000000028</c:v>
                </c:pt>
                <c:pt idx="32">
                  <c:v>6.400000000000003</c:v>
                </c:pt>
                <c:pt idx="33">
                  <c:v>6.6000000000000032</c:v>
                </c:pt>
                <c:pt idx="34">
                  <c:v>6.8000000000000034</c:v>
                </c:pt>
                <c:pt idx="35">
                  <c:v>7.0000000000000036</c:v>
                </c:pt>
                <c:pt idx="36">
                  <c:v>7.2000000000000037</c:v>
                </c:pt>
                <c:pt idx="37">
                  <c:v>7.4000000000000039</c:v>
                </c:pt>
                <c:pt idx="38">
                  <c:v>7.6000000000000041</c:v>
                </c:pt>
                <c:pt idx="39">
                  <c:v>7.8000000000000043</c:v>
                </c:pt>
                <c:pt idx="40">
                  <c:v>8.0000000000000036</c:v>
                </c:pt>
                <c:pt idx="41">
                  <c:v>8.2000000000000028</c:v>
                </c:pt>
                <c:pt idx="42">
                  <c:v>8.4000000000000021</c:v>
                </c:pt>
                <c:pt idx="43">
                  <c:v>8.6000000000000014</c:v>
                </c:pt>
                <c:pt idx="44">
                  <c:v>8.8000000000000007</c:v>
                </c:pt>
                <c:pt idx="45">
                  <c:v>9</c:v>
                </c:pt>
                <c:pt idx="46">
                  <c:v>9.1999999999999993</c:v>
                </c:pt>
                <c:pt idx="47">
                  <c:v>9.3999999999999986</c:v>
                </c:pt>
                <c:pt idx="48">
                  <c:v>9.5999999999999979</c:v>
                </c:pt>
                <c:pt idx="49">
                  <c:v>9.7999999999999972</c:v>
                </c:pt>
                <c:pt idx="50">
                  <c:v>9.9999999999999964</c:v>
                </c:pt>
                <c:pt idx="51">
                  <c:v>10.199999999999996</c:v>
                </c:pt>
                <c:pt idx="52">
                  <c:v>10.399999999999995</c:v>
                </c:pt>
                <c:pt idx="53">
                  <c:v>10.599999999999994</c:v>
                </c:pt>
                <c:pt idx="54">
                  <c:v>10.799999999999994</c:v>
                </c:pt>
                <c:pt idx="55">
                  <c:v>10.999999999999993</c:v>
                </c:pt>
                <c:pt idx="56">
                  <c:v>11.199999999999992</c:v>
                </c:pt>
                <c:pt idx="57">
                  <c:v>11.399999999999991</c:v>
                </c:pt>
                <c:pt idx="58">
                  <c:v>11.599999999999991</c:v>
                </c:pt>
                <c:pt idx="59">
                  <c:v>11.79999999999999</c:v>
                </c:pt>
                <c:pt idx="60">
                  <c:v>11.999999999999989</c:v>
                </c:pt>
                <c:pt idx="61">
                  <c:v>12.199999999999989</c:v>
                </c:pt>
                <c:pt idx="62">
                  <c:v>12.399999999999988</c:v>
                </c:pt>
                <c:pt idx="63">
                  <c:v>12.599999999999987</c:v>
                </c:pt>
                <c:pt idx="64">
                  <c:v>12.799999999999986</c:v>
                </c:pt>
                <c:pt idx="65">
                  <c:v>12.999999999999986</c:v>
                </c:pt>
                <c:pt idx="66">
                  <c:v>13.199999999999985</c:v>
                </c:pt>
                <c:pt idx="67">
                  <c:v>13.399999999999984</c:v>
                </c:pt>
                <c:pt idx="68">
                  <c:v>13.599999999999984</c:v>
                </c:pt>
                <c:pt idx="69">
                  <c:v>13.799999999999983</c:v>
                </c:pt>
                <c:pt idx="70">
                  <c:v>13.999999999999982</c:v>
                </c:pt>
              </c:numCache>
            </c:numRef>
          </c:xVal>
          <c:yVal>
            <c:numRef>
              <c:f>Distribution!$P$12:$P$114</c:f>
              <c:numCache>
                <c:formatCode>0.000</c:formatCode>
                <c:ptCount val="103"/>
                <c:pt idx="0">
                  <c:v>2.9909825254290823</c:v>
                </c:pt>
                <c:pt idx="1">
                  <c:v>2.985783246577463</c:v>
                </c:pt>
                <c:pt idx="2">
                  <c:v>2.9776537739493611</c:v>
                </c:pt>
                <c:pt idx="3">
                  <c:v>2.9650405304631682</c:v>
                </c:pt>
                <c:pt idx="4">
                  <c:v>2.9457031781759282</c:v>
                </c:pt>
                <c:pt idx="5">
                  <c:v>2.9165940469207148</c:v>
                </c:pt>
                <c:pt idx="6">
                  <c:v>2.8739590030275246</c:v>
                </c:pt>
                <c:pt idx="7">
                  <c:v>2.8139534563738851</c:v>
                </c:pt>
                <c:pt idx="8">
                  <c:v>2.7340725323978314</c:v>
                </c:pt>
                <c:pt idx="9">
                  <c:v>2.6352619881655723</c:v>
                </c:pt>
                <c:pt idx="10">
                  <c:v>2.5235635632819284</c:v>
                </c:pt>
                <c:pt idx="11">
                  <c:v>2.4094531194103186</c:v>
                </c:pt>
                <c:pt idx="12">
                  <c:v>2.3043191633466358</c:v>
                </c:pt>
                <c:pt idx="13">
                  <c:v>2.2162788253141601</c:v>
                </c:pt>
                <c:pt idx="14">
                  <c:v>2.1482551205737859</c:v>
                </c:pt>
                <c:pt idx="15">
                  <c:v>2.0988834015730835</c:v>
                </c:pt>
                <c:pt idx="16">
                  <c:v>2.0646343675537921</c:v>
                </c:pt>
                <c:pt idx="17">
                  <c:v>2.0415844445338887</c:v>
                </c:pt>
                <c:pt idx="18">
                  <c:v>2.0263363920200486</c:v>
                </c:pt>
                <c:pt idx="19">
                  <c:v>2.0162843636216508</c:v>
                </c:pt>
                <c:pt idx="20">
                  <c:v>2.0095474997643561</c:v>
                </c:pt>
                <c:pt idx="21">
                  <c:v>2.0047914627721255</c:v>
                </c:pt>
                <c:pt idx="22">
                  <c:v>2.0010399932665792</c:v>
                </c:pt>
                <c:pt idx="23">
                  <c:v>1.9975074971294191</c:v>
                </c:pt>
                <c:pt idx="24">
                  <c:v>1.9934507534080974</c:v>
                </c:pt>
                <c:pt idx="25">
                  <c:v>1.9880255797749966</c:v>
                </c:pt>
                <c:pt idx="26">
                  <c:v>1.9801321044788629</c:v>
                </c:pt>
                <c:pt idx="27">
                  <c:v>1.9682378312133983</c:v>
                </c:pt>
                <c:pt idx="28">
                  <c:v>1.9501865503709845</c:v>
                </c:pt>
                <c:pt idx="29">
                  <c:v>1.9230472862588528</c:v>
                </c:pt>
                <c:pt idx="30">
                  <c:v>1.8831481730973172</c:v>
                </c:pt>
                <c:pt idx="31">
                  <c:v>1.8265665381519172</c:v>
                </c:pt>
                <c:pt idx="32">
                  <c:v>1.7503941897957942</c:v>
                </c:pt>
                <c:pt idx="33">
                  <c:v>1.6547717349262392</c:v>
                </c:pt>
                <c:pt idx="34">
                  <c:v>1.5447548836662093</c:v>
                </c:pt>
                <c:pt idx="35">
                  <c:v>1.4301924557861194</c:v>
                </c:pt>
                <c:pt idx="36">
                  <c:v>1.3226446007740214</c:v>
                </c:pt>
                <c:pt idx="37">
                  <c:v>1.2310708889305968</c:v>
                </c:pt>
                <c:pt idx="38">
                  <c:v>1.1593551641220443</c:v>
                </c:pt>
                <c:pt idx="39">
                  <c:v>1.106775371172936</c:v>
                </c:pt>
                <c:pt idx="40">
                  <c:v>1.0700471801528715</c:v>
                </c:pt>
                <c:pt idx="41">
                  <c:v>1.0452287239954827</c:v>
                </c:pt>
                <c:pt idx="42">
                  <c:v>1.0287956243558241</c:v>
                </c:pt>
                <c:pt idx="43">
                  <c:v>1.0180025491195841</c:v>
                </c:pt>
                <c:pt idx="44">
                  <c:v>1.0108591621796201</c:v>
                </c:pt>
                <c:pt idx="45">
                  <c:v>1.0059643590050169</c:v>
                </c:pt>
                <c:pt idx="46">
                  <c:v>1.0023198737902235</c:v>
                </c:pt>
                <c:pt idx="47">
                  <c:v>0.99916465906032204</c:v>
                </c:pt>
                <c:pt idx="48">
                  <c:v>0.99583307695187606</c:v>
                </c:pt>
                <c:pt idx="49">
                  <c:v>0.99162492993690565</c:v>
                </c:pt>
                <c:pt idx="50">
                  <c:v>0.98567105712219227</c:v>
                </c:pt>
                <c:pt idx="51">
                  <c:v>0.97677966190913523</c:v>
                </c:pt>
                <c:pt idx="52">
                  <c:v>0.96325749519364512</c:v>
                </c:pt>
                <c:pt idx="53">
                  <c:v>0.94272546418019187</c:v>
                </c:pt>
                <c:pt idx="54">
                  <c:v>0.91200662160559731</c:v>
                </c:pt>
                <c:pt idx="55">
                  <c:v>0.86727011480118732</c:v>
                </c:pt>
                <c:pt idx="56">
                  <c:v>0.80473647084949662</c:v>
                </c:pt>
                <c:pt idx="57">
                  <c:v>0.72221881395640797</c:v>
                </c:pt>
                <c:pt idx="58">
                  <c:v>0.62126200054383174</c:v>
                </c:pt>
                <c:pt idx="59">
                  <c:v>0.50858877596904672</c:v>
                </c:pt>
                <c:pt idx="60">
                  <c:v>0.39504011808192208</c:v>
                </c:pt>
                <c:pt idx="61">
                  <c:v>0.29179122245083511</c:v>
                </c:pt>
                <c:pt idx="62">
                  <c:v>0.20632489639774698</c:v>
                </c:pt>
                <c:pt idx="63">
                  <c:v>0.14091127091902761</c:v>
                </c:pt>
                <c:pt idx="64">
                  <c:v>9.3785956013772473E-2</c:v>
                </c:pt>
                <c:pt idx="65">
                  <c:v>6.1296415927851206E-2</c:v>
                </c:pt>
                <c:pt idx="66">
                  <c:v>3.9570526588397291E-2</c:v>
                </c:pt>
                <c:pt idx="67">
                  <c:v>2.5337311671560211E-2</c:v>
                </c:pt>
                <c:pt idx="68">
                  <c:v>1.6137655257964671E-2</c:v>
                </c:pt>
                <c:pt idx="69">
                  <c:v>1.0243173726719646E-2</c:v>
                </c:pt>
                <c:pt idx="70">
                  <c:v>6.4875290717873058E-3</c:v>
                </c:pt>
              </c:numCache>
            </c:numRef>
          </c:yVal>
          <c:smooth val="1"/>
          <c:extLst>
            <c:ext xmlns:c16="http://schemas.microsoft.com/office/drawing/2014/chart" uri="{C3380CC4-5D6E-409C-BE32-E72D297353CC}">
              <c16:uniqueId val="{00000000-8F13-4CE6-B524-62E74BB77CB0}"/>
            </c:ext>
          </c:extLst>
        </c:ser>
        <c:dLbls>
          <c:showLegendKey val="0"/>
          <c:showVal val="0"/>
          <c:showCatName val="0"/>
          <c:showSerName val="0"/>
          <c:showPercent val="0"/>
          <c:showBubbleSize val="0"/>
        </c:dLbls>
        <c:axId val="151700224"/>
        <c:axId val="151702144"/>
      </c:scatterChart>
      <c:valAx>
        <c:axId val="151700224"/>
        <c:scaling>
          <c:orientation val="minMax"/>
          <c:max val="14"/>
          <c:min val="0"/>
        </c:scaling>
        <c:delete val="0"/>
        <c:axPos val="b"/>
        <c:majorGridlines/>
        <c:title>
          <c:tx>
            <c:rich>
              <a:bodyPr/>
              <a:lstStyle/>
              <a:p>
                <a:pPr>
                  <a:defRPr sz="1200" b="1" i="0" u="none" strike="noStrike" baseline="0">
                    <a:solidFill>
                      <a:srgbClr val="000000"/>
                    </a:solidFill>
                    <a:latin typeface="Arial"/>
                    <a:ea typeface="Arial"/>
                    <a:cs typeface="Arial"/>
                  </a:defRPr>
                </a:pPr>
                <a:r>
                  <a:rPr lang="pt-BR"/>
                  <a:t>pH</a:t>
                </a:r>
              </a:p>
            </c:rich>
          </c:tx>
          <c:layout>
            <c:manualLayout>
              <c:xMode val="edge"/>
              <c:yMode val="edge"/>
              <c:x val="0.48757991525569927"/>
              <c:y val="0.92938454644389934"/>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51702144"/>
        <c:crosses val="autoZero"/>
        <c:crossBetween val="midCat"/>
        <c:majorUnit val="1"/>
        <c:minorUnit val="1"/>
      </c:valAx>
      <c:valAx>
        <c:axId val="151702144"/>
        <c:scaling>
          <c:orientation val="minMax"/>
        </c:scaling>
        <c:delete val="0"/>
        <c:axPos val="l"/>
        <c:majorGridlines>
          <c:spPr>
            <a:ln w="3175">
              <a:solidFill>
                <a:srgbClr val="000000"/>
              </a:solidFill>
              <a:prstDash val="solid"/>
            </a:ln>
          </c:spPr>
        </c:majorGridlines>
        <c:title>
          <c:tx>
            <c:rich>
              <a:bodyPr/>
              <a:lstStyle/>
              <a:p>
                <a:pPr>
                  <a:defRPr sz="1075" b="1" i="0" u="none" strike="noStrike" baseline="0">
                    <a:solidFill>
                      <a:srgbClr val="000000"/>
                    </a:solidFill>
                    <a:latin typeface="Arial"/>
                    <a:ea typeface="Arial"/>
                    <a:cs typeface="Arial"/>
                  </a:defRPr>
                </a:pPr>
                <a:r>
                  <a:rPr lang="pt-BR"/>
                  <a:t>average protonation</a:t>
                </a:r>
              </a:p>
            </c:rich>
          </c:tx>
          <c:layout>
            <c:manualLayout>
              <c:xMode val="edge"/>
              <c:yMode val="edge"/>
              <c:x val="7.2358602233545807E-3"/>
              <c:y val="0.37652851930095393"/>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51700224"/>
        <c:crosses val="autoZero"/>
        <c:crossBetween val="midCat"/>
      </c:valAx>
      <c:spPr>
        <a:noFill/>
        <a:ln w="12700">
          <a:solidFill>
            <a:schemeClr val="tx1"/>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0.98425196899999956" l="0.78740157499999996" r="0.78740157499999996" t="0.98425196899999956" header="0.49212598500001165" footer="0.49212598500001165"/>
    <c:pageSetup paperSize="9" orientation="landscape"/>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i="0" u="none" strike="noStrike" baseline="0">
                <a:solidFill>
                  <a:srgbClr val="000000"/>
                </a:solidFill>
                <a:latin typeface="Arial"/>
                <a:ea typeface="Arial"/>
                <a:cs typeface="Arial"/>
              </a:defRPr>
            </a:pPr>
            <a:r>
              <a:rPr lang="pt-BR" sz="1200"/>
              <a:t>Distribution of HiB species along a titration</a:t>
            </a:r>
          </a:p>
        </c:rich>
      </c:tx>
      <c:layout>
        <c:manualLayout>
          <c:xMode val="edge"/>
          <c:yMode val="edge"/>
          <c:x val="0.10082050977955882"/>
          <c:y val="1.2722650506383043E-2"/>
        </c:manualLayout>
      </c:layout>
      <c:overlay val="0"/>
      <c:spPr>
        <a:noFill/>
        <a:ln w="25400">
          <a:noFill/>
        </a:ln>
      </c:spPr>
    </c:title>
    <c:autoTitleDeleted val="0"/>
    <c:plotArea>
      <c:layout>
        <c:manualLayout>
          <c:layoutTarget val="inner"/>
          <c:xMode val="edge"/>
          <c:yMode val="edge"/>
          <c:x val="0.1040312754181065"/>
          <c:y val="9.2891767572868753E-2"/>
          <c:w val="0.82814387424583857"/>
          <c:h val="0.75698308342056364"/>
        </c:manualLayout>
      </c:layout>
      <c:scatterChart>
        <c:scatterStyle val="smoothMarker"/>
        <c:varyColors val="0"/>
        <c:ser>
          <c:idx val="1"/>
          <c:order val="0"/>
          <c:tx>
            <c:v>alfa 0</c:v>
          </c:tx>
          <c:spPr>
            <a:ln w="25400">
              <a:solidFill>
                <a:srgbClr val="FF0000"/>
              </a:solidFill>
              <a:prstDash val="solid"/>
            </a:ln>
          </c:spPr>
          <c:marker>
            <c:symbol val="square"/>
            <c:size val="3"/>
            <c:spPr>
              <a:noFill/>
              <a:ln>
                <a:solidFill>
                  <a:srgbClr val="000000"/>
                </a:solidFill>
                <a:prstDash val="solid"/>
              </a:ln>
            </c:spPr>
          </c:marker>
          <c:xVal>
            <c:numRef>
              <c:f>Distribution!$Y$12:$Y$114</c:f>
              <c:numCache>
                <c:formatCode>0.000</c:formatCode>
                <c:ptCount val="103"/>
                <c:pt idx="0">
                  <c:v>0</c:v>
                </c:pt>
                <c:pt idx="1">
                  <c:v>2.3004448812571354</c:v>
                </c:pt>
                <c:pt idx="2">
                  <c:v>4.3254298929241486</c:v>
                </c:pt>
                <c:pt idx="3">
                  <c:v>5.9982889695675112</c:v>
                </c:pt>
                <c:pt idx="4">
                  <c:v>7.2857926934375428</c:v>
                </c:pt>
                <c:pt idx="5">
                  <c:v>8.2150732792797498</c:v>
                </c:pt>
                <c:pt idx="6">
                  <c:v>8.852646873856429</c:v>
                </c:pt>
                <c:pt idx="7">
                  <c:v>9.2745251997257583</c:v>
                </c:pt>
                <c:pt idx="8">
                  <c:v>9.5472193221212365</c:v>
                </c:pt>
                <c:pt idx="9">
                  <c:v>9.7213898246991448</c:v>
                </c:pt>
                <c:pt idx="10">
                  <c:v>9.8327682426315732</c:v>
                </c:pt>
                <c:pt idx="11">
                  <c:v>9.9056407503667288</c:v>
                </c:pt>
                <c:pt idx="12">
                  <c:v>9.956512633652892</c:v>
                </c:pt>
                <c:pt idx="13">
                  <c:v>9.9971799951163121</c:v>
                </c:pt>
                <c:pt idx="14">
                  <c:v>10.037190483126324</c:v>
                </c:pt>
                <c:pt idx="15">
                  <c:v>10.085949620406609</c:v>
                </c:pt>
                <c:pt idx="16">
                  <c:v>10.154803957266267</c:v>
                </c:pt>
                <c:pt idx="17">
                  <c:v>10.259427917480934</c:v>
                </c:pt>
                <c:pt idx="18">
                  <c:v>10.422738817578647</c:v>
                </c:pt>
                <c:pt idx="19">
                  <c:v>10.678157336951699</c:v>
                </c:pt>
                <c:pt idx="20">
                  <c:v>11.071775054733735</c:v>
                </c:pt>
                <c:pt idx="21">
                  <c:v>11.659035268530715</c:v>
                </c:pt>
                <c:pt idx="22">
                  <c:v>12.487507292826194</c:v>
                </c:pt>
                <c:pt idx="23">
                  <c:v>13.560292513284367</c:v>
                </c:pt>
                <c:pt idx="24">
                  <c:v>14.799194350780454</c:v>
                </c:pt>
                <c:pt idx="25">
                  <c:v>16.054576211899985</c:v>
                </c:pt>
                <c:pt idx="26">
                  <c:v>17.173922529036645</c:v>
                </c:pt>
                <c:pt idx="27">
                  <c:v>18.068469061108772</c:v>
                </c:pt>
                <c:pt idx="28">
                  <c:v>18.725484058086295</c:v>
                </c:pt>
                <c:pt idx="29">
                  <c:v>19.179874857945833</c:v>
                </c:pt>
                <c:pt idx="30">
                  <c:v>19.48181740444852</c:v>
                </c:pt>
                <c:pt idx="31">
                  <c:v>19.677734184369911</c:v>
                </c:pt>
                <c:pt idx="32">
                  <c:v>19.803712518478278</c:v>
                </c:pt>
                <c:pt idx="33">
                  <c:v>19.885540132236201</c:v>
                </c:pt>
                <c:pt idx="34">
                  <c:v>19.941073826339561</c:v>
                </c:pt>
                <c:pt idx="35">
                  <c:v>19.982924718351569</c:v>
                </c:pt>
                <c:pt idx="36">
                  <c:v>20.020832466252614</c:v>
                </c:pt>
                <c:pt idx="37">
                  <c:v>20.063731157279108</c:v>
                </c:pt>
                <c:pt idx="38">
                  <c:v>20.121755062427837</c:v>
                </c:pt>
                <c:pt idx="39">
                  <c:v>20.208536063728388</c:v>
                </c:pt>
                <c:pt idx="40">
                  <c:v>20.344214436772745</c:v>
                </c:pt>
                <c:pt idx="41">
                  <c:v>20.55962798622204</c:v>
                </c:pt>
                <c:pt idx="42">
                  <c:v>20.902049214055296</c:v>
                </c:pt>
                <c:pt idx="43">
                  <c:v>21.442285725788679</c:v>
                </c:pt>
                <c:pt idx="44">
                  <c:v>22.281442677194718</c:v>
                </c:pt>
                <c:pt idx="45">
                  <c:v>23.553723619261291</c:v>
                </c:pt>
                <c:pt idx="46">
                  <c:v>25.425947584153619</c:v>
                </c:pt>
                <c:pt idx="47">
                  <c:v>28.122492051625159</c:v>
                </c:pt>
                <c:pt idx="48">
                  <c:v>32.065280988172162</c:v>
                </c:pt>
                <c:pt idx="49">
                  <c:v>38.31748273660196</c:v>
                </c:pt>
                <c:pt idx="50">
                  <c:v>49.999999998544808</c:v>
                </c:pt>
              </c:numCache>
            </c:numRef>
          </c:xVal>
          <c:yVal>
            <c:numRef>
              <c:f>Distribution!$AB$12:$AB$114</c:f>
              <c:numCache>
                <c:formatCode>0.000</c:formatCode>
                <c:ptCount val="103"/>
                <c:pt idx="0">
                  <c:v>3.2668417879467625E-16</c:v>
                </c:pt>
                <c:pt idx="1">
                  <c:v>1.1633851356765297E-15</c:v>
                </c:pt>
                <c:pt idx="2">
                  <c:v>3.881228876256072E-15</c:v>
                </c:pt>
                <c:pt idx="3">
                  <c:v>1.2170238265135317E-14</c:v>
                </c:pt>
                <c:pt idx="4">
                  <c:v>3.6219904085004806E-14</c:v>
                </c:pt>
                <c:pt idx="5">
                  <c:v>1.0356736030263798E-13</c:v>
                </c:pt>
                <c:pt idx="6">
                  <c:v>2.878113919539166E-13</c:v>
                </c:pt>
                <c:pt idx="7">
                  <c:v>7.8448918912047788E-13</c:v>
                </c:pt>
                <c:pt idx="8">
                  <c:v>2.1112847262447337E-12</c:v>
                </c:pt>
                <c:pt idx="9">
                  <c:v>5.6357236557403817E-12</c:v>
                </c:pt>
                <c:pt idx="10">
                  <c:v>1.4964778899630456E-11</c:v>
                </c:pt>
                <c:pt idx="11">
                  <c:v>3.9600702191576803E-11</c:v>
                </c:pt>
                <c:pt idx="12">
                  <c:v>1.0454699217274665E-10</c:v>
                </c:pt>
                <c:pt idx="13">
                  <c:v>2.7550259559188558E-10</c:v>
                </c:pt>
                <c:pt idx="14">
                  <c:v>7.2475168089862849E-10</c:v>
                </c:pt>
                <c:pt idx="15">
                  <c:v>1.9026972515378305E-9</c:v>
                </c:pt>
                <c:pt idx="16">
                  <c:v>4.9811366491674657E-9</c:v>
                </c:pt>
                <c:pt idx="17">
                  <c:v>1.2985144523064406E-8</c:v>
                </c:pt>
                <c:pt idx="18">
                  <c:v>3.3627709429357631E-8</c:v>
                </c:pt>
                <c:pt idx="19">
                  <c:v>8.6188665796704877E-8</c:v>
                </c:pt>
                <c:pt idx="20">
                  <c:v>2.1738056093123842E-7</c:v>
                </c:pt>
                <c:pt idx="21">
                  <c:v>5.3509044692837525E-7</c:v>
                </c:pt>
                <c:pt idx="22">
                  <c:v>1.2716666552514027E-6</c:v>
                </c:pt>
                <c:pt idx="23">
                  <c:v>2.8829748737135363E-6</c:v>
                </c:pt>
                <c:pt idx="24">
                  <c:v>6.1734437939392155E-6</c:v>
                </c:pt>
                <c:pt idx="25">
                  <c:v>1.2437709095454271E-5</c:v>
                </c:pt>
                <c:pt idx="26">
                  <c:v>2.3663593383911099E-5</c:v>
                </c:pt>
                <c:pt idx="27">
                  <c:v>4.2914539616965067E-5</c:v>
                </c:pt>
                <c:pt idx="28">
                  <c:v>7.5034898705262702E-5</c:v>
                </c:pt>
                <c:pt idx="29">
                  <c:v>1.278343226303804E-4</c:v>
                </c:pt>
                <c:pt idx="30">
                  <c:v>2.1399388681592814E-4</c:v>
                </c:pt>
                <c:pt idx="31">
                  <c:v>3.5412219194928655E-4</c:v>
                </c:pt>
                <c:pt idx="32">
                  <c:v>5.8167901716658086E-4</c:v>
                </c:pt>
                <c:pt idx="33">
                  <c:v>9.5092422590682246E-4</c:v>
                </c:pt>
                <c:pt idx="34">
                  <c:v>1.549734890864829E-3</c:v>
                </c:pt>
                <c:pt idx="35">
                  <c:v>2.5201950738495313E-3</c:v>
                </c:pt>
                <c:pt idx="36">
                  <c:v>4.0914563177732325E-3</c:v>
                </c:pt>
                <c:pt idx="37">
                  <c:v>6.6316159806792232E-3</c:v>
                </c:pt>
                <c:pt idx="38">
                  <c:v>1.0728147538950033E-2</c:v>
                </c:pt>
                <c:pt idx="39">
                  <c:v>1.730878520362935E-2</c:v>
                </c:pt>
                <c:pt idx="40">
                  <c:v>2.7813424980569434E-2</c:v>
                </c:pt>
                <c:pt idx="41">
                  <c:v>4.4413738611536378E-2</c:v>
                </c:pt>
                <c:pt idx="42">
                  <c:v>7.0231364877945623E-2</c:v>
                </c:pt>
                <c:pt idx="43">
                  <c:v>0.10939594870769613</c:v>
                </c:pt>
                <c:pt idx="44">
                  <c:v>0.16659389571259955</c:v>
                </c:pt>
                <c:pt idx="45">
                  <c:v>0.2456021863941559</c:v>
                </c:pt>
                <c:pt idx="46">
                  <c:v>0.34663089010190618</c:v>
                </c:pt>
                <c:pt idx="47">
                  <c:v>0.46368690915931121</c:v>
                </c:pt>
                <c:pt idx="48">
                  <c:v>0.58474121216887731</c:v>
                </c:pt>
                <c:pt idx="49">
                  <c:v>0.69612910036199671</c:v>
                </c:pt>
                <c:pt idx="50">
                  <c:v>0.78821006458072074</c:v>
                </c:pt>
              </c:numCache>
            </c:numRef>
          </c:yVal>
          <c:smooth val="1"/>
          <c:extLst>
            <c:ext xmlns:c16="http://schemas.microsoft.com/office/drawing/2014/chart" uri="{C3380CC4-5D6E-409C-BE32-E72D297353CC}">
              <c16:uniqueId val="{00000000-2494-4DCA-95CB-5E87A7207D8A}"/>
            </c:ext>
          </c:extLst>
        </c:ser>
        <c:ser>
          <c:idx val="0"/>
          <c:order val="1"/>
          <c:tx>
            <c:v>alfa 1</c:v>
          </c:tx>
          <c:spPr>
            <a:ln w="25400">
              <a:solidFill>
                <a:srgbClr val="000000"/>
              </a:solidFill>
              <a:prstDash val="solid"/>
            </a:ln>
          </c:spPr>
          <c:marker>
            <c:symbol val="square"/>
            <c:size val="3"/>
            <c:spPr>
              <a:noFill/>
              <a:ln>
                <a:solidFill>
                  <a:srgbClr val="000000"/>
                </a:solidFill>
                <a:prstDash val="solid"/>
              </a:ln>
            </c:spPr>
          </c:marker>
          <c:xVal>
            <c:numRef>
              <c:f>Distribution!$Y$12:$Y$114</c:f>
              <c:numCache>
                <c:formatCode>0.000</c:formatCode>
                <c:ptCount val="103"/>
                <c:pt idx="0">
                  <c:v>0</c:v>
                </c:pt>
                <c:pt idx="1">
                  <c:v>2.3004448812571354</c:v>
                </c:pt>
                <c:pt idx="2">
                  <c:v>4.3254298929241486</c:v>
                </c:pt>
                <c:pt idx="3">
                  <c:v>5.9982889695675112</c:v>
                </c:pt>
                <c:pt idx="4">
                  <c:v>7.2857926934375428</c:v>
                </c:pt>
                <c:pt idx="5">
                  <c:v>8.2150732792797498</c:v>
                </c:pt>
                <c:pt idx="6">
                  <c:v>8.852646873856429</c:v>
                </c:pt>
                <c:pt idx="7">
                  <c:v>9.2745251997257583</c:v>
                </c:pt>
                <c:pt idx="8">
                  <c:v>9.5472193221212365</c:v>
                </c:pt>
                <c:pt idx="9">
                  <c:v>9.7213898246991448</c:v>
                </c:pt>
                <c:pt idx="10">
                  <c:v>9.8327682426315732</c:v>
                </c:pt>
                <c:pt idx="11">
                  <c:v>9.9056407503667288</c:v>
                </c:pt>
                <c:pt idx="12">
                  <c:v>9.956512633652892</c:v>
                </c:pt>
                <c:pt idx="13">
                  <c:v>9.9971799951163121</c:v>
                </c:pt>
                <c:pt idx="14">
                  <c:v>10.037190483126324</c:v>
                </c:pt>
                <c:pt idx="15">
                  <c:v>10.085949620406609</c:v>
                </c:pt>
                <c:pt idx="16">
                  <c:v>10.154803957266267</c:v>
                </c:pt>
                <c:pt idx="17">
                  <c:v>10.259427917480934</c:v>
                </c:pt>
                <c:pt idx="18">
                  <c:v>10.422738817578647</c:v>
                </c:pt>
                <c:pt idx="19">
                  <c:v>10.678157336951699</c:v>
                </c:pt>
                <c:pt idx="20">
                  <c:v>11.071775054733735</c:v>
                </c:pt>
                <c:pt idx="21">
                  <c:v>11.659035268530715</c:v>
                </c:pt>
                <c:pt idx="22">
                  <c:v>12.487507292826194</c:v>
                </c:pt>
                <c:pt idx="23">
                  <c:v>13.560292513284367</c:v>
                </c:pt>
                <c:pt idx="24">
                  <c:v>14.799194350780454</c:v>
                </c:pt>
                <c:pt idx="25">
                  <c:v>16.054576211899985</c:v>
                </c:pt>
                <c:pt idx="26">
                  <c:v>17.173922529036645</c:v>
                </c:pt>
                <c:pt idx="27">
                  <c:v>18.068469061108772</c:v>
                </c:pt>
                <c:pt idx="28">
                  <c:v>18.725484058086295</c:v>
                </c:pt>
                <c:pt idx="29">
                  <c:v>19.179874857945833</c:v>
                </c:pt>
                <c:pt idx="30">
                  <c:v>19.48181740444852</c:v>
                </c:pt>
                <c:pt idx="31">
                  <c:v>19.677734184369911</c:v>
                </c:pt>
                <c:pt idx="32">
                  <c:v>19.803712518478278</c:v>
                </c:pt>
                <c:pt idx="33">
                  <c:v>19.885540132236201</c:v>
                </c:pt>
                <c:pt idx="34">
                  <c:v>19.941073826339561</c:v>
                </c:pt>
                <c:pt idx="35">
                  <c:v>19.982924718351569</c:v>
                </c:pt>
                <c:pt idx="36">
                  <c:v>20.020832466252614</c:v>
                </c:pt>
                <c:pt idx="37">
                  <c:v>20.063731157279108</c:v>
                </c:pt>
                <c:pt idx="38">
                  <c:v>20.121755062427837</c:v>
                </c:pt>
                <c:pt idx="39">
                  <c:v>20.208536063728388</c:v>
                </c:pt>
                <c:pt idx="40">
                  <c:v>20.344214436772745</c:v>
                </c:pt>
                <c:pt idx="41">
                  <c:v>20.55962798622204</c:v>
                </c:pt>
                <c:pt idx="42">
                  <c:v>20.902049214055296</c:v>
                </c:pt>
                <c:pt idx="43">
                  <c:v>21.442285725788679</c:v>
                </c:pt>
                <c:pt idx="44">
                  <c:v>22.281442677194718</c:v>
                </c:pt>
                <c:pt idx="45">
                  <c:v>23.553723619261291</c:v>
                </c:pt>
                <c:pt idx="46">
                  <c:v>25.425947584153619</c:v>
                </c:pt>
                <c:pt idx="47">
                  <c:v>28.122492051625159</c:v>
                </c:pt>
                <c:pt idx="48">
                  <c:v>32.065280988172162</c:v>
                </c:pt>
                <c:pt idx="49">
                  <c:v>38.31748273660196</c:v>
                </c:pt>
                <c:pt idx="50">
                  <c:v>49.999999998544808</c:v>
                </c:pt>
              </c:numCache>
            </c:numRef>
          </c:xVal>
          <c:yVal>
            <c:numRef>
              <c:f>Distribution!$AC$12:$AC$114</c:f>
              <c:numCache>
                <c:formatCode>0.000</c:formatCode>
                <c:ptCount val="103"/>
                <c:pt idx="0">
                  <c:v>3.2503247173949048E-6</c:v>
                </c:pt>
                <c:pt idx="1">
                  <c:v>7.0563740093412916E-6</c:v>
                </c:pt>
                <c:pt idx="2">
                  <c:v>1.437922775878907E-5</c:v>
                </c:pt>
                <c:pt idx="3">
                  <c:v>2.760077441796993E-5</c:v>
                </c:pt>
                <c:pt idx="4">
                  <c:v>5.0381271896018047E-5</c:v>
                </c:pt>
                <c:pt idx="5">
                  <c:v>8.8490950361823202E-5</c:v>
                </c:pt>
                <c:pt idx="6">
                  <c:v>1.5121792211044108E-4</c:v>
                </c:pt>
                <c:pt idx="7">
                  <c:v>2.5363793680209762E-4</c:v>
                </c:pt>
                <c:pt idx="8">
                  <c:v>4.2025046708891496E-4</c:v>
                </c:pt>
                <c:pt idx="9">
                  <c:v>6.9083100428200199E-4</c:v>
                </c:pt>
                <c:pt idx="10">
                  <c:v>1.1298713639788921E-3</c:v>
                </c:pt>
                <c:pt idx="11">
                  <c:v>1.8417864080074522E-3</c:v>
                </c:pt>
                <c:pt idx="12">
                  <c:v>2.995304955406816E-3</c:v>
                </c:pt>
                <c:pt idx="13">
                  <c:v>4.8622983125186214E-3</c:v>
                </c:pt>
                <c:pt idx="14">
                  <c:v>7.8788211123773152E-3</c:v>
                </c:pt>
                <c:pt idx="15">
                  <c:v>1.2739062430535441E-2</c:v>
                </c:pt>
                <c:pt idx="16">
                  <c:v>2.0534745496303703E-2</c:v>
                </c:pt>
                <c:pt idx="17">
                  <c:v>3.2948576097043866E-2</c:v>
                </c:pt>
                <c:pt idx="18">
                  <c:v>5.2488602221647786E-2</c:v>
                </c:pt>
                <c:pt idx="19">
                  <c:v>8.2685674803135906E-2</c:v>
                </c:pt>
                <c:pt idx="20">
                  <c:v>0.12803246819676922</c:v>
                </c:pt>
                <c:pt idx="21">
                  <c:v>0.19322275279112436</c:v>
                </c:pt>
                <c:pt idx="22">
                  <c:v>0.28117188404753601</c:v>
                </c:pt>
                <c:pt idx="23">
                  <c:v>0.38999724741704389</c:v>
                </c:pt>
                <c:pt idx="24">
                  <c:v>0.5109789006254688</c:v>
                </c:pt>
                <c:pt idx="25">
                  <c:v>0.63047207335090227</c:v>
                </c:pt>
                <c:pt idx="26">
                  <c:v>0.73559289260566874</c:v>
                </c:pt>
                <c:pt idx="27">
                  <c:v>0.81916559842814651</c:v>
                </c:pt>
                <c:pt idx="28">
                  <c:v>0.88046997708605457</c:v>
                </c:pt>
                <c:pt idx="29">
                  <c:v>0.92284434778393365</c:v>
                </c:pt>
                <c:pt idx="30">
                  <c:v>0.95092839606164814</c:v>
                </c:pt>
                <c:pt idx="31">
                  <c:v>0.96898936806317848</c:v>
                </c:pt>
                <c:pt idx="32">
                  <c:v>0.98031598317199287</c:v>
                </c:pt>
                <c:pt idx="33">
                  <c:v>0.98719953080614053</c:v>
                </c:pt>
                <c:pt idx="34">
                  <c:v>0.99112144584836681</c:v>
                </c:pt>
                <c:pt idx="35">
                  <c:v>0.99295641660521861</c:v>
                </c:pt>
                <c:pt idx="36">
                  <c:v>0.993121367770468</c:v>
                </c:pt>
                <c:pt idx="37">
                  <c:v>0.9916538800254413</c:v>
                </c:pt>
                <c:pt idx="38">
                  <c:v>0.98821935850110809</c:v>
                </c:pt>
                <c:pt idx="39">
                  <c:v>0.98204699274788931</c:v>
                </c:pt>
                <c:pt idx="40">
                  <c:v>0.97179399193850791</c:v>
                </c:pt>
                <c:pt idx="41">
                  <c:v>0.95534866266775598</c:v>
                </c:pt>
                <c:pt idx="42">
                  <c:v>0.92962636182943836</c:v>
                </c:pt>
                <c:pt idx="43">
                  <c:v>0.89052023586264561</c:v>
                </c:pt>
                <c:pt idx="44">
                  <c:v>0.8333579048838996</c:v>
                </c:pt>
                <c:pt idx="45">
                  <c:v>0.75437102344034646</c:v>
                </c:pt>
                <c:pt idx="46">
                  <c:v>0.65335487125404246</c:v>
                </c:pt>
                <c:pt idx="47">
                  <c:v>0.53630591887878865</c:v>
                </c:pt>
                <c:pt idx="48">
                  <c:v>0.41525537822307884</c:v>
                </c:pt>
                <c:pt idx="49">
                  <c:v>0.30386936600417597</c:v>
                </c:pt>
                <c:pt idx="50">
                  <c:v>0.21178927745307055</c:v>
                </c:pt>
              </c:numCache>
            </c:numRef>
          </c:yVal>
          <c:smooth val="1"/>
          <c:extLst>
            <c:ext xmlns:c16="http://schemas.microsoft.com/office/drawing/2014/chart" uri="{C3380CC4-5D6E-409C-BE32-E72D297353CC}">
              <c16:uniqueId val="{00000001-2494-4DCA-95CB-5E87A7207D8A}"/>
            </c:ext>
          </c:extLst>
        </c:ser>
        <c:ser>
          <c:idx val="2"/>
          <c:order val="2"/>
          <c:tx>
            <c:v>alfa 2</c:v>
          </c:tx>
          <c:spPr>
            <a:ln w="25400">
              <a:solidFill>
                <a:srgbClr val="008000"/>
              </a:solidFill>
              <a:prstDash val="solid"/>
            </a:ln>
          </c:spPr>
          <c:marker>
            <c:symbol val="square"/>
            <c:size val="3"/>
            <c:spPr>
              <a:noFill/>
              <a:ln>
                <a:solidFill>
                  <a:srgbClr val="000000"/>
                </a:solidFill>
                <a:prstDash val="solid"/>
              </a:ln>
            </c:spPr>
          </c:marker>
          <c:xVal>
            <c:numRef>
              <c:f>Distribution!$Y$12:$Y$114</c:f>
              <c:numCache>
                <c:formatCode>0.000</c:formatCode>
                <c:ptCount val="103"/>
                <c:pt idx="0">
                  <c:v>0</c:v>
                </c:pt>
                <c:pt idx="1">
                  <c:v>2.3004448812571354</c:v>
                </c:pt>
                <c:pt idx="2">
                  <c:v>4.3254298929241486</c:v>
                </c:pt>
                <c:pt idx="3">
                  <c:v>5.9982889695675112</c:v>
                </c:pt>
                <c:pt idx="4">
                  <c:v>7.2857926934375428</c:v>
                </c:pt>
                <c:pt idx="5">
                  <c:v>8.2150732792797498</c:v>
                </c:pt>
                <c:pt idx="6">
                  <c:v>8.852646873856429</c:v>
                </c:pt>
                <c:pt idx="7">
                  <c:v>9.2745251997257583</c:v>
                </c:pt>
                <c:pt idx="8">
                  <c:v>9.5472193221212365</c:v>
                </c:pt>
                <c:pt idx="9">
                  <c:v>9.7213898246991448</c:v>
                </c:pt>
                <c:pt idx="10">
                  <c:v>9.8327682426315732</c:v>
                </c:pt>
                <c:pt idx="11">
                  <c:v>9.9056407503667288</c:v>
                </c:pt>
                <c:pt idx="12">
                  <c:v>9.956512633652892</c:v>
                </c:pt>
                <c:pt idx="13">
                  <c:v>9.9971799951163121</c:v>
                </c:pt>
                <c:pt idx="14">
                  <c:v>10.037190483126324</c:v>
                </c:pt>
                <c:pt idx="15">
                  <c:v>10.085949620406609</c:v>
                </c:pt>
                <c:pt idx="16">
                  <c:v>10.154803957266267</c:v>
                </c:pt>
                <c:pt idx="17">
                  <c:v>10.259427917480934</c:v>
                </c:pt>
                <c:pt idx="18">
                  <c:v>10.422738817578647</c:v>
                </c:pt>
                <c:pt idx="19">
                  <c:v>10.678157336951699</c:v>
                </c:pt>
                <c:pt idx="20">
                  <c:v>11.071775054733735</c:v>
                </c:pt>
                <c:pt idx="21">
                  <c:v>11.659035268530715</c:v>
                </c:pt>
                <c:pt idx="22">
                  <c:v>12.487507292826194</c:v>
                </c:pt>
                <c:pt idx="23">
                  <c:v>13.560292513284367</c:v>
                </c:pt>
                <c:pt idx="24">
                  <c:v>14.799194350780454</c:v>
                </c:pt>
                <c:pt idx="25">
                  <c:v>16.054576211899985</c:v>
                </c:pt>
                <c:pt idx="26">
                  <c:v>17.173922529036645</c:v>
                </c:pt>
                <c:pt idx="27">
                  <c:v>18.068469061108772</c:v>
                </c:pt>
                <c:pt idx="28">
                  <c:v>18.725484058086295</c:v>
                </c:pt>
                <c:pt idx="29">
                  <c:v>19.179874857945833</c:v>
                </c:pt>
                <c:pt idx="30">
                  <c:v>19.48181740444852</c:v>
                </c:pt>
                <c:pt idx="31">
                  <c:v>19.677734184369911</c:v>
                </c:pt>
                <c:pt idx="32">
                  <c:v>19.803712518478278</c:v>
                </c:pt>
                <c:pt idx="33">
                  <c:v>19.885540132236201</c:v>
                </c:pt>
                <c:pt idx="34">
                  <c:v>19.941073826339561</c:v>
                </c:pt>
                <c:pt idx="35">
                  <c:v>19.982924718351569</c:v>
                </c:pt>
                <c:pt idx="36">
                  <c:v>20.020832466252614</c:v>
                </c:pt>
                <c:pt idx="37">
                  <c:v>20.063731157279108</c:v>
                </c:pt>
                <c:pt idx="38">
                  <c:v>20.121755062427837</c:v>
                </c:pt>
                <c:pt idx="39">
                  <c:v>20.208536063728388</c:v>
                </c:pt>
                <c:pt idx="40">
                  <c:v>20.344214436772745</c:v>
                </c:pt>
                <c:pt idx="41">
                  <c:v>20.55962798622204</c:v>
                </c:pt>
                <c:pt idx="42">
                  <c:v>20.902049214055296</c:v>
                </c:pt>
                <c:pt idx="43">
                  <c:v>21.442285725788679</c:v>
                </c:pt>
                <c:pt idx="44">
                  <c:v>22.281442677194718</c:v>
                </c:pt>
                <c:pt idx="45">
                  <c:v>23.553723619261291</c:v>
                </c:pt>
                <c:pt idx="46">
                  <c:v>25.425947584153619</c:v>
                </c:pt>
                <c:pt idx="47">
                  <c:v>28.122492051625159</c:v>
                </c:pt>
                <c:pt idx="48">
                  <c:v>32.065280988172162</c:v>
                </c:pt>
                <c:pt idx="49">
                  <c:v>38.31748273660196</c:v>
                </c:pt>
                <c:pt idx="50">
                  <c:v>49.999999998544808</c:v>
                </c:pt>
              </c:numCache>
            </c:numRef>
          </c:xVal>
          <c:yVal>
            <c:numRef>
              <c:f>Distribution!$AD$12:$AD$114</c:f>
              <c:numCache>
                <c:formatCode>0.000</c:formatCode>
                <c:ptCount val="103"/>
                <c:pt idx="0">
                  <c:v>0.37390651068300745</c:v>
                </c:pt>
                <c:pt idx="1">
                  <c:v>0.49485424645369247</c:v>
                </c:pt>
                <c:pt idx="2">
                  <c:v>0.61594154817378177</c:v>
                </c:pt>
                <c:pt idx="3">
                  <c:v>0.72373751195273617</c:v>
                </c:pt>
                <c:pt idx="4">
                  <c:v>0.8102678127594467</c:v>
                </c:pt>
                <c:pt idx="5">
                  <c:v>0.87420329698669108</c:v>
                </c:pt>
                <c:pt idx="6">
                  <c:v>0.91862060169386095</c:v>
                </c:pt>
                <c:pt idx="7">
                  <c:v>0.94815445336994453</c:v>
                </c:pt>
                <c:pt idx="8">
                  <c:v>0.96717983320014889</c:v>
                </c:pt>
                <c:pt idx="9">
                  <c:v>0.97911021091204298</c:v>
                </c:pt>
                <c:pt idx="10">
                  <c:v>0.98633700618975939</c:v>
                </c:pt>
                <c:pt idx="11">
                  <c:v>0.99040601471774037</c:v>
                </c:pt>
                <c:pt idx="12">
                  <c:v>0.99222045518313517</c:v>
                </c:pt>
                <c:pt idx="13">
                  <c:v>0.99219065960344843</c:v>
                </c:pt>
                <c:pt idx="14">
                  <c:v>0.99030934525475101</c:v>
                </c:pt>
                <c:pt idx="15">
                  <c:v>0.98614975186399989</c:v>
                </c:pt>
                <c:pt idx="16">
                  <c:v>0.97878616481921565</c:v>
                </c:pt>
                <c:pt idx="17">
                  <c:v>0.96663862082689322</c:v>
                </c:pt>
                <c:pt idx="18">
                  <c:v>0.9472625280789615</c:v>
                </c:pt>
                <c:pt idx="19">
                  <c:v>0.91716615662492407</c:v>
                </c:pt>
                <c:pt idx="20">
                  <c:v>0.87188089092686205</c:v>
                </c:pt>
                <c:pt idx="21">
                  <c:v>0.80672768534792638</c:v>
                </c:pt>
                <c:pt idx="22">
                  <c:v>0.71880009685999691</c:v>
                </c:pt>
                <c:pt idx="23">
                  <c:v>0.60998598237269785</c:v>
                </c:pt>
                <c:pt idx="24">
                  <c:v>0.48900811405382505</c:v>
                </c:pt>
                <c:pt idx="25">
                  <c:v>0.36951233662463473</c:v>
                </c:pt>
                <c:pt idx="26">
                  <c:v>0.26438206066754083</c:v>
                </c:pt>
                <c:pt idx="27">
                  <c:v>0.18079090624229457</c:v>
                </c:pt>
                <c:pt idx="28">
                  <c:v>0.11945475211415434</c:v>
                </c:pt>
                <c:pt idx="29">
                  <c:v>7.7027724309069193E-2</c:v>
                </c:pt>
                <c:pt idx="30">
                  <c:v>4.8857573512793163E-2</c:v>
                </c:pt>
                <c:pt idx="31">
                  <c:v>3.0656495627182468E-2</c:v>
                </c:pt>
                <c:pt idx="32">
                  <c:v>1.9102332392773921E-2</c:v>
                </c:pt>
                <c:pt idx="33">
                  <c:v>1.184954289764013E-2</c:v>
                </c:pt>
                <c:pt idx="34">
                  <c:v>7.3288184719469893E-3</c:v>
                </c:pt>
                <c:pt idx="35">
                  <c:v>4.5233880209913681E-3</c:v>
                </c:pt>
                <c:pt idx="36">
                  <c:v>2.7871757979005991E-3</c:v>
                </c:pt>
                <c:pt idx="37">
                  <c:v>1.7145039507321528E-3</c:v>
                </c:pt>
                <c:pt idx="38">
                  <c:v>1.0524939436255651E-3</c:v>
                </c:pt>
                <c:pt idx="39">
                  <c:v>6.4422204232995699E-4</c:v>
                </c:pt>
                <c:pt idx="40">
                  <c:v>3.9258307861417919E-4</c:v>
                </c:pt>
                <c:pt idx="41">
                  <c:v>2.3759871984755442E-4</c:v>
                </c:pt>
                <c:pt idx="42">
                  <c:v>1.4227329229914547E-4</c:v>
                </c:pt>
                <c:pt idx="43">
                  <c:v>8.381542954346015E-5</c:v>
                </c:pt>
                <c:pt idx="44">
                  <c:v>4.8199403460318842E-5</c:v>
                </c:pt>
                <c:pt idx="45">
                  <c:v>2.6790165483948131E-5</c:v>
                </c:pt>
                <c:pt idx="46">
                  <c:v>1.4238644046759861E-5</c:v>
                </c:pt>
                <c:pt idx="47">
                  <c:v>7.171961898785251E-6</c:v>
                </c:pt>
                <c:pt idx="48">
                  <c:v>3.4096080435792799E-6</c:v>
                </c:pt>
                <c:pt idx="49">
                  <c:v>1.533633827144236E-6</c:v>
                </c:pt>
                <c:pt idx="50">
                  <c:v>6.5796620871604737E-7</c:v>
                </c:pt>
              </c:numCache>
            </c:numRef>
          </c:yVal>
          <c:smooth val="1"/>
          <c:extLst>
            <c:ext xmlns:c16="http://schemas.microsoft.com/office/drawing/2014/chart" uri="{C3380CC4-5D6E-409C-BE32-E72D297353CC}">
              <c16:uniqueId val="{00000002-2494-4DCA-95CB-5E87A7207D8A}"/>
            </c:ext>
          </c:extLst>
        </c:ser>
        <c:ser>
          <c:idx val="3"/>
          <c:order val="3"/>
          <c:tx>
            <c:v>alfa 3</c:v>
          </c:tx>
          <c:spPr>
            <a:ln w="25400">
              <a:solidFill>
                <a:srgbClr val="993300"/>
              </a:solidFill>
              <a:prstDash val="solid"/>
            </a:ln>
          </c:spPr>
          <c:marker>
            <c:symbol val="square"/>
            <c:size val="3"/>
            <c:spPr>
              <a:noFill/>
              <a:ln>
                <a:solidFill>
                  <a:srgbClr val="000000"/>
                </a:solidFill>
                <a:prstDash val="solid"/>
              </a:ln>
            </c:spPr>
          </c:marker>
          <c:xVal>
            <c:numRef>
              <c:f>Distribution!$Y$12:$Y$114</c:f>
              <c:numCache>
                <c:formatCode>0.000</c:formatCode>
                <c:ptCount val="103"/>
                <c:pt idx="0">
                  <c:v>0</c:v>
                </c:pt>
                <c:pt idx="1">
                  <c:v>2.3004448812571354</c:v>
                </c:pt>
                <c:pt idx="2">
                  <c:v>4.3254298929241486</c:v>
                </c:pt>
                <c:pt idx="3">
                  <c:v>5.9982889695675112</c:v>
                </c:pt>
                <c:pt idx="4">
                  <c:v>7.2857926934375428</c:v>
                </c:pt>
                <c:pt idx="5">
                  <c:v>8.2150732792797498</c:v>
                </c:pt>
                <c:pt idx="6">
                  <c:v>8.852646873856429</c:v>
                </c:pt>
                <c:pt idx="7">
                  <c:v>9.2745251997257583</c:v>
                </c:pt>
                <c:pt idx="8">
                  <c:v>9.5472193221212365</c:v>
                </c:pt>
                <c:pt idx="9">
                  <c:v>9.7213898246991448</c:v>
                </c:pt>
                <c:pt idx="10">
                  <c:v>9.8327682426315732</c:v>
                </c:pt>
                <c:pt idx="11">
                  <c:v>9.9056407503667288</c:v>
                </c:pt>
                <c:pt idx="12">
                  <c:v>9.956512633652892</c:v>
                </c:pt>
                <c:pt idx="13">
                  <c:v>9.9971799951163121</c:v>
                </c:pt>
                <c:pt idx="14">
                  <c:v>10.037190483126324</c:v>
                </c:pt>
                <c:pt idx="15">
                  <c:v>10.085949620406609</c:v>
                </c:pt>
                <c:pt idx="16">
                  <c:v>10.154803957266267</c:v>
                </c:pt>
                <c:pt idx="17">
                  <c:v>10.259427917480934</c:v>
                </c:pt>
                <c:pt idx="18">
                  <c:v>10.422738817578647</c:v>
                </c:pt>
                <c:pt idx="19">
                  <c:v>10.678157336951699</c:v>
                </c:pt>
                <c:pt idx="20">
                  <c:v>11.071775054733735</c:v>
                </c:pt>
                <c:pt idx="21">
                  <c:v>11.659035268530715</c:v>
                </c:pt>
                <c:pt idx="22">
                  <c:v>12.487507292826194</c:v>
                </c:pt>
                <c:pt idx="23">
                  <c:v>13.560292513284367</c:v>
                </c:pt>
                <c:pt idx="24">
                  <c:v>14.799194350780454</c:v>
                </c:pt>
                <c:pt idx="25">
                  <c:v>16.054576211899985</c:v>
                </c:pt>
                <c:pt idx="26">
                  <c:v>17.173922529036645</c:v>
                </c:pt>
                <c:pt idx="27">
                  <c:v>18.068469061108772</c:v>
                </c:pt>
                <c:pt idx="28">
                  <c:v>18.725484058086295</c:v>
                </c:pt>
                <c:pt idx="29">
                  <c:v>19.179874857945833</c:v>
                </c:pt>
                <c:pt idx="30">
                  <c:v>19.48181740444852</c:v>
                </c:pt>
                <c:pt idx="31">
                  <c:v>19.677734184369911</c:v>
                </c:pt>
                <c:pt idx="32">
                  <c:v>19.803712518478278</c:v>
                </c:pt>
                <c:pt idx="33">
                  <c:v>19.885540132236201</c:v>
                </c:pt>
                <c:pt idx="34">
                  <c:v>19.941073826339561</c:v>
                </c:pt>
                <c:pt idx="35">
                  <c:v>19.982924718351569</c:v>
                </c:pt>
                <c:pt idx="36">
                  <c:v>20.020832466252614</c:v>
                </c:pt>
                <c:pt idx="37">
                  <c:v>20.063731157279108</c:v>
                </c:pt>
                <c:pt idx="38">
                  <c:v>20.121755062427837</c:v>
                </c:pt>
                <c:pt idx="39">
                  <c:v>20.208536063728388</c:v>
                </c:pt>
                <c:pt idx="40">
                  <c:v>20.344214436772745</c:v>
                </c:pt>
                <c:pt idx="41">
                  <c:v>20.55962798622204</c:v>
                </c:pt>
                <c:pt idx="42">
                  <c:v>20.902049214055296</c:v>
                </c:pt>
                <c:pt idx="43">
                  <c:v>21.442285725788679</c:v>
                </c:pt>
                <c:pt idx="44">
                  <c:v>22.281442677194718</c:v>
                </c:pt>
                <c:pt idx="45">
                  <c:v>23.553723619261291</c:v>
                </c:pt>
                <c:pt idx="46">
                  <c:v>25.425947584153619</c:v>
                </c:pt>
                <c:pt idx="47">
                  <c:v>28.122492051625159</c:v>
                </c:pt>
                <c:pt idx="48">
                  <c:v>32.065280988172162</c:v>
                </c:pt>
                <c:pt idx="49">
                  <c:v>38.31748273660196</c:v>
                </c:pt>
                <c:pt idx="50">
                  <c:v>49.999999998544808</c:v>
                </c:pt>
              </c:numCache>
            </c:numRef>
          </c:xVal>
          <c:yVal>
            <c:numRef>
              <c:f>Distribution!$AE$12:$AE$114</c:f>
              <c:numCache>
                <c:formatCode>0.000</c:formatCode>
                <c:ptCount val="103"/>
                <c:pt idx="0">
                  <c:v>0.62609023899227489</c:v>
                </c:pt>
                <c:pt idx="1">
                  <c:v>0.50513869717229698</c:v>
                </c:pt>
                <c:pt idx="2">
                  <c:v>0.38404407259845547</c:v>
                </c:pt>
                <c:pt idx="3">
                  <c:v>0.27623488727283357</c:v>
                </c:pt>
                <c:pt idx="4">
                  <c:v>0.18968180596862091</c:v>
                </c:pt>
                <c:pt idx="5">
                  <c:v>0.12570821206284352</c:v>
                </c:pt>
                <c:pt idx="6">
                  <c:v>8.1228180383740842E-2</c:v>
                </c:pt>
                <c:pt idx="7">
                  <c:v>5.1591908692468998E-2</c:v>
                </c:pt>
                <c:pt idx="8">
                  <c:v>3.2399916330650855E-2</c:v>
                </c:pt>
                <c:pt idx="9">
                  <c:v>2.0198958078039158E-2</c:v>
                </c:pt>
                <c:pt idx="10">
                  <c:v>1.2533122431297014E-2</c:v>
                </c:pt>
                <c:pt idx="11">
                  <c:v>7.752198834651565E-3</c:v>
                </c:pt>
                <c:pt idx="12">
                  <c:v>4.784239756911053E-3</c:v>
                </c:pt>
                <c:pt idx="13">
                  <c:v>2.9470418085303209E-3</c:v>
                </c:pt>
                <c:pt idx="14">
                  <c:v>1.811832908120057E-3</c:v>
                </c:pt>
                <c:pt idx="15">
                  <c:v>1.1111838027675187E-3</c:v>
                </c:pt>
                <c:pt idx="16">
                  <c:v>6.7908470334399887E-4</c:v>
                </c:pt>
                <c:pt idx="17">
                  <c:v>4.1279009091847344E-4</c:v>
                </c:pt>
                <c:pt idx="18">
                  <c:v>2.4883607168127967E-4</c:v>
                </c:pt>
                <c:pt idx="19">
                  <c:v>1.480823832743924E-4</c:v>
                </c:pt>
                <c:pt idx="20">
                  <c:v>8.6423495807762653E-5</c:v>
                </c:pt>
                <c:pt idx="21">
                  <c:v>4.9026770502365288E-5</c:v>
                </c:pt>
                <c:pt idx="22">
                  <c:v>2.6747425811939599E-5</c:v>
                </c:pt>
                <c:pt idx="23">
                  <c:v>1.388723538458785E-5</c:v>
                </c:pt>
                <c:pt idx="24">
                  <c:v>6.8118769122781682E-6</c:v>
                </c:pt>
                <c:pt idx="25">
                  <c:v>3.1523153676615626E-6</c:v>
                </c:pt>
                <c:pt idx="26">
                  <c:v>1.3831334064400469E-6</c:v>
                </c:pt>
                <c:pt idx="27">
                  <c:v>5.8078994195864928E-7</c:v>
                </c:pt>
                <c:pt idx="28">
                  <c:v>2.3590108578446867E-7</c:v>
                </c:pt>
                <c:pt idx="29">
                  <c:v>9.3584366915390495E-8</c:v>
                </c:pt>
                <c:pt idx="30">
                  <c:v>3.6538742831419421E-8</c:v>
                </c:pt>
                <c:pt idx="31">
                  <c:v>1.4117689770433502E-8</c:v>
                </c:pt>
                <c:pt idx="32">
                  <c:v>5.4180666201952406E-9</c:v>
                </c:pt>
                <c:pt idx="33">
                  <c:v>2.0703124006842728E-9</c:v>
                </c:pt>
                <c:pt idx="34">
                  <c:v>7.8882140107183893E-10</c:v>
                </c:pt>
                <c:pt idx="35">
                  <c:v>2.9994051250968666E-10</c:v>
                </c:pt>
                <c:pt idx="36">
                  <c:v>1.138581248088399E-10</c:v>
                </c:pt>
                <c:pt idx="37">
                  <c:v>4.3147386360084171E-11</c:v>
                </c:pt>
                <c:pt idx="38">
                  <c:v>1.6316367645812227E-11</c:v>
                </c:pt>
                <c:pt idx="39">
                  <c:v>6.1514361314731565E-12</c:v>
                </c:pt>
                <c:pt idx="40">
                  <c:v>2.308482420943144E-12</c:v>
                </c:pt>
                <c:pt idx="41">
                  <c:v>8.6012965539946597E-13</c:v>
                </c:pt>
                <c:pt idx="42">
                  <c:v>3.1693920261516443E-13</c:v>
                </c:pt>
                <c:pt idx="43">
                  <c:v>1.1482640976917698E-13</c:v>
                </c:pt>
                <c:pt idx="44">
                  <c:v>4.0577883955737625E-14</c:v>
                </c:pt>
                <c:pt idx="45">
                  <c:v>1.3848521930202158E-14</c:v>
                </c:pt>
                <c:pt idx="46">
                  <c:v>4.5167469670538582E-15</c:v>
                </c:pt>
                <c:pt idx="47">
                  <c:v>1.3960500420025606E-15</c:v>
                </c:pt>
                <c:pt idx="48">
                  <c:v>4.0750343744267386E-16</c:v>
                </c:pt>
                <c:pt idx="49">
                  <c:v>1.1266630909495503E-16</c:v>
                </c:pt>
                <c:pt idx="50">
                  <c:v>2.9753690426844751E-17</c:v>
                </c:pt>
              </c:numCache>
            </c:numRef>
          </c:yVal>
          <c:smooth val="1"/>
          <c:extLst>
            <c:ext xmlns:c16="http://schemas.microsoft.com/office/drawing/2014/chart" uri="{C3380CC4-5D6E-409C-BE32-E72D297353CC}">
              <c16:uniqueId val="{00000003-2494-4DCA-95CB-5E87A7207D8A}"/>
            </c:ext>
          </c:extLst>
        </c:ser>
        <c:ser>
          <c:idx val="4"/>
          <c:order val="4"/>
          <c:tx>
            <c:v>alfa 4</c:v>
          </c:tx>
          <c:spPr>
            <a:ln w="25400">
              <a:solidFill>
                <a:srgbClr val="0000FF"/>
              </a:solidFill>
              <a:prstDash val="solid"/>
            </a:ln>
          </c:spPr>
          <c:marker>
            <c:symbol val="square"/>
            <c:size val="3"/>
            <c:spPr>
              <a:noFill/>
              <a:ln>
                <a:solidFill>
                  <a:srgbClr val="000000"/>
                </a:solidFill>
                <a:prstDash val="solid"/>
              </a:ln>
            </c:spPr>
          </c:marker>
          <c:xVal>
            <c:numRef>
              <c:f>Distribution!$Y$12:$Y$114</c:f>
              <c:numCache>
                <c:formatCode>0.000</c:formatCode>
                <c:ptCount val="103"/>
                <c:pt idx="0">
                  <c:v>0</c:v>
                </c:pt>
                <c:pt idx="1">
                  <c:v>2.3004448812571354</c:v>
                </c:pt>
                <c:pt idx="2">
                  <c:v>4.3254298929241486</c:v>
                </c:pt>
                <c:pt idx="3">
                  <c:v>5.9982889695675112</c:v>
                </c:pt>
                <c:pt idx="4">
                  <c:v>7.2857926934375428</c:v>
                </c:pt>
                <c:pt idx="5">
                  <c:v>8.2150732792797498</c:v>
                </c:pt>
                <c:pt idx="6">
                  <c:v>8.852646873856429</c:v>
                </c:pt>
                <c:pt idx="7">
                  <c:v>9.2745251997257583</c:v>
                </c:pt>
                <c:pt idx="8">
                  <c:v>9.5472193221212365</c:v>
                </c:pt>
                <c:pt idx="9">
                  <c:v>9.7213898246991448</c:v>
                </c:pt>
                <c:pt idx="10">
                  <c:v>9.8327682426315732</c:v>
                </c:pt>
                <c:pt idx="11">
                  <c:v>9.9056407503667288</c:v>
                </c:pt>
                <c:pt idx="12">
                  <c:v>9.956512633652892</c:v>
                </c:pt>
                <c:pt idx="13">
                  <c:v>9.9971799951163121</c:v>
                </c:pt>
                <c:pt idx="14">
                  <c:v>10.037190483126324</c:v>
                </c:pt>
                <c:pt idx="15">
                  <c:v>10.085949620406609</c:v>
                </c:pt>
                <c:pt idx="16">
                  <c:v>10.154803957266267</c:v>
                </c:pt>
                <c:pt idx="17">
                  <c:v>10.259427917480934</c:v>
                </c:pt>
                <c:pt idx="18">
                  <c:v>10.422738817578647</c:v>
                </c:pt>
                <c:pt idx="19">
                  <c:v>10.678157336951699</c:v>
                </c:pt>
                <c:pt idx="20">
                  <c:v>11.071775054733735</c:v>
                </c:pt>
                <c:pt idx="21">
                  <c:v>11.659035268530715</c:v>
                </c:pt>
                <c:pt idx="22">
                  <c:v>12.487507292826194</c:v>
                </c:pt>
                <c:pt idx="23">
                  <c:v>13.560292513284367</c:v>
                </c:pt>
                <c:pt idx="24">
                  <c:v>14.799194350780454</c:v>
                </c:pt>
                <c:pt idx="25">
                  <c:v>16.054576211899985</c:v>
                </c:pt>
                <c:pt idx="26">
                  <c:v>17.173922529036645</c:v>
                </c:pt>
                <c:pt idx="27">
                  <c:v>18.068469061108772</c:v>
                </c:pt>
                <c:pt idx="28">
                  <c:v>18.725484058086295</c:v>
                </c:pt>
                <c:pt idx="29">
                  <c:v>19.179874857945833</c:v>
                </c:pt>
                <c:pt idx="30">
                  <c:v>19.48181740444852</c:v>
                </c:pt>
                <c:pt idx="31">
                  <c:v>19.677734184369911</c:v>
                </c:pt>
                <c:pt idx="32">
                  <c:v>19.803712518478278</c:v>
                </c:pt>
                <c:pt idx="33">
                  <c:v>19.885540132236201</c:v>
                </c:pt>
                <c:pt idx="34">
                  <c:v>19.941073826339561</c:v>
                </c:pt>
                <c:pt idx="35">
                  <c:v>19.982924718351569</c:v>
                </c:pt>
                <c:pt idx="36">
                  <c:v>20.020832466252614</c:v>
                </c:pt>
                <c:pt idx="37">
                  <c:v>20.063731157279108</c:v>
                </c:pt>
                <c:pt idx="38">
                  <c:v>20.121755062427837</c:v>
                </c:pt>
                <c:pt idx="39">
                  <c:v>20.208536063728388</c:v>
                </c:pt>
                <c:pt idx="40">
                  <c:v>20.344214436772745</c:v>
                </c:pt>
                <c:pt idx="41">
                  <c:v>20.55962798622204</c:v>
                </c:pt>
                <c:pt idx="42">
                  <c:v>20.902049214055296</c:v>
                </c:pt>
                <c:pt idx="43">
                  <c:v>21.442285725788679</c:v>
                </c:pt>
                <c:pt idx="44">
                  <c:v>22.281442677194718</c:v>
                </c:pt>
                <c:pt idx="45">
                  <c:v>23.553723619261291</c:v>
                </c:pt>
                <c:pt idx="46">
                  <c:v>25.425947584153619</c:v>
                </c:pt>
                <c:pt idx="47">
                  <c:v>28.122492051625159</c:v>
                </c:pt>
                <c:pt idx="48">
                  <c:v>32.065280988172162</c:v>
                </c:pt>
                <c:pt idx="49">
                  <c:v>38.31748273660196</c:v>
                </c:pt>
                <c:pt idx="50">
                  <c:v>49.999999998544808</c:v>
                </c:pt>
              </c:numCache>
            </c:numRef>
          </c:xVal>
          <c:yVal>
            <c:numRef>
              <c:f>Distribution!$AF$12:$AF$114</c:f>
              <c:numCache>
                <c:formatCode>0.000</c:formatCode>
                <c:ptCount val="103"/>
              </c:numCache>
            </c:numRef>
          </c:yVal>
          <c:smooth val="1"/>
          <c:extLst>
            <c:ext xmlns:c16="http://schemas.microsoft.com/office/drawing/2014/chart" uri="{C3380CC4-5D6E-409C-BE32-E72D297353CC}">
              <c16:uniqueId val="{00000004-2494-4DCA-95CB-5E87A7207D8A}"/>
            </c:ext>
          </c:extLst>
        </c:ser>
        <c:ser>
          <c:idx val="5"/>
          <c:order val="5"/>
          <c:tx>
            <c:v>alfa 5</c:v>
          </c:tx>
          <c:spPr>
            <a:ln w="25400">
              <a:solidFill>
                <a:srgbClr val="FF00FF"/>
              </a:solidFill>
              <a:prstDash val="solid"/>
            </a:ln>
          </c:spPr>
          <c:marker>
            <c:symbol val="square"/>
            <c:size val="3"/>
            <c:spPr>
              <a:noFill/>
              <a:ln>
                <a:solidFill>
                  <a:srgbClr val="000000"/>
                </a:solidFill>
                <a:prstDash val="solid"/>
              </a:ln>
            </c:spPr>
          </c:marker>
          <c:xVal>
            <c:numRef>
              <c:f>Distribution!$Y$12:$Y$114</c:f>
              <c:numCache>
                <c:formatCode>0.000</c:formatCode>
                <c:ptCount val="103"/>
                <c:pt idx="0">
                  <c:v>0</c:v>
                </c:pt>
                <c:pt idx="1">
                  <c:v>2.3004448812571354</c:v>
                </c:pt>
                <c:pt idx="2">
                  <c:v>4.3254298929241486</c:v>
                </c:pt>
                <c:pt idx="3">
                  <c:v>5.9982889695675112</c:v>
                </c:pt>
                <c:pt idx="4">
                  <c:v>7.2857926934375428</c:v>
                </c:pt>
                <c:pt idx="5">
                  <c:v>8.2150732792797498</c:v>
                </c:pt>
                <c:pt idx="6">
                  <c:v>8.852646873856429</c:v>
                </c:pt>
                <c:pt idx="7">
                  <c:v>9.2745251997257583</c:v>
                </c:pt>
                <c:pt idx="8">
                  <c:v>9.5472193221212365</c:v>
                </c:pt>
                <c:pt idx="9">
                  <c:v>9.7213898246991448</c:v>
                </c:pt>
                <c:pt idx="10">
                  <c:v>9.8327682426315732</c:v>
                </c:pt>
                <c:pt idx="11">
                  <c:v>9.9056407503667288</c:v>
                </c:pt>
                <c:pt idx="12">
                  <c:v>9.956512633652892</c:v>
                </c:pt>
                <c:pt idx="13">
                  <c:v>9.9971799951163121</c:v>
                </c:pt>
                <c:pt idx="14">
                  <c:v>10.037190483126324</c:v>
                </c:pt>
                <c:pt idx="15">
                  <c:v>10.085949620406609</c:v>
                </c:pt>
                <c:pt idx="16">
                  <c:v>10.154803957266267</c:v>
                </c:pt>
                <c:pt idx="17">
                  <c:v>10.259427917480934</c:v>
                </c:pt>
                <c:pt idx="18">
                  <c:v>10.422738817578647</c:v>
                </c:pt>
                <c:pt idx="19">
                  <c:v>10.678157336951699</c:v>
                </c:pt>
                <c:pt idx="20">
                  <c:v>11.071775054733735</c:v>
                </c:pt>
                <c:pt idx="21">
                  <c:v>11.659035268530715</c:v>
                </c:pt>
                <c:pt idx="22">
                  <c:v>12.487507292826194</c:v>
                </c:pt>
                <c:pt idx="23">
                  <c:v>13.560292513284367</c:v>
                </c:pt>
                <c:pt idx="24">
                  <c:v>14.799194350780454</c:v>
                </c:pt>
                <c:pt idx="25">
                  <c:v>16.054576211899985</c:v>
                </c:pt>
                <c:pt idx="26">
                  <c:v>17.173922529036645</c:v>
                </c:pt>
                <c:pt idx="27">
                  <c:v>18.068469061108772</c:v>
                </c:pt>
                <c:pt idx="28">
                  <c:v>18.725484058086295</c:v>
                </c:pt>
                <c:pt idx="29">
                  <c:v>19.179874857945833</c:v>
                </c:pt>
                <c:pt idx="30">
                  <c:v>19.48181740444852</c:v>
                </c:pt>
                <c:pt idx="31">
                  <c:v>19.677734184369911</c:v>
                </c:pt>
                <c:pt idx="32">
                  <c:v>19.803712518478278</c:v>
                </c:pt>
                <c:pt idx="33">
                  <c:v>19.885540132236201</c:v>
                </c:pt>
                <c:pt idx="34">
                  <c:v>19.941073826339561</c:v>
                </c:pt>
                <c:pt idx="35">
                  <c:v>19.982924718351569</c:v>
                </c:pt>
                <c:pt idx="36">
                  <c:v>20.020832466252614</c:v>
                </c:pt>
                <c:pt idx="37">
                  <c:v>20.063731157279108</c:v>
                </c:pt>
                <c:pt idx="38">
                  <c:v>20.121755062427837</c:v>
                </c:pt>
                <c:pt idx="39">
                  <c:v>20.208536063728388</c:v>
                </c:pt>
                <c:pt idx="40">
                  <c:v>20.344214436772745</c:v>
                </c:pt>
                <c:pt idx="41">
                  <c:v>20.55962798622204</c:v>
                </c:pt>
                <c:pt idx="42">
                  <c:v>20.902049214055296</c:v>
                </c:pt>
                <c:pt idx="43">
                  <c:v>21.442285725788679</c:v>
                </c:pt>
                <c:pt idx="44">
                  <c:v>22.281442677194718</c:v>
                </c:pt>
                <c:pt idx="45">
                  <c:v>23.553723619261291</c:v>
                </c:pt>
                <c:pt idx="46">
                  <c:v>25.425947584153619</c:v>
                </c:pt>
                <c:pt idx="47">
                  <c:v>28.122492051625159</c:v>
                </c:pt>
                <c:pt idx="48">
                  <c:v>32.065280988172162</c:v>
                </c:pt>
                <c:pt idx="49">
                  <c:v>38.31748273660196</c:v>
                </c:pt>
                <c:pt idx="50">
                  <c:v>49.999999998544808</c:v>
                </c:pt>
              </c:numCache>
            </c:numRef>
          </c:xVal>
          <c:yVal>
            <c:numRef>
              <c:f>Distribution!$AG$12:$AG$114</c:f>
              <c:numCache>
                <c:formatCode>0.000</c:formatCode>
                <c:ptCount val="103"/>
              </c:numCache>
            </c:numRef>
          </c:yVal>
          <c:smooth val="1"/>
          <c:extLst>
            <c:ext xmlns:c16="http://schemas.microsoft.com/office/drawing/2014/chart" uri="{C3380CC4-5D6E-409C-BE32-E72D297353CC}">
              <c16:uniqueId val="{00000005-2494-4DCA-95CB-5E87A7207D8A}"/>
            </c:ext>
          </c:extLst>
        </c:ser>
        <c:ser>
          <c:idx val="6"/>
          <c:order val="6"/>
          <c:tx>
            <c:v>alfa 6</c:v>
          </c:tx>
          <c:spPr>
            <a:ln w="25400">
              <a:solidFill>
                <a:srgbClr val="008080"/>
              </a:solidFill>
              <a:prstDash val="solid"/>
            </a:ln>
          </c:spPr>
          <c:marker>
            <c:symbol val="circle"/>
            <c:size val="3"/>
            <c:spPr>
              <a:noFill/>
              <a:ln>
                <a:solidFill>
                  <a:srgbClr val="000000"/>
                </a:solidFill>
                <a:prstDash val="solid"/>
              </a:ln>
            </c:spPr>
          </c:marker>
          <c:xVal>
            <c:numRef>
              <c:f>Distribution!$Y$12:$Y$114</c:f>
              <c:numCache>
                <c:formatCode>0.000</c:formatCode>
                <c:ptCount val="103"/>
                <c:pt idx="0">
                  <c:v>0</c:v>
                </c:pt>
                <c:pt idx="1">
                  <c:v>2.3004448812571354</c:v>
                </c:pt>
                <c:pt idx="2">
                  <c:v>4.3254298929241486</c:v>
                </c:pt>
                <c:pt idx="3">
                  <c:v>5.9982889695675112</c:v>
                </c:pt>
                <c:pt idx="4">
                  <c:v>7.2857926934375428</c:v>
                </c:pt>
                <c:pt idx="5">
                  <c:v>8.2150732792797498</c:v>
                </c:pt>
                <c:pt idx="6">
                  <c:v>8.852646873856429</c:v>
                </c:pt>
                <c:pt idx="7">
                  <c:v>9.2745251997257583</c:v>
                </c:pt>
                <c:pt idx="8">
                  <c:v>9.5472193221212365</c:v>
                </c:pt>
                <c:pt idx="9">
                  <c:v>9.7213898246991448</c:v>
                </c:pt>
                <c:pt idx="10">
                  <c:v>9.8327682426315732</c:v>
                </c:pt>
                <c:pt idx="11">
                  <c:v>9.9056407503667288</c:v>
                </c:pt>
                <c:pt idx="12">
                  <c:v>9.956512633652892</c:v>
                </c:pt>
                <c:pt idx="13">
                  <c:v>9.9971799951163121</c:v>
                </c:pt>
                <c:pt idx="14">
                  <c:v>10.037190483126324</c:v>
                </c:pt>
                <c:pt idx="15">
                  <c:v>10.085949620406609</c:v>
                </c:pt>
                <c:pt idx="16">
                  <c:v>10.154803957266267</c:v>
                </c:pt>
                <c:pt idx="17">
                  <c:v>10.259427917480934</c:v>
                </c:pt>
                <c:pt idx="18">
                  <c:v>10.422738817578647</c:v>
                </c:pt>
                <c:pt idx="19">
                  <c:v>10.678157336951699</c:v>
                </c:pt>
                <c:pt idx="20">
                  <c:v>11.071775054733735</c:v>
                </c:pt>
                <c:pt idx="21">
                  <c:v>11.659035268530715</c:v>
                </c:pt>
                <c:pt idx="22">
                  <c:v>12.487507292826194</c:v>
                </c:pt>
                <c:pt idx="23">
                  <c:v>13.560292513284367</c:v>
                </c:pt>
                <c:pt idx="24">
                  <c:v>14.799194350780454</c:v>
                </c:pt>
                <c:pt idx="25">
                  <c:v>16.054576211899985</c:v>
                </c:pt>
                <c:pt idx="26">
                  <c:v>17.173922529036645</c:v>
                </c:pt>
                <c:pt idx="27">
                  <c:v>18.068469061108772</c:v>
                </c:pt>
                <c:pt idx="28">
                  <c:v>18.725484058086295</c:v>
                </c:pt>
                <c:pt idx="29">
                  <c:v>19.179874857945833</c:v>
                </c:pt>
                <c:pt idx="30">
                  <c:v>19.48181740444852</c:v>
                </c:pt>
                <c:pt idx="31">
                  <c:v>19.677734184369911</c:v>
                </c:pt>
                <c:pt idx="32">
                  <c:v>19.803712518478278</c:v>
                </c:pt>
                <c:pt idx="33">
                  <c:v>19.885540132236201</c:v>
                </c:pt>
                <c:pt idx="34">
                  <c:v>19.941073826339561</c:v>
                </c:pt>
                <c:pt idx="35">
                  <c:v>19.982924718351569</c:v>
                </c:pt>
                <c:pt idx="36">
                  <c:v>20.020832466252614</c:v>
                </c:pt>
                <c:pt idx="37">
                  <c:v>20.063731157279108</c:v>
                </c:pt>
                <c:pt idx="38">
                  <c:v>20.121755062427837</c:v>
                </c:pt>
                <c:pt idx="39">
                  <c:v>20.208536063728388</c:v>
                </c:pt>
                <c:pt idx="40">
                  <c:v>20.344214436772745</c:v>
                </c:pt>
                <c:pt idx="41">
                  <c:v>20.55962798622204</c:v>
                </c:pt>
                <c:pt idx="42">
                  <c:v>20.902049214055296</c:v>
                </c:pt>
                <c:pt idx="43">
                  <c:v>21.442285725788679</c:v>
                </c:pt>
                <c:pt idx="44">
                  <c:v>22.281442677194718</c:v>
                </c:pt>
                <c:pt idx="45">
                  <c:v>23.553723619261291</c:v>
                </c:pt>
                <c:pt idx="46">
                  <c:v>25.425947584153619</c:v>
                </c:pt>
                <c:pt idx="47">
                  <c:v>28.122492051625159</c:v>
                </c:pt>
                <c:pt idx="48">
                  <c:v>32.065280988172162</c:v>
                </c:pt>
                <c:pt idx="49">
                  <c:v>38.31748273660196</c:v>
                </c:pt>
                <c:pt idx="50">
                  <c:v>49.999999998544808</c:v>
                </c:pt>
              </c:numCache>
            </c:numRef>
          </c:xVal>
          <c:yVal>
            <c:numRef>
              <c:f>Distribution!$AH$12:$AH$13</c:f>
              <c:numCache>
                <c:formatCode>0.000</c:formatCode>
                <c:ptCount val="2"/>
              </c:numCache>
            </c:numRef>
          </c:yVal>
          <c:smooth val="1"/>
          <c:extLst>
            <c:ext xmlns:c16="http://schemas.microsoft.com/office/drawing/2014/chart" uri="{C3380CC4-5D6E-409C-BE32-E72D297353CC}">
              <c16:uniqueId val="{00000006-2494-4DCA-95CB-5E87A7207D8A}"/>
            </c:ext>
          </c:extLst>
        </c:ser>
        <c:dLbls>
          <c:showLegendKey val="0"/>
          <c:showVal val="0"/>
          <c:showCatName val="0"/>
          <c:showSerName val="0"/>
          <c:showPercent val="0"/>
          <c:showBubbleSize val="0"/>
        </c:dLbls>
        <c:axId val="157098368"/>
        <c:axId val="157100672"/>
      </c:scatterChart>
      <c:scatterChart>
        <c:scatterStyle val="smoothMarker"/>
        <c:varyColors val="0"/>
        <c:ser>
          <c:idx val="7"/>
          <c:order val="7"/>
          <c:spPr>
            <a:ln w="12700">
              <a:solidFill>
                <a:srgbClr val="002060"/>
              </a:solidFill>
              <a:prstDash val="sysDash"/>
            </a:ln>
          </c:spPr>
          <c:marker>
            <c:symbol val="circle"/>
            <c:size val="5"/>
            <c:spPr>
              <a:noFill/>
              <a:ln>
                <a:solidFill>
                  <a:srgbClr val="0000FF"/>
                </a:solidFill>
                <a:prstDash val="solid"/>
              </a:ln>
            </c:spPr>
          </c:marker>
          <c:xVal>
            <c:numRef>
              <c:f>Distribution!$Y$12:$Y$158</c:f>
              <c:numCache>
                <c:formatCode>0.000</c:formatCode>
                <c:ptCount val="147"/>
                <c:pt idx="0">
                  <c:v>0</c:v>
                </c:pt>
                <c:pt idx="1">
                  <c:v>2.3004448812571354</c:v>
                </c:pt>
                <c:pt idx="2">
                  <c:v>4.3254298929241486</c:v>
                </c:pt>
                <c:pt idx="3">
                  <c:v>5.9982889695675112</c:v>
                </c:pt>
                <c:pt idx="4">
                  <c:v>7.2857926934375428</c:v>
                </c:pt>
                <c:pt idx="5">
                  <c:v>8.2150732792797498</c:v>
                </c:pt>
                <c:pt idx="6">
                  <c:v>8.852646873856429</c:v>
                </c:pt>
                <c:pt idx="7">
                  <c:v>9.2745251997257583</c:v>
                </c:pt>
                <c:pt idx="8">
                  <c:v>9.5472193221212365</c:v>
                </c:pt>
                <c:pt idx="9">
                  <c:v>9.7213898246991448</c:v>
                </c:pt>
                <c:pt idx="10">
                  <c:v>9.8327682426315732</c:v>
                </c:pt>
                <c:pt idx="11">
                  <c:v>9.9056407503667288</c:v>
                </c:pt>
                <c:pt idx="12">
                  <c:v>9.956512633652892</c:v>
                </c:pt>
                <c:pt idx="13">
                  <c:v>9.9971799951163121</c:v>
                </c:pt>
                <c:pt idx="14">
                  <c:v>10.037190483126324</c:v>
                </c:pt>
                <c:pt idx="15">
                  <c:v>10.085949620406609</c:v>
                </c:pt>
                <c:pt idx="16">
                  <c:v>10.154803957266267</c:v>
                </c:pt>
                <c:pt idx="17">
                  <c:v>10.259427917480934</c:v>
                </c:pt>
                <c:pt idx="18">
                  <c:v>10.422738817578647</c:v>
                </c:pt>
                <c:pt idx="19">
                  <c:v>10.678157336951699</c:v>
                </c:pt>
                <c:pt idx="20">
                  <c:v>11.071775054733735</c:v>
                </c:pt>
                <c:pt idx="21">
                  <c:v>11.659035268530715</c:v>
                </c:pt>
                <c:pt idx="22">
                  <c:v>12.487507292826194</c:v>
                </c:pt>
                <c:pt idx="23">
                  <c:v>13.560292513284367</c:v>
                </c:pt>
                <c:pt idx="24">
                  <c:v>14.799194350780454</c:v>
                </c:pt>
                <c:pt idx="25">
                  <c:v>16.054576211899985</c:v>
                </c:pt>
                <c:pt idx="26">
                  <c:v>17.173922529036645</c:v>
                </c:pt>
                <c:pt idx="27">
                  <c:v>18.068469061108772</c:v>
                </c:pt>
                <c:pt idx="28">
                  <c:v>18.725484058086295</c:v>
                </c:pt>
                <c:pt idx="29">
                  <c:v>19.179874857945833</c:v>
                </c:pt>
                <c:pt idx="30">
                  <c:v>19.48181740444852</c:v>
                </c:pt>
                <c:pt idx="31">
                  <c:v>19.677734184369911</c:v>
                </c:pt>
                <c:pt idx="32">
                  <c:v>19.803712518478278</c:v>
                </c:pt>
                <c:pt idx="33">
                  <c:v>19.885540132236201</c:v>
                </c:pt>
                <c:pt idx="34">
                  <c:v>19.941073826339561</c:v>
                </c:pt>
                <c:pt idx="35">
                  <c:v>19.982924718351569</c:v>
                </c:pt>
                <c:pt idx="36">
                  <c:v>20.020832466252614</c:v>
                </c:pt>
                <c:pt idx="37">
                  <c:v>20.063731157279108</c:v>
                </c:pt>
                <c:pt idx="38">
                  <c:v>20.121755062427837</c:v>
                </c:pt>
                <c:pt idx="39">
                  <c:v>20.208536063728388</c:v>
                </c:pt>
                <c:pt idx="40">
                  <c:v>20.344214436772745</c:v>
                </c:pt>
                <c:pt idx="41">
                  <c:v>20.55962798622204</c:v>
                </c:pt>
                <c:pt idx="42">
                  <c:v>20.902049214055296</c:v>
                </c:pt>
                <c:pt idx="43">
                  <c:v>21.442285725788679</c:v>
                </c:pt>
                <c:pt idx="44">
                  <c:v>22.281442677194718</c:v>
                </c:pt>
                <c:pt idx="45">
                  <c:v>23.553723619261291</c:v>
                </c:pt>
                <c:pt idx="46">
                  <c:v>25.425947584153619</c:v>
                </c:pt>
                <c:pt idx="47">
                  <c:v>28.122492051625159</c:v>
                </c:pt>
                <c:pt idx="48">
                  <c:v>32.065280988172162</c:v>
                </c:pt>
                <c:pt idx="49">
                  <c:v>38.31748273660196</c:v>
                </c:pt>
                <c:pt idx="50">
                  <c:v>49.999999998544808</c:v>
                </c:pt>
              </c:numCache>
            </c:numRef>
          </c:xVal>
          <c:yVal>
            <c:numRef>
              <c:f>Distribution!$Z$12:$Z$158</c:f>
              <c:numCache>
                <c:formatCode>0.000</c:formatCode>
                <c:ptCount val="147"/>
                <c:pt idx="0">
                  <c:v>1.8171072800722754</c:v>
                </c:pt>
                <c:pt idx="1">
                  <c:v>2.03204784726322</c:v>
                </c:pt>
                <c:pt idx="2">
                  <c:v>2.2461396194374883</c:v>
                </c:pt>
                <c:pt idx="3">
                  <c:v>2.4592837415154789</c:v>
                </c:pt>
                <c:pt idx="4">
                  <c:v>2.6715840969865385</c:v>
                </c:pt>
                <c:pt idx="5">
                  <c:v>2.8832299762264122</c:v>
                </c:pt>
                <c:pt idx="6">
                  <c:v>3.0944106420923969</c:v>
                </c:pt>
                <c:pt idx="7">
                  <c:v>3.3052786795679925</c:v>
                </c:pt>
                <c:pt idx="8">
                  <c:v>3.5159445293883027</c:v>
                </c:pt>
                <c:pt idx="9">
                  <c:v>3.7264837975794283</c:v>
                </c:pt>
                <c:pt idx="10">
                  <c:v>3.9369472311575628</c:v>
                </c:pt>
                <c:pt idx="11">
                  <c:v>4.1473695514894615</c:v>
                </c:pt>
                <c:pt idx="12">
                  <c:v>4.3577764259656462</c:v>
                </c:pt>
                <c:pt idx="13">
                  <c:v>4.568190022913047</c:v>
                </c:pt>
                <c:pt idx="14">
                  <c:v>4.7786339196049799</c:v>
                </c:pt>
                <c:pt idx="15">
                  <c:v>4.989138153184598</c:v>
                </c:pt>
                <c:pt idx="16">
                  <c:v>5.1997450596983432</c:v>
                </c:pt>
                <c:pt idx="17">
                  <c:v>5.4105160650546065</c:v>
                </c:pt>
                <c:pt idx="18">
                  <c:v>5.6215382068211683</c:v>
                </c:pt>
                <c:pt idx="19">
                  <c:v>5.8329258111339772</c:v>
                </c:pt>
                <c:pt idx="20">
                  <c:v>6.0448065155412518</c:v>
                </c:pt>
                <c:pt idx="21">
                  <c:v>6.2572748607294768</c:v>
                </c:pt>
                <c:pt idx="22">
                  <c:v>6.4703073210120445</c:v>
                </c:pt>
                <c:pt idx="23">
                  <c:v>6.6836852438660559</c:v>
                </c:pt>
                <c:pt idx="24">
                  <c:v>6.8970304591995308</c:v>
                </c:pt>
                <c:pt idx="25">
                  <c:v>7.1099804688999608</c:v>
                </c:pt>
                <c:pt idx="26">
                  <c:v>7.322349098093679</c:v>
                </c:pt>
                <c:pt idx="27">
                  <c:v>7.5341386806955644</c:v>
                </c:pt>
                <c:pt idx="28">
                  <c:v>7.7454546772478645</c:v>
                </c:pt>
                <c:pt idx="29">
                  <c:v>7.9564249462523851</c:v>
                </c:pt>
                <c:pt idx="30">
                  <c:v>8.1671594790759396</c:v>
                </c:pt>
                <c:pt idx="31">
                  <c:v>8.377740060160809</c:v>
                </c:pt>
                <c:pt idx="32">
                  <c:v>8.5882232426729104</c:v>
                </c:pt>
                <c:pt idx="33">
                  <c:v>8.7986468997393832</c:v>
                </c:pt>
                <c:pt idx="34">
                  <c:v>9.0090364657241615</c:v>
                </c:pt>
                <c:pt idx="35">
                  <c:v>9.2194099000282304</c:v>
                </c:pt>
                <c:pt idx="36">
                  <c:v>9.4297815209616029</c:v>
                </c:pt>
                <c:pt idx="37">
                  <c:v>9.6401651822701666</c:v>
                </c:pt>
                <c:pt idx="38">
                  <c:v>9.8505773086917063</c:v>
                </c:pt>
                <c:pt idx="39">
                  <c:v>10.061040246754805</c:v>
                </c:pt>
                <c:pt idx="40">
                  <c:v>10.271586190317612</c:v>
                </c:pt>
                <c:pt idx="41">
                  <c:v>10.482261360601155</c:v>
                </c:pt>
                <c:pt idx="42">
                  <c:v>10.693128606202979</c:v>
                </c:pt>
                <c:pt idx="43">
                  <c:v>10.904263374595613</c:v>
                </c:pt>
                <c:pt idx="44">
                  <c:v>11.115733453073027</c:v>
                </c:pt>
                <c:pt idx="45">
                  <c:v>11.327553158845967</c:v>
                </c:pt>
                <c:pt idx="46">
                  <c:v>11.539624057245398</c:v>
                </c:pt>
                <c:pt idx="47">
                  <c:v>11.751718173325493</c:v>
                </c:pt>
                <c:pt idx="48">
                  <c:v>11.963554366049292</c:v>
                </c:pt>
                <c:pt idx="49">
                  <c:v>12.174908797581793</c:v>
                </c:pt>
                <c:pt idx="50">
                  <c:v>12.385643935645515</c:v>
                </c:pt>
              </c:numCache>
            </c:numRef>
          </c:yVal>
          <c:smooth val="1"/>
          <c:extLst>
            <c:ext xmlns:c16="http://schemas.microsoft.com/office/drawing/2014/chart" uri="{C3380CC4-5D6E-409C-BE32-E72D297353CC}">
              <c16:uniqueId val="{00000007-2494-4DCA-95CB-5E87A7207D8A}"/>
            </c:ext>
          </c:extLst>
        </c:ser>
        <c:dLbls>
          <c:showLegendKey val="0"/>
          <c:showVal val="0"/>
          <c:showCatName val="0"/>
          <c:showSerName val="0"/>
          <c:showPercent val="0"/>
          <c:showBubbleSize val="0"/>
        </c:dLbls>
        <c:axId val="157104384"/>
        <c:axId val="157102848"/>
      </c:scatterChart>
      <c:valAx>
        <c:axId val="157098368"/>
        <c:scaling>
          <c:orientation val="minMax"/>
        </c:scaling>
        <c:delete val="0"/>
        <c:axPos val="b"/>
        <c:majorGridlines/>
        <c:title>
          <c:tx>
            <c:rich>
              <a:bodyPr/>
              <a:lstStyle/>
              <a:p>
                <a:pPr>
                  <a:defRPr sz="1200" b="1" i="0" u="none" strike="noStrike" baseline="0">
                    <a:solidFill>
                      <a:srgbClr val="000000"/>
                    </a:solidFill>
                    <a:latin typeface="Arial"/>
                    <a:ea typeface="Arial"/>
                    <a:cs typeface="Arial"/>
                  </a:defRPr>
                </a:pPr>
                <a:r>
                  <a:rPr lang="pt-BR"/>
                  <a:t>Volume (mL)</a:t>
                </a:r>
              </a:p>
            </c:rich>
          </c:tx>
          <c:layout>
            <c:manualLayout>
              <c:xMode val="edge"/>
              <c:yMode val="edge"/>
              <c:x val="0.47892982456140382"/>
              <c:y val="0.93197889603902329"/>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57100672"/>
        <c:crosses val="autoZero"/>
        <c:crossBetween val="midCat"/>
      </c:valAx>
      <c:valAx>
        <c:axId val="157100672"/>
        <c:scaling>
          <c:orientation val="minMax"/>
          <c:max val="1.03"/>
          <c:min val="0"/>
        </c:scaling>
        <c:delete val="0"/>
        <c:axPos val="l"/>
        <c:majorGridlines>
          <c:spPr>
            <a:ln w="3175">
              <a:solidFill>
                <a:srgbClr val="000000"/>
              </a:solidFill>
              <a:prstDash val="solid"/>
            </a:ln>
          </c:spPr>
        </c:majorGridlines>
        <c:title>
          <c:tx>
            <c:rich>
              <a:bodyPr/>
              <a:lstStyle/>
              <a:p>
                <a:pPr>
                  <a:defRPr sz="1100" b="0" i="0" u="none" strike="noStrike" baseline="0">
                    <a:solidFill>
                      <a:srgbClr val="000000"/>
                    </a:solidFill>
                    <a:latin typeface="Calibri"/>
                    <a:ea typeface="Calibri"/>
                    <a:cs typeface="Calibri"/>
                  </a:defRPr>
                </a:pPr>
                <a:r>
                  <a:rPr lang="pt-BR" sz="1725" b="0" i="0" strike="noStrike">
                    <a:solidFill>
                      <a:srgbClr val="000000"/>
                    </a:solidFill>
                    <a:latin typeface="Symbol"/>
                  </a:rPr>
                  <a:t>a</a:t>
                </a:r>
                <a:r>
                  <a:rPr lang="pt-BR" sz="1725" b="1" i="0" strike="noStrike" baseline="-25000">
                    <a:solidFill>
                      <a:srgbClr val="000000"/>
                    </a:solidFill>
                    <a:latin typeface="Arial"/>
                    <a:cs typeface="Arial"/>
                  </a:rPr>
                  <a:t>i</a:t>
                </a:r>
              </a:p>
            </c:rich>
          </c:tx>
          <c:layout>
            <c:manualLayout>
              <c:xMode val="edge"/>
              <c:yMode val="edge"/>
              <c:x val="6.5020030390939062E-3"/>
              <c:y val="0.46310537324967177"/>
            </c:manualLayout>
          </c:layout>
          <c:overlay val="0"/>
          <c:spPr>
            <a:noFill/>
            <a:ln w="25400">
              <a:noFill/>
            </a:ln>
          </c:spPr>
        </c:title>
        <c:numFmt formatCode="0.00" sourceLinked="0"/>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57098368"/>
        <c:crosses val="autoZero"/>
        <c:crossBetween val="midCat"/>
      </c:valAx>
      <c:valAx>
        <c:axId val="157102848"/>
        <c:scaling>
          <c:orientation val="minMax"/>
        </c:scaling>
        <c:delete val="0"/>
        <c:axPos val="r"/>
        <c:numFmt formatCode="0" sourceLinked="0"/>
        <c:majorTickMark val="out"/>
        <c:minorTickMark val="none"/>
        <c:tickLblPos val="nextTo"/>
        <c:crossAx val="157104384"/>
        <c:crosses val="max"/>
        <c:crossBetween val="midCat"/>
      </c:valAx>
      <c:valAx>
        <c:axId val="157104384"/>
        <c:scaling>
          <c:orientation val="minMax"/>
        </c:scaling>
        <c:delete val="1"/>
        <c:axPos val="b"/>
        <c:numFmt formatCode="0.000" sourceLinked="1"/>
        <c:majorTickMark val="out"/>
        <c:minorTickMark val="none"/>
        <c:tickLblPos val="nextTo"/>
        <c:crossAx val="157102848"/>
        <c:crosses val="autoZero"/>
        <c:crossBetween val="midCat"/>
      </c:valAx>
      <c:spPr>
        <a:noFill/>
        <a:ln w="12700">
          <a:solidFill>
            <a:schemeClr val="tx1"/>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0.98425196899999956" l="0.78740157499999996" r="0.78740157499999996" t="0.98425196899999956" header="0.49212598500001165" footer="0.49212598500001165"/>
    <c:pageSetup paperSize="9" orientation="landscape"/>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i="0" u="none" strike="noStrike" baseline="0">
                <a:solidFill>
                  <a:srgbClr val="000000"/>
                </a:solidFill>
                <a:latin typeface="Arial"/>
                <a:ea typeface="Arial"/>
                <a:cs typeface="Arial"/>
              </a:defRPr>
            </a:pPr>
            <a:r>
              <a:rPr lang="pt-BR" sz="1200"/>
              <a:t>Average protonation (h</a:t>
            </a:r>
            <a:r>
              <a:rPr lang="pt-BR" sz="1400" baseline="-25000"/>
              <a:t>m</a:t>
            </a:r>
            <a:r>
              <a:rPr lang="pt-BR" sz="1200"/>
              <a:t>) of the base along a titration</a:t>
            </a:r>
          </a:p>
        </c:rich>
      </c:tx>
      <c:layout>
        <c:manualLayout>
          <c:xMode val="edge"/>
          <c:yMode val="edge"/>
          <c:x val="9.0469631243875179E-2"/>
          <c:y val="8.8688304205877568E-3"/>
        </c:manualLayout>
      </c:layout>
      <c:overlay val="0"/>
      <c:spPr>
        <a:noFill/>
        <a:ln w="25400">
          <a:noFill/>
        </a:ln>
      </c:spPr>
    </c:title>
    <c:autoTitleDeleted val="0"/>
    <c:plotArea>
      <c:layout>
        <c:manualLayout>
          <c:layoutTarget val="inner"/>
          <c:xMode val="edge"/>
          <c:yMode val="edge"/>
          <c:x val="9.5209477722708422E-2"/>
          <c:y val="8.2321721799913636E-2"/>
          <c:w val="0.83108153604760948"/>
          <c:h val="0.77529771617703558"/>
        </c:manualLayout>
      </c:layout>
      <c:scatterChart>
        <c:scatterStyle val="smoothMarker"/>
        <c:varyColors val="0"/>
        <c:ser>
          <c:idx val="0"/>
          <c:order val="0"/>
          <c:tx>
            <c:v>h médio</c:v>
          </c:tx>
          <c:spPr>
            <a:ln w="38100">
              <a:solidFill>
                <a:srgbClr val="09007E"/>
              </a:solidFill>
              <a:prstDash val="solid"/>
            </a:ln>
          </c:spPr>
          <c:marker>
            <c:symbol val="circle"/>
            <c:size val="5"/>
            <c:spPr>
              <a:solidFill>
                <a:srgbClr val="F4EE00"/>
              </a:solidFill>
              <a:ln>
                <a:solidFill>
                  <a:srgbClr val="FF0000"/>
                </a:solidFill>
                <a:prstDash val="solid"/>
              </a:ln>
            </c:spPr>
          </c:marker>
          <c:xVal>
            <c:numRef>
              <c:f>Distribution!$Y$12:$Y$114</c:f>
              <c:numCache>
                <c:formatCode>0.000</c:formatCode>
                <c:ptCount val="103"/>
                <c:pt idx="0">
                  <c:v>0</c:v>
                </c:pt>
                <c:pt idx="1">
                  <c:v>2.3004448812571354</c:v>
                </c:pt>
                <c:pt idx="2">
                  <c:v>4.3254298929241486</c:v>
                </c:pt>
                <c:pt idx="3">
                  <c:v>5.9982889695675112</c:v>
                </c:pt>
                <c:pt idx="4">
                  <c:v>7.2857926934375428</c:v>
                </c:pt>
                <c:pt idx="5">
                  <c:v>8.2150732792797498</c:v>
                </c:pt>
                <c:pt idx="6">
                  <c:v>8.852646873856429</c:v>
                </c:pt>
                <c:pt idx="7">
                  <c:v>9.2745251997257583</c:v>
                </c:pt>
                <c:pt idx="8">
                  <c:v>9.5472193221212365</c:v>
                </c:pt>
                <c:pt idx="9">
                  <c:v>9.7213898246991448</c:v>
                </c:pt>
                <c:pt idx="10">
                  <c:v>9.8327682426315732</c:v>
                </c:pt>
                <c:pt idx="11">
                  <c:v>9.9056407503667288</c:v>
                </c:pt>
                <c:pt idx="12">
                  <c:v>9.956512633652892</c:v>
                </c:pt>
                <c:pt idx="13">
                  <c:v>9.9971799951163121</c:v>
                </c:pt>
                <c:pt idx="14">
                  <c:v>10.037190483126324</c:v>
                </c:pt>
                <c:pt idx="15">
                  <c:v>10.085949620406609</c:v>
                </c:pt>
                <c:pt idx="16">
                  <c:v>10.154803957266267</c:v>
                </c:pt>
                <c:pt idx="17">
                  <c:v>10.259427917480934</c:v>
                </c:pt>
                <c:pt idx="18">
                  <c:v>10.422738817578647</c:v>
                </c:pt>
                <c:pt idx="19">
                  <c:v>10.678157336951699</c:v>
                </c:pt>
                <c:pt idx="20">
                  <c:v>11.071775054733735</c:v>
                </c:pt>
                <c:pt idx="21">
                  <c:v>11.659035268530715</c:v>
                </c:pt>
                <c:pt idx="22">
                  <c:v>12.487507292826194</c:v>
                </c:pt>
                <c:pt idx="23">
                  <c:v>13.560292513284367</c:v>
                </c:pt>
                <c:pt idx="24">
                  <c:v>14.799194350780454</c:v>
                </c:pt>
                <c:pt idx="25">
                  <c:v>16.054576211899985</c:v>
                </c:pt>
                <c:pt idx="26">
                  <c:v>17.173922529036645</c:v>
                </c:pt>
                <c:pt idx="27">
                  <c:v>18.068469061108772</c:v>
                </c:pt>
                <c:pt idx="28">
                  <c:v>18.725484058086295</c:v>
                </c:pt>
                <c:pt idx="29">
                  <c:v>19.179874857945833</c:v>
                </c:pt>
                <c:pt idx="30">
                  <c:v>19.48181740444852</c:v>
                </c:pt>
                <c:pt idx="31">
                  <c:v>19.677734184369911</c:v>
                </c:pt>
                <c:pt idx="32">
                  <c:v>19.803712518478278</c:v>
                </c:pt>
                <c:pt idx="33">
                  <c:v>19.885540132236201</c:v>
                </c:pt>
                <c:pt idx="34">
                  <c:v>19.941073826339561</c:v>
                </c:pt>
                <c:pt idx="35">
                  <c:v>19.982924718351569</c:v>
                </c:pt>
                <c:pt idx="36">
                  <c:v>20.020832466252614</c:v>
                </c:pt>
                <c:pt idx="37">
                  <c:v>20.063731157279108</c:v>
                </c:pt>
                <c:pt idx="38">
                  <c:v>20.121755062427837</c:v>
                </c:pt>
                <c:pt idx="39">
                  <c:v>20.208536063728388</c:v>
                </c:pt>
                <c:pt idx="40">
                  <c:v>20.344214436772745</c:v>
                </c:pt>
                <c:pt idx="41">
                  <c:v>20.55962798622204</c:v>
                </c:pt>
                <c:pt idx="42">
                  <c:v>20.902049214055296</c:v>
                </c:pt>
                <c:pt idx="43">
                  <c:v>21.442285725788679</c:v>
                </c:pt>
                <c:pt idx="44">
                  <c:v>22.281442677194718</c:v>
                </c:pt>
                <c:pt idx="45">
                  <c:v>23.553723619261291</c:v>
                </c:pt>
                <c:pt idx="46">
                  <c:v>25.425947584153619</c:v>
                </c:pt>
                <c:pt idx="47">
                  <c:v>28.122492051625159</c:v>
                </c:pt>
                <c:pt idx="48">
                  <c:v>32.065280988172162</c:v>
                </c:pt>
                <c:pt idx="49">
                  <c:v>38.31748273660196</c:v>
                </c:pt>
                <c:pt idx="50">
                  <c:v>49.999999998544808</c:v>
                </c:pt>
              </c:numCache>
            </c:numRef>
          </c:xVal>
          <c:yVal>
            <c:numRef>
              <c:f>Distribution!$AA$12:$AA$114</c:f>
              <c:numCache>
                <c:formatCode>0.000</c:formatCode>
                <c:ptCount val="103"/>
                <c:pt idx="0">
                  <c:v>2.6260869886675571</c:v>
                </c:pt>
                <c:pt idx="1">
                  <c:v>2.5051316407982851</c:v>
                </c:pt>
                <c:pt idx="2">
                  <c:v>2.3840296933706888</c:v>
                </c:pt>
                <c:pt idx="3">
                  <c:v>2.2762072864983911</c:v>
                </c:pt>
                <c:pt idx="4">
                  <c:v>2.189631424696652</c:v>
                </c:pt>
                <c:pt idx="5">
                  <c:v>2.1256197211122743</c:v>
                </c:pt>
                <c:pt idx="6">
                  <c:v>2.0810769624610548</c:v>
                </c:pt>
                <c:pt idx="7">
                  <c:v>2.0513382707540981</c:v>
                </c:pt>
                <c:pt idx="8">
                  <c:v>2.0319796658593394</c:v>
                </c:pt>
                <c:pt idx="9">
                  <c:v>2.0195081270624855</c:v>
                </c:pt>
                <c:pt idx="10">
                  <c:v>2.0114032510373887</c:v>
                </c:pt>
                <c:pt idx="11">
                  <c:v>2.0059104123474425</c:v>
                </c:pt>
                <c:pt idx="12">
                  <c:v>2.0017889345924105</c:v>
                </c:pt>
                <c:pt idx="13">
                  <c:v>1.9980847429450062</c:v>
                </c:pt>
                <c:pt idx="14">
                  <c:v>1.9939330103462396</c:v>
                </c:pt>
                <c:pt idx="15">
                  <c:v>1.9883721175668378</c:v>
                </c:pt>
                <c:pt idx="16">
                  <c:v>1.9801443292447669</c:v>
                </c:pt>
                <c:pt idx="17">
                  <c:v>1.9674641880235857</c:v>
                </c:pt>
                <c:pt idx="18">
                  <c:v>1.9477601665946145</c:v>
                </c:pt>
                <c:pt idx="19">
                  <c:v>1.9174622352028072</c:v>
                </c:pt>
                <c:pt idx="20">
                  <c:v>1.8720535205379167</c:v>
                </c:pt>
                <c:pt idx="21">
                  <c:v>1.8068252037984842</c:v>
                </c:pt>
                <c:pt idx="22">
                  <c:v>1.7188523200449657</c:v>
                </c:pt>
                <c:pt idx="23">
                  <c:v>1.6100108738685937</c:v>
                </c:pt>
                <c:pt idx="24">
                  <c:v>1.4890155643638556</c:v>
                </c:pt>
                <c:pt idx="25">
                  <c:v>1.3695062035462746</c:v>
                </c:pt>
                <c:pt idx="26">
                  <c:v>1.2643611633409697</c:v>
                </c:pt>
                <c:pt idx="27">
                  <c:v>1.1807491532825616</c:v>
                </c:pt>
                <c:pt idx="28">
                  <c:v>1.1193801890176205</c:v>
                </c:pt>
                <c:pt idx="29">
                  <c:v>1.0769000771551727</c:v>
                </c:pt>
                <c:pt idx="30">
                  <c:v>1.048643652703463</c:v>
                </c:pt>
                <c:pt idx="31">
                  <c:v>1.0303024016706128</c:v>
                </c:pt>
                <c:pt idx="32">
                  <c:v>1.0185206642117406</c:v>
                </c:pt>
                <c:pt idx="33">
                  <c:v>1.010898622812358</c:v>
                </c:pt>
                <c:pt idx="34">
                  <c:v>1.0057790851587252</c:v>
                </c:pt>
                <c:pt idx="35">
                  <c:v>1.0020031935470231</c:v>
                </c:pt>
                <c:pt idx="36">
                  <c:v>0.99869571970784365</c:v>
                </c:pt>
                <c:pt idx="37">
                  <c:v>0.99508288805634781</c:v>
                </c:pt>
                <c:pt idx="38">
                  <c:v>0.99032434643730838</c:v>
                </c:pt>
                <c:pt idx="39">
                  <c:v>0.98333543685100366</c:v>
                </c:pt>
                <c:pt idx="40">
                  <c:v>0.9725791581026616</c:v>
                </c:pt>
                <c:pt idx="41">
                  <c:v>0.9558238601100314</c:v>
                </c:pt>
                <c:pt idx="42">
                  <c:v>0.92991090841498747</c:v>
                </c:pt>
                <c:pt idx="43">
                  <c:v>0.890687866722077</c:v>
                </c:pt>
                <c:pt idx="44">
                  <c:v>0.83345430369094209</c:v>
                </c:pt>
                <c:pt idx="45">
                  <c:v>0.75442460377135589</c:v>
                </c:pt>
                <c:pt idx="46">
                  <c:v>0.65338334854214952</c:v>
                </c:pt>
                <c:pt idx="47">
                  <c:v>0.53632026280259038</c:v>
                </c:pt>
                <c:pt idx="48">
                  <c:v>0.41526219743916726</c:v>
                </c:pt>
                <c:pt idx="49">
                  <c:v>0.30387243327183067</c:v>
                </c:pt>
                <c:pt idx="50">
                  <c:v>0.21179059338548806</c:v>
                </c:pt>
              </c:numCache>
            </c:numRef>
          </c:yVal>
          <c:smooth val="1"/>
          <c:extLst>
            <c:ext xmlns:c16="http://schemas.microsoft.com/office/drawing/2014/chart" uri="{C3380CC4-5D6E-409C-BE32-E72D297353CC}">
              <c16:uniqueId val="{00000000-0CE6-4225-BECE-35EBD7402BEE}"/>
            </c:ext>
          </c:extLst>
        </c:ser>
        <c:dLbls>
          <c:showLegendKey val="0"/>
          <c:showVal val="0"/>
          <c:showCatName val="0"/>
          <c:showSerName val="0"/>
          <c:showPercent val="0"/>
          <c:showBubbleSize val="0"/>
        </c:dLbls>
        <c:axId val="157363200"/>
        <c:axId val="157365760"/>
      </c:scatterChart>
      <c:scatterChart>
        <c:scatterStyle val="smoothMarker"/>
        <c:varyColors val="0"/>
        <c:ser>
          <c:idx val="1"/>
          <c:order val="1"/>
          <c:spPr>
            <a:ln w="15875">
              <a:solidFill>
                <a:srgbClr val="1C52BE"/>
              </a:solidFill>
              <a:prstDash val="sysDash"/>
            </a:ln>
          </c:spPr>
          <c:marker>
            <c:symbol val="circle"/>
            <c:size val="4"/>
            <c:spPr>
              <a:noFill/>
              <a:ln>
                <a:solidFill>
                  <a:srgbClr val="0000FF"/>
                </a:solidFill>
                <a:prstDash val="solid"/>
              </a:ln>
            </c:spPr>
          </c:marker>
          <c:xVal>
            <c:numRef>
              <c:f>Distribution!$Y$12:$Y$158</c:f>
              <c:numCache>
                <c:formatCode>0.000</c:formatCode>
                <c:ptCount val="147"/>
                <c:pt idx="0">
                  <c:v>0</c:v>
                </c:pt>
                <c:pt idx="1">
                  <c:v>2.3004448812571354</c:v>
                </c:pt>
                <c:pt idx="2">
                  <c:v>4.3254298929241486</c:v>
                </c:pt>
                <c:pt idx="3">
                  <c:v>5.9982889695675112</c:v>
                </c:pt>
                <c:pt idx="4">
                  <c:v>7.2857926934375428</c:v>
                </c:pt>
                <c:pt idx="5">
                  <c:v>8.2150732792797498</c:v>
                </c:pt>
                <c:pt idx="6">
                  <c:v>8.852646873856429</c:v>
                </c:pt>
                <c:pt idx="7">
                  <c:v>9.2745251997257583</c:v>
                </c:pt>
                <c:pt idx="8">
                  <c:v>9.5472193221212365</c:v>
                </c:pt>
                <c:pt idx="9">
                  <c:v>9.7213898246991448</c:v>
                </c:pt>
                <c:pt idx="10">
                  <c:v>9.8327682426315732</c:v>
                </c:pt>
                <c:pt idx="11">
                  <c:v>9.9056407503667288</c:v>
                </c:pt>
                <c:pt idx="12">
                  <c:v>9.956512633652892</c:v>
                </c:pt>
                <c:pt idx="13">
                  <c:v>9.9971799951163121</c:v>
                </c:pt>
                <c:pt idx="14">
                  <c:v>10.037190483126324</c:v>
                </c:pt>
                <c:pt idx="15">
                  <c:v>10.085949620406609</c:v>
                </c:pt>
                <c:pt idx="16">
                  <c:v>10.154803957266267</c:v>
                </c:pt>
                <c:pt idx="17">
                  <c:v>10.259427917480934</c:v>
                </c:pt>
                <c:pt idx="18">
                  <c:v>10.422738817578647</c:v>
                </c:pt>
                <c:pt idx="19">
                  <c:v>10.678157336951699</c:v>
                </c:pt>
                <c:pt idx="20">
                  <c:v>11.071775054733735</c:v>
                </c:pt>
                <c:pt idx="21">
                  <c:v>11.659035268530715</c:v>
                </c:pt>
                <c:pt idx="22">
                  <c:v>12.487507292826194</c:v>
                </c:pt>
                <c:pt idx="23">
                  <c:v>13.560292513284367</c:v>
                </c:pt>
                <c:pt idx="24">
                  <c:v>14.799194350780454</c:v>
                </c:pt>
                <c:pt idx="25">
                  <c:v>16.054576211899985</c:v>
                </c:pt>
                <c:pt idx="26">
                  <c:v>17.173922529036645</c:v>
                </c:pt>
                <c:pt idx="27">
                  <c:v>18.068469061108772</c:v>
                </c:pt>
                <c:pt idx="28">
                  <c:v>18.725484058086295</c:v>
                </c:pt>
                <c:pt idx="29">
                  <c:v>19.179874857945833</c:v>
                </c:pt>
                <c:pt idx="30">
                  <c:v>19.48181740444852</c:v>
                </c:pt>
                <c:pt idx="31">
                  <c:v>19.677734184369911</c:v>
                </c:pt>
                <c:pt idx="32">
                  <c:v>19.803712518478278</c:v>
                </c:pt>
                <c:pt idx="33">
                  <c:v>19.885540132236201</c:v>
                </c:pt>
                <c:pt idx="34">
                  <c:v>19.941073826339561</c:v>
                </c:pt>
                <c:pt idx="35">
                  <c:v>19.982924718351569</c:v>
                </c:pt>
                <c:pt idx="36">
                  <c:v>20.020832466252614</c:v>
                </c:pt>
                <c:pt idx="37">
                  <c:v>20.063731157279108</c:v>
                </c:pt>
                <c:pt idx="38">
                  <c:v>20.121755062427837</c:v>
                </c:pt>
                <c:pt idx="39">
                  <c:v>20.208536063728388</c:v>
                </c:pt>
                <c:pt idx="40">
                  <c:v>20.344214436772745</c:v>
                </c:pt>
                <c:pt idx="41">
                  <c:v>20.55962798622204</c:v>
                </c:pt>
                <c:pt idx="42">
                  <c:v>20.902049214055296</c:v>
                </c:pt>
                <c:pt idx="43">
                  <c:v>21.442285725788679</c:v>
                </c:pt>
                <c:pt idx="44">
                  <c:v>22.281442677194718</c:v>
                </c:pt>
                <c:pt idx="45">
                  <c:v>23.553723619261291</c:v>
                </c:pt>
                <c:pt idx="46">
                  <c:v>25.425947584153619</c:v>
                </c:pt>
                <c:pt idx="47">
                  <c:v>28.122492051625159</c:v>
                </c:pt>
                <c:pt idx="48">
                  <c:v>32.065280988172162</c:v>
                </c:pt>
                <c:pt idx="49">
                  <c:v>38.31748273660196</c:v>
                </c:pt>
                <c:pt idx="50">
                  <c:v>49.999999998544808</c:v>
                </c:pt>
              </c:numCache>
            </c:numRef>
          </c:xVal>
          <c:yVal>
            <c:numRef>
              <c:f>Distribution!$Z$12:$Z$158</c:f>
              <c:numCache>
                <c:formatCode>0.000</c:formatCode>
                <c:ptCount val="147"/>
                <c:pt idx="0">
                  <c:v>1.8171072800722754</c:v>
                </c:pt>
                <c:pt idx="1">
                  <c:v>2.03204784726322</c:v>
                </c:pt>
                <c:pt idx="2">
                  <c:v>2.2461396194374883</c:v>
                </c:pt>
                <c:pt idx="3">
                  <c:v>2.4592837415154789</c:v>
                </c:pt>
                <c:pt idx="4">
                  <c:v>2.6715840969865385</c:v>
                </c:pt>
                <c:pt idx="5">
                  <c:v>2.8832299762264122</c:v>
                </c:pt>
                <c:pt idx="6">
                  <c:v>3.0944106420923969</c:v>
                </c:pt>
                <c:pt idx="7">
                  <c:v>3.3052786795679925</c:v>
                </c:pt>
                <c:pt idx="8">
                  <c:v>3.5159445293883027</c:v>
                </c:pt>
                <c:pt idx="9">
                  <c:v>3.7264837975794283</c:v>
                </c:pt>
                <c:pt idx="10">
                  <c:v>3.9369472311575628</c:v>
                </c:pt>
                <c:pt idx="11">
                  <c:v>4.1473695514894615</c:v>
                </c:pt>
                <c:pt idx="12">
                  <c:v>4.3577764259656462</c:v>
                </c:pt>
                <c:pt idx="13">
                  <c:v>4.568190022913047</c:v>
                </c:pt>
                <c:pt idx="14">
                  <c:v>4.7786339196049799</c:v>
                </c:pt>
                <c:pt idx="15">
                  <c:v>4.989138153184598</c:v>
                </c:pt>
                <c:pt idx="16">
                  <c:v>5.1997450596983432</c:v>
                </c:pt>
                <c:pt idx="17">
                  <c:v>5.4105160650546065</c:v>
                </c:pt>
                <c:pt idx="18">
                  <c:v>5.6215382068211683</c:v>
                </c:pt>
                <c:pt idx="19">
                  <c:v>5.8329258111339772</c:v>
                </c:pt>
                <c:pt idx="20">
                  <c:v>6.0448065155412518</c:v>
                </c:pt>
                <c:pt idx="21">
                  <c:v>6.2572748607294768</c:v>
                </c:pt>
                <c:pt idx="22">
                  <c:v>6.4703073210120445</c:v>
                </c:pt>
                <c:pt idx="23">
                  <c:v>6.6836852438660559</c:v>
                </c:pt>
                <c:pt idx="24">
                  <c:v>6.8970304591995308</c:v>
                </c:pt>
                <c:pt idx="25">
                  <c:v>7.1099804688999608</c:v>
                </c:pt>
                <c:pt idx="26">
                  <c:v>7.322349098093679</c:v>
                </c:pt>
                <c:pt idx="27">
                  <c:v>7.5341386806955644</c:v>
                </c:pt>
                <c:pt idx="28">
                  <c:v>7.7454546772478645</c:v>
                </c:pt>
                <c:pt idx="29">
                  <c:v>7.9564249462523851</c:v>
                </c:pt>
                <c:pt idx="30">
                  <c:v>8.1671594790759396</c:v>
                </c:pt>
                <c:pt idx="31">
                  <c:v>8.377740060160809</c:v>
                </c:pt>
                <c:pt idx="32">
                  <c:v>8.5882232426729104</c:v>
                </c:pt>
                <c:pt idx="33">
                  <c:v>8.7986468997393832</c:v>
                </c:pt>
                <c:pt idx="34">
                  <c:v>9.0090364657241615</c:v>
                </c:pt>
                <c:pt idx="35">
                  <c:v>9.2194099000282304</c:v>
                </c:pt>
                <c:pt idx="36">
                  <c:v>9.4297815209616029</c:v>
                </c:pt>
                <c:pt idx="37">
                  <c:v>9.6401651822701666</c:v>
                </c:pt>
                <c:pt idx="38">
                  <c:v>9.8505773086917063</c:v>
                </c:pt>
                <c:pt idx="39">
                  <c:v>10.061040246754805</c:v>
                </c:pt>
                <c:pt idx="40">
                  <c:v>10.271586190317612</c:v>
                </c:pt>
                <c:pt idx="41">
                  <c:v>10.482261360601155</c:v>
                </c:pt>
                <c:pt idx="42">
                  <c:v>10.693128606202979</c:v>
                </c:pt>
                <c:pt idx="43">
                  <c:v>10.904263374595613</c:v>
                </c:pt>
                <c:pt idx="44">
                  <c:v>11.115733453073027</c:v>
                </c:pt>
                <c:pt idx="45">
                  <c:v>11.327553158845967</c:v>
                </c:pt>
                <c:pt idx="46">
                  <c:v>11.539624057245398</c:v>
                </c:pt>
                <c:pt idx="47">
                  <c:v>11.751718173325493</c:v>
                </c:pt>
                <c:pt idx="48">
                  <c:v>11.963554366049292</c:v>
                </c:pt>
                <c:pt idx="49">
                  <c:v>12.174908797581793</c:v>
                </c:pt>
                <c:pt idx="50">
                  <c:v>12.385643935645515</c:v>
                </c:pt>
              </c:numCache>
            </c:numRef>
          </c:yVal>
          <c:smooth val="1"/>
          <c:extLst>
            <c:ext xmlns:c16="http://schemas.microsoft.com/office/drawing/2014/chart" uri="{C3380CC4-5D6E-409C-BE32-E72D297353CC}">
              <c16:uniqueId val="{00000001-0CE6-4225-BECE-35EBD7402BEE}"/>
            </c:ext>
          </c:extLst>
        </c:ser>
        <c:dLbls>
          <c:showLegendKey val="0"/>
          <c:showVal val="0"/>
          <c:showCatName val="0"/>
          <c:showSerName val="0"/>
          <c:showPercent val="0"/>
          <c:showBubbleSize val="0"/>
        </c:dLbls>
        <c:axId val="157369472"/>
        <c:axId val="157367680"/>
      </c:scatterChart>
      <c:valAx>
        <c:axId val="157363200"/>
        <c:scaling>
          <c:orientation val="minMax"/>
        </c:scaling>
        <c:delete val="0"/>
        <c:axPos val="b"/>
        <c:majorGridlines/>
        <c:title>
          <c:tx>
            <c:rich>
              <a:bodyPr/>
              <a:lstStyle/>
              <a:p>
                <a:pPr>
                  <a:defRPr sz="1200" b="1" i="0" u="none" strike="noStrike" baseline="0">
                    <a:solidFill>
                      <a:srgbClr val="000000"/>
                    </a:solidFill>
                    <a:latin typeface="Arial"/>
                    <a:ea typeface="Arial"/>
                    <a:cs typeface="Arial"/>
                  </a:defRPr>
                </a:pPr>
                <a:r>
                  <a:rPr lang="pt-BR"/>
                  <a:t>Volume (mL)</a:t>
                </a:r>
              </a:p>
            </c:rich>
          </c:tx>
          <c:layout>
            <c:manualLayout>
              <c:xMode val="edge"/>
              <c:yMode val="edge"/>
              <c:x val="0.44629948671559194"/>
              <c:y val="0.94280852698290751"/>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57365760"/>
        <c:crosses val="autoZero"/>
        <c:crossBetween val="midCat"/>
      </c:valAx>
      <c:valAx>
        <c:axId val="157365760"/>
        <c:scaling>
          <c:orientation val="minMax"/>
        </c:scaling>
        <c:delete val="0"/>
        <c:axPos val="l"/>
        <c:majorGridlines>
          <c:spPr>
            <a:ln w="3175">
              <a:solidFill>
                <a:srgbClr val="000000"/>
              </a:solidFill>
              <a:prstDash val="solid"/>
            </a:ln>
          </c:spPr>
        </c:majorGridlines>
        <c:title>
          <c:tx>
            <c:rich>
              <a:bodyPr/>
              <a:lstStyle/>
              <a:p>
                <a:pPr>
                  <a:defRPr sz="1050" b="1" i="0" u="none" strike="noStrike" baseline="0">
                    <a:solidFill>
                      <a:srgbClr val="000000"/>
                    </a:solidFill>
                    <a:latin typeface="Arial"/>
                    <a:ea typeface="Arial"/>
                    <a:cs typeface="Arial"/>
                  </a:defRPr>
                </a:pPr>
                <a:r>
                  <a:rPr lang="pt-BR"/>
                  <a:t>average protonation</a:t>
                </a:r>
              </a:p>
            </c:rich>
          </c:tx>
          <c:layout>
            <c:manualLayout>
              <c:xMode val="edge"/>
              <c:yMode val="edge"/>
              <c:x val="8.7977906155986708E-3"/>
              <c:y val="0.38141860316242243"/>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57363200"/>
        <c:crosses val="autoZero"/>
        <c:crossBetween val="midCat"/>
      </c:valAx>
      <c:valAx>
        <c:axId val="157367680"/>
        <c:scaling>
          <c:orientation val="minMax"/>
        </c:scaling>
        <c:delete val="0"/>
        <c:axPos val="r"/>
        <c:numFmt formatCode="0" sourceLinked="0"/>
        <c:majorTickMark val="out"/>
        <c:minorTickMark val="none"/>
        <c:tickLblPos val="nextTo"/>
        <c:crossAx val="157369472"/>
        <c:crosses val="max"/>
        <c:crossBetween val="midCat"/>
      </c:valAx>
      <c:valAx>
        <c:axId val="157369472"/>
        <c:scaling>
          <c:orientation val="minMax"/>
        </c:scaling>
        <c:delete val="1"/>
        <c:axPos val="b"/>
        <c:numFmt formatCode="0.000" sourceLinked="1"/>
        <c:majorTickMark val="out"/>
        <c:minorTickMark val="none"/>
        <c:tickLblPos val="nextTo"/>
        <c:crossAx val="157367680"/>
        <c:crosses val="autoZero"/>
        <c:crossBetween val="midCat"/>
      </c:valAx>
      <c:spPr>
        <a:noFill/>
        <a:ln w="12700">
          <a:solidFill>
            <a:schemeClr val="tx1"/>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0.98425196899999956" l="0.78740157499999996" r="0.78740157499999996" t="0.98425196899999956" header="0.49212598500001165" footer="0.49212598500001165"/>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i="0" u="none" strike="noStrike" baseline="0">
                <a:solidFill>
                  <a:srgbClr val="000000"/>
                </a:solidFill>
                <a:latin typeface="Arial"/>
                <a:ea typeface="Arial"/>
                <a:cs typeface="Arial"/>
              </a:defRPr>
            </a:pPr>
            <a:r>
              <a:rPr lang="pt-BR" sz="1200"/>
              <a:t>Distribution of HiB species</a:t>
            </a:r>
          </a:p>
        </c:rich>
      </c:tx>
      <c:layout>
        <c:manualLayout>
          <c:xMode val="edge"/>
          <c:yMode val="edge"/>
          <c:x val="0.11432329782306618"/>
          <c:y val="1.3192612137203158E-2"/>
        </c:manualLayout>
      </c:layout>
      <c:overlay val="0"/>
      <c:spPr>
        <a:noFill/>
        <a:ln w="25400">
          <a:noFill/>
        </a:ln>
      </c:spPr>
    </c:title>
    <c:autoTitleDeleted val="0"/>
    <c:plotArea>
      <c:layout>
        <c:manualLayout>
          <c:layoutTarget val="inner"/>
          <c:xMode val="edge"/>
          <c:yMode val="edge"/>
          <c:x val="0.11671477952397709"/>
          <c:y val="8.7719512941320438E-2"/>
          <c:w val="0.85158561356384443"/>
          <c:h val="0.7568940830937062"/>
        </c:manualLayout>
      </c:layout>
      <c:scatterChart>
        <c:scatterStyle val="smoothMarker"/>
        <c:varyColors val="0"/>
        <c:ser>
          <c:idx val="1"/>
          <c:order val="0"/>
          <c:tx>
            <c:v>Alpha B</c:v>
          </c:tx>
          <c:spPr>
            <a:ln w="25400">
              <a:solidFill>
                <a:srgbClr val="FF0000"/>
              </a:solidFill>
              <a:prstDash val="solid"/>
            </a:ln>
          </c:spPr>
          <c:marker>
            <c:symbol val="none"/>
          </c:marker>
          <c:xVal>
            <c:numRef>
              <c:f>Distribution!$O$12:$O$82</c:f>
              <c:numCache>
                <c:formatCode>0.000</c:formatCode>
                <c:ptCount val="71"/>
                <c:pt idx="0">
                  <c:v>0</c:v>
                </c:pt>
                <c:pt idx="1">
                  <c:v>0.2</c:v>
                </c:pt>
                <c:pt idx="2">
                  <c:v>0.4</c:v>
                </c:pt>
                <c:pt idx="3">
                  <c:v>0.60000000000000009</c:v>
                </c:pt>
                <c:pt idx="4">
                  <c:v>0.8</c:v>
                </c:pt>
                <c:pt idx="5">
                  <c:v>1</c:v>
                </c:pt>
                <c:pt idx="6">
                  <c:v>1.2</c:v>
                </c:pt>
                <c:pt idx="7">
                  <c:v>1.4</c:v>
                </c:pt>
                <c:pt idx="8">
                  <c:v>1.5999999999999999</c:v>
                </c:pt>
                <c:pt idx="9">
                  <c:v>1.7999999999999998</c:v>
                </c:pt>
                <c:pt idx="10">
                  <c:v>1.9999999999999998</c:v>
                </c:pt>
                <c:pt idx="11">
                  <c:v>2.1999999999999997</c:v>
                </c:pt>
                <c:pt idx="12">
                  <c:v>2.4</c:v>
                </c:pt>
                <c:pt idx="13">
                  <c:v>2.6</c:v>
                </c:pt>
                <c:pt idx="14">
                  <c:v>2.8000000000000003</c:v>
                </c:pt>
                <c:pt idx="15">
                  <c:v>3.0000000000000004</c:v>
                </c:pt>
                <c:pt idx="16">
                  <c:v>3.2000000000000006</c:v>
                </c:pt>
                <c:pt idx="17">
                  <c:v>3.4000000000000008</c:v>
                </c:pt>
                <c:pt idx="18">
                  <c:v>3.600000000000001</c:v>
                </c:pt>
                <c:pt idx="19">
                  <c:v>3.8000000000000012</c:v>
                </c:pt>
                <c:pt idx="20">
                  <c:v>4.0000000000000009</c:v>
                </c:pt>
                <c:pt idx="21">
                  <c:v>4.2000000000000011</c:v>
                </c:pt>
                <c:pt idx="22">
                  <c:v>4.4000000000000012</c:v>
                </c:pt>
                <c:pt idx="23">
                  <c:v>4.6000000000000014</c:v>
                </c:pt>
                <c:pt idx="24">
                  <c:v>4.8000000000000016</c:v>
                </c:pt>
                <c:pt idx="25">
                  <c:v>5.0000000000000018</c:v>
                </c:pt>
                <c:pt idx="26">
                  <c:v>5.200000000000002</c:v>
                </c:pt>
                <c:pt idx="27">
                  <c:v>5.4000000000000021</c:v>
                </c:pt>
                <c:pt idx="28">
                  <c:v>5.6000000000000023</c:v>
                </c:pt>
                <c:pt idx="29">
                  <c:v>5.8000000000000025</c:v>
                </c:pt>
                <c:pt idx="30">
                  <c:v>6.0000000000000027</c:v>
                </c:pt>
                <c:pt idx="31">
                  <c:v>6.2000000000000028</c:v>
                </c:pt>
                <c:pt idx="32">
                  <c:v>6.400000000000003</c:v>
                </c:pt>
                <c:pt idx="33">
                  <c:v>6.6000000000000032</c:v>
                </c:pt>
                <c:pt idx="34">
                  <c:v>6.8000000000000034</c:v>
                </c:pt>
                <c:pt idx="35">
                  <c:v>7.0000000000000036</c:v>
                </c:pt>
                <c:pt idx="36">
                  <c:v>7.2000000000000037</c:v>
                </c:pt>
                <c:pt idx="37">
                  <c:v>7.4000000000000039</c:v>
                </c:pt>
                <c:pt idx="38">
                  <c:v>7.6000000000000041</c:v>
                </c:pt>
                <c:pt idx="39">
                  <c:v>7.8000000000000043</c:v>
                </c:pt>
                <c:pt idx="40">
                  <c:v>8.0000000000000036</c:v>
                </c:pt>
                <c:pt idx="41">
                  <c:v>8.2000000000000028</c:v>
                </c:pt>
                <c:pt idx="42">
                  <c:v>8.4000000000000021</c:v>
                </c:pt>
                <c:pt idx="43">
                  <c:v>8.6000000000000014</c:v>
                </c:pt>
                <c:pt idx="44">
                  <c:v>8.8000000000000007</c:v>
                </c:pt>
                <c:pt idx="45">
                  <c:v>9</c:v>
                </c:pt>
                <c:pt idx="46">
                  <c:v>9.1999999999999993</c:v>
                </c:pt>
                <c:pt idx="47">
                  <c:v>9.3999999999999986</c:v>
                </c:pt>
                <c:pt idx="48">
                  <c:v>9.5999999999999979</c:v>
                </c:pt>
                <c:pt idx="49">
                  <c:v>9.7999999999999972</c:v>
                </c:pt>
                <c:pt idx="50">
                  <c:v>9.9999999999999964</c:v>
                </c:pt>
                <c:pt idx="51">
                  <c:v>10.199999999999996</c:v>
                </c:pt>
                <c:pt idx="52">
                  <c:v>10.399999999999995</c:v>
                </c:pt>
                <c:pt idx="53">
                  <c:v>10.599999999999994</c:v>
                </c:pt>
                <c:pt idx="54">
                  <c:v>10.799999999999994</c:v>
                </c:pt>
                <c:pt idx="55">
                  <c:v>10.999999999999993</c:v>
                </c:pt>
                <c:pt idx="56">
                  <c:v>11.199999999999992</c:v>
                </c:pt>
                <c:pt idx="57">
                  <c:v>11.399999999999991</c:v>
                </c:pt>
                <c:pt idx="58">
                  <c:v>11.599999999999991</c:v>
                </c:pt>
                <c:pt idx="59">
                  <c:v>11.79999999999999</c:v>
                </c:pt>
                <c:pt idx="60">
                  <c:v>11.999999999999989</c:v>
                </c:pt>
                <c:pt idx="61">
                  <c:v>12.199999999999989</c:v>
                </c:pt>
                <c:pt idx="62">
                  <c:v>12.399999999999988</c:v>
                </c:pt>
                <c:pt idx="63">
                  <c:v>12.599999999999987</c:v>
                </c:pt>
                <c:pt idx="64">
                  <c:v>12.799999999999986</c:v>
                </c:pt>
                <c:pt idx="65">
                  <c:v>12.999999999999986</c:v>
                </c:pt>
                <c:pt idx="66">
                  <c:v>13.199999999999985</c:v>
                </c:pt>
                <c:pt idx="67">
                  <c:v>13.399999999999984</c:v>
                </c:pt>
                <c:pt idx="68">
                  <c:v>13.599999999999984</c:v>
                </c:pt>
                <c:pt idx="69">
                  <c:v>13.799999999999983</c:v>
                </c:pt>
                <c:pt idx="70">
                  <c:v>13.999999999999982</c:v>
                </c:pt>
              </c:numCache>
            </c:numRef>
          </c:xVal>
          <c:yVal>
            <c:numRef>
              <c:f>Distribution!$AN$12:$AN$82</c:f>
              <c:numCache>
                <c:formatCode>0.000</c:formatCode>
                <c:ptCount val="71"/>
                <c:pt idx="2">
                  <c:v>-19.543519061253633</c:v>
                </c:pt>
                <c:pt idx="3">
                  <c:v>-18.949162431686879</c:v>
                </c:pt>
                <c:pt idx="4">
                  <c:v>-18.357956951614412</c:v>
                </c:pt>
                <c:pt idx="5">
                  <c:v>-17.771538532880388</c:v>
                </c:pt>
                <c:pt idx="6">
                  <c:v>-17.192228175907097</c:v>
                </c:pt>
                <c:pt idx="7">
                  <c:v>-16.623123150408691</c:v>
                </c:pt>
                <c:pt idx="8">
                  <c:v>-16.067986842855802</c:v>
                </c:pt>
                <c:pt idx="9">
                  <c:v>-15.530775170977027</c:v>
                </c:pt>
                <c:pt idx="10">
                  <c:v>-15.014758815849069</c:v>
                </c:pt>
                <c:pt idx="11">
                  <c:v>-14.521519325895209</c:v>
                </c:pt>
                <c:pt idx="12">
                  <c:v>-14.050377379605333</c:v>
                </c:pt>
                <c:pt idx="13">
                  <c:v>-13.59864566465169</c:v>
                </c:pt>
                <c:pt idx="14">
                  <c:v>-13.162527322303205</c:v>
                </c:pt>
                <c:pt idx="15">
                  <c:v>-12.738101059616852</c:v>
                </c:pt>
                <c:pt idx="16">
                  <c:v>-12.321970600675307</c:v>
                </c:pt>
                <c:pt idx="17">
                  <c:v>-11.911507401845244</c:v>
                </c:pt>
                <c:pt idx="18">
                  <c:v>-11.504823829004481</c:v>
                </c:pt>
                <c:pt idx="19">
                  <c:v>-11.100633328766268</c:v>
                </c:pt>
                <c:pt idx="20">
                  <c:v>-10.698095509744979</c:v>
                </c:pt>
                <c:pt idx="21">
                  <c:v>-10.296688267467989</c:v>
                </c:pt>
                <c:pt idx="22">
                  <c:v>-9.8961175637184358</c:v>
                </c:pt>
                <c:pt idx="23">
                  <c:v>-9.4962629466925925</c:v>
                </c:pt>
                <c:pt idx="24">
                  <c:v>-9.0971544660595107</c:v>
                </c:pt>
                <c:pt idx="25">
                  <c:v>-8.6989784739756875</c:v>
                </c:pt>
                <c:pt idx="26">
                  <c:v>-8.3021129787936712</c:v>
                </c:pt>
                <c:pt idx="27">
                  <c:v>-7.9071960850879517</c:v>
                </c:pt>
                <c:pt idx="28">
                  <c:v>-7.5152316429056443</c:v>
                </c:pt>
                <c:pt idx="29">
                  <c:v>-7.1277306138147569</c:v>
                </c:pt>
                <c:pt idx="30">
                  <c:v>-6.7468675867427965</c:v>
                </c:pt>
                <c:pt idx="31">
                  <c:v>-6.3755903919321719</c:v>
                </c:pt>
                <c:pt idx="32">
                  <c:v>-6.0175585083608913</c:v>
                </c:pt>
                <c:pt idx="33">
                  <c:v>-5.6767453905831395</c:v>
                </c:pt>
                <c:pt idx="34">
                  <c:v>-5.3566252953574089</c:v>
                </c:pt>
                <c:pt idx="35">
                  <c:v>-5.0591546784839867</c:v>
                </c:pt>
                <c:pt idx="36">
                  <c:v>-4.7840780059809118</c:v>
                </c:pt>
                <c:pt idx="37">
                  <c:v>-4.5290231441293436</c:v>
                </c:pt>
                <c:pt idx="38">
                  <c:v>-4.2903183278535764</c:v>
                </c:pt>
                <c:pt idx="39">
                  <c:v>-4.0640027581893738</c:v>
                </c:pt>
                <c:pt idx="40">
                  <c:v>-3.8465530709541502</c:v>
                </c:pt>
                <c:pt idx="41">
                  <c:v>-3.6351938018908609</c:v>
                </c:pt>
                <c:pt idx="42">
                  <c:v>-3.42790709592082</c:v>
                </c:pt>
                <c:pt idx="43">
                  <c:v>-3.2233039269818167</c:v>
                </c:pt>
                <c:pt idx="44">
                  <c:v>-3.0204667132260674</c:v>
                </c:pt>
                <c:pt idx="45">
                  <c:v>-2.8188138634981055</c:v>
                </c:pt>
                <c:pt idx="46">
                  <c:v>-2.6180007410021977</c:v>
                </c:pt>
                <c:pt idx="47">
                  <c:v>-2.4178561005100265</c:v>
                </c:pt>
                <c:pt idx="48">
                  <c:v>-2.2183491469805219</c:v>
                </c:pt>
                <c:pt idx="49">
                  <c:v>-2.0195835157446624</c:v>
                </c:pt>
                <c:pt idx="50">
                  <c:v>-1.8218174144781514</c:v>
                </c:pt>
                <c:pt idx="51">
                  <c:v>-1.6255123683075723</c:v>
                </c:pt>
                <c:pt idx="52">
                  <c:v>-1.4314152564117639</c:v>
                </c:pt>
                <c:pt idx="53">
                  <c:v>-1.2406773512080227</c:v>
                </c:pt>
                <c:pt idx="54">
                  <c:v>-1.0550050282770729</c:v>
                </c:pt>
                <c:pt idx="55">
                  <c:v>-0.87681144349309437</c:v>
                </c:pt>
                <c:pt idx="56">
                  <c:v>-0.7092890271783906</c:v>
                </c:pt>
                <c:pt idx="57">
                  <c:v>-0.55625963564298297</c:v>
                </c:pt>
                <c:pt idx="58">
                  <c:v>-0.42164487987492255</c:v>
                </c:pt>
                <c:pt idx="59">
                  <c:v>-0.30854755254065785</c:v>
                </c:pt>
                <c:pt idx="60">
                  <c:v>-0.21826987057582137</c:v>
                </c:pt>
                <c:pt idx="61">
                  <c:v>-0.14983687246249119</c:v>
                </c:pt>
                <c:pt idx="62">
                  <c:v>-0.10035625359870899</c:v>
                </c:pt>
                <c:pt idx="63">
                  <c:v>-6.5961416576819976E-2</c:v>
                </c:pt>
                <c:pt idx="64">
                  <c:v>-4.2768880988888119E-2</c:v>
                </c:pt>
                <c:pt idx="65">
                  <c:v>-2.7471324686481727E-2</c:v>
                </c:pt>
                <c:pt idx="66">
                  <c:v>-1.7534398851584861E-2</c:v>
                </c:pt>
                <c:pt idx="67">
                  <c:v>-1.1145583565406543E-2</c:v>
                </c:pt>
                <c:pt idx="68">
                  <c:v>-7.0656137236618519E-3</c:v>
                </c:pt>
                <c:pt idx="69">
                  <c:v>-4.4714647850776111E-3</c:v>
                </c:pt>
                <c:pt idx="70">
                  <c:v>-2.8266585844067115E-3</c:v>
                </c:pt>
              </c:numCache>
            </c:numRef>
          </c:yVal>
          <c:smooth val="1"/>
          <c:extLst>
            <c:ext xmlns:c16="http://schemas.microsoft.com/office/drawing/2014/chart" uri="{C3380CC4-5D6E-409C-BE32-E72D297353CC}">
              <c16:uniqueId val="{00000000-4A0D-4A37-9E15-7CA363933426}"/>
            </c:ext>
          </c:extLst>
        </c:ser>
        <c:ser>
          <c:idx val="0"/>
          <c:order val="1"/>
          <c:tx>
            <c:v>Alpha HB</c:v>
          </c:tx>
          <c:spPr>
            <a:ln w="25400">
              <a:solidFill>
                <a:srgbClr val="000000"/>
              </a:solidFill>
              <a:prstDash val="solid"/>
            </a:ln>
          </c:spPr>
          <c:marker>
            <c:symbol val="square"/>
            <c:size val="6"/>
            <c:spPr>
              <a:noFill/>
              <a:ln w="9525">
                <a:noFill/>
              </a:ln>
            </c:spPr>
          </c:marker>
          <c:xVal>
            <c:numRef>
              <c:f>Distribution!$O$12:$O$82</c:f>
              <c:numCache>
                <c:formatCode>0.000</c:formatCode>
                <c:ptCount val="71"/>
                <c:pt idx="0">
                  <c:v>0</c:v>
                </c:pt>
                <c:pt idx="1">
                  <c:v>0.2</c:v>
                </c:pt>
                <c:pt idx="2">
                  <c:v>0.4</c:v>
                </c:pt>
                <c:pt idx="3">
                  <c:v>0.60000000000000009</c:v>
                </c:pt>
                <c:pt idx="4">
                  <c:v>0.8</c:v>
                </c:pt>
                <c:pt idx="5">
                  <c:v>1</c:v>
                </c:pt>
                <c:pt idx="6">
                  <c:v>1.2</c:v>
                </c:pt>
                <c:pt idx="7">
                  <c:v>1.4</c:v>
                </c:pt>
                <c:pt idx="8">
                  <c:v>1.5999999999999999</c:v>
                </c:pt>
                <c:pt idx="9">
                  <c:v>1.7999999999999998</c:v>
                </c:pt>
                <c:pt idx="10">
                  <c:v>1.9999999999999998</c:v>
                </c:pt>
                <c:pt idx="11">
                  <c:v>2.1999999999999997</c:v>
                </c:pt>
                <c:pt idx="12">
                  <c:v>2.4</c:v>
                </c:pt>
                <c:pt idx="13">
                  <c:v>2.6</c:v>
                </c:pt>
                <c:pt idx="14">
                  <c:v>2.8000000000000003</c:v>
                </c:pt>
                <c:pt idx="15">
                  <c:v>3.0000000000000004</c:v>
                </c:pt>
                <c:pt idx="16">
                  <c:v>3.2000000000000006</c:v>
                </c:pt>
                <c:pt idx="17">
                  <c:v>3.4000000000000008</c:v>
                </c:pt>
                <c:pt idx="18">
                  <c:v>3.600000000000001</c:v>
                </c:pt>
                <c:pt idx="19">
                  <c:v>3.8000000000000012</c:v>
                </c:pt>
                <c:pt idx="20">
                  <c:v>4.0000000000000009</c:v>
                </c:pt>
                <c:pt idx="21">
                  <c:v>4.2000000000000011</c:v>
                </c:pt>
                <c:pt idx="22">
                  <c:v>4.4000000000000012</c:v>
                </c:pt>
                <c:pt idx="23">
                  <c:v>4.6000000000000014</c:v>
                </c:pt>
                <c:pt idx="24">
                  <c:v>4.8000000000000016</c:v>
                </c:pt>
                <c:pt idx="25">
                  <c:v>5.0000000000000018</c:v>
                </c:pt>
                <c:pt idx="26">
                  <c:v>5.200000000000002</c:v>
                </c:pt>
                <c:pt idx="27">
                  <c:v>5.4000000000000021</c:v>
                </c:pt>
                <c:pt idx="28">
                  <c:v>5.6000000000000023</c:v>
                </c:pt>
                <c:pt idx="29">
                  <c:v>5.8000000000000025</c:v>
                </c:pt>
                <c:pt idx="30">
                  <c:v>6.0000000000000027</c:v>
                </c:pt>
                <c:pt idx="31">
                  <c:v>6.2000000000000028</c:v>
                </c:pt>
                <c:pt idx="32">
                  <c:v>6.400000000000003</c:v>
                </c:pt>
                <c:pt idx="33">
                  <c:v>6.6000000000000032</c:v>
                </c:pt>
                <c:pt idx="34">
                  <c:v>6.8000000000000034</c:v>
                </c:pt>
                <c:pt idx="35">
                  <c:v>7.0000000000000036</c:v>
                </c:pt>
                <c:pt idx="36">
                  <c:v>7.2000000000000037</c:v>
                </c:pt>
                <c:pt idx="37">
                  <c:v>7.4000000000000039</c:v>
                </c:pt>
                <c:pt idx="38">
                  <c:v>7.6000000000000041</c:v>
                </c:pt>
                <c:pt idx="39">
                  <c:v>7.8000000000000043</c:v>
                </c:pt>
                <c:pt idx="40">
                  <c:v>8.0000000000000036</c:v>
                </c:pt>
                <c:pt idx="41">
                  <c:v>8.2000000000000028</c:v>
                </c:pt>
                <c:pt idx="42">
                  <c:v>8.4000000000000021</c:v>
                </c:pt>
                <c:pt idx="43">
                  <c:v>8.6000000000000014</c:v>
                </c:pt>
                <c:pt idx="44">
                  <c:v>8.8000000000000007</c:v>
                </c:pt>
                <c:pt idx="45">
                  <c:v>9</c:v>
                </c:pt>
                <c:pt idx="46">
                  <c:v>9.1999999999999993</c:v>
                </c:pt>
                <c:pt idx="47">
                  <c:v>9.3999999999999986</c:v>
                </c:pt>
                <c:pt idx="48">
                  <c:v>9.5999999999999979</c:v>
                </c:pt>
                <c:pt idx="49">
                  <c:v>9.7999999999999972</c:v>
                </c:pt>
                <c:pt idx="50">
                  <c:v>9.9999999999999964</c:v>
                </c:pt>
                <c:pt idx="51">
                  <c:v>10.199999999999996</c:v>
                </c:pt>
                <c:pt idx="52">
                  <c:v>10.399999999999995</c:v>
                </c:pt>
                <c:pt idx="53">
                  <c:v>10.599999999999994</c:v>
                </c:pt>
                <c:pt idx="54">
                  <c:v>10.799999999999994</c:v>
                </c:pt>
                <c:pt idx="55">
                  <c:v>10.999999999999993</c:v>
                </c:pt>
                <c:pt idx="56">
                  <c:v>11.199999999999992</c:v>
                </c:pt>
                <c:pt idx="57">
                  <c:v>11.399999999999991</c:v>
                </c:pt>
                <c:pt idx="58">
                  <c:v>11.599999999999991</c:v>
                </c:pt>
                <c:pt idx="59">
                  <c:v>11.79999999999999</c:v>
                </c:pt>
                <c:pt idx="60">
                  <c:v>11.999999999999989</c:v>
                </c:pt>
                <c:pt idx="61">
                  <c:v>12.199999999999989</c:v>
                </c:pt>
                <c:pt idx="62">
                  <c:v>12.399999999999988</c:v>
                </c:pt>
                <c:pt idx="63">
                  <c:v>12.599999999999987</c:v>
                </c:pt>
                <c:pt idx="64">
                  <c:v>12.799999999999986</c:v>
                </c:pt>
                <c:pt idx="65">
                  <c:v>12.999999999999986</c:v>
                </c:pt>
                <c:pt idx="66">
                  <c:v>13.199999999999985</c:v>
                </c:pt>
                <c:pt idx="67">
                  <c:v>13.399999999999984</c:v>
                </c:pt>
                <c:pt idx="68">
                  <c:v>13.599999999999984</c:v>
                </c:pt>
                <c:pt idx="69">
                  <c:v>13.799999999999983</c:v>
                </c:pt>
                <c:pt idx="70">
                  <c:v>13.999999999999982</c:v>
                </c:pt>
              </c:numCache>
            </c:numRef>
          </c:xVal>
          <c:yVal>
            <c:numRef>
              <c:f>Distribution!$AO$12:$AO$82</c:f>
              <c:numCache>
                <c:formatCode>0.000</c:formatCode>
                <c:ptCount val="71"/>
                <c:pt idx="0">
                  <c:v>-8.9228009792610283</c:v>
                </c:pt>
                <c:pt idx="1">
                  <c:v>-8.5250881166298509</c:v>
                </c:pt>
                <c:pt idx="2">
                  <c:v>-8.1286870329044589</c:v>
                </c:pt>
                <c:pt idx="3">
                  <c:v>-7.7343291085399981</c:v>
                </c:pt>
                <c:pt idx="4">
                  <c:v>-7.3431223336698297</c:v>
                </c:pt>
                <c:pt idx="5">
                  <c:v>-6.9567026201381053</c:v>
                </c:pt>
                <c:pt idx="6">
                  <c:v>-6.5773909683671103</c:v>
                </c:pt>
                <c:pt idx="7">
                  <c:v>-6.208284648071003</c:v>
                </c:pt>
                <c:pt idx="8">
                  <c:v>-5.8531470457204069</c:v>
                </c:pt>
                <c:pt idx="9">
                  <c:v>-5.5159340790439293</c:v>
                </c:pt>
                <c:pt idx="10">
                  <c:v>-5.1999164291182689</c:v>
                </c:pt>
                <c:pt idx="11">
                  <c:v>-4.9066756443667074</c:v>
                </c:pt>
                <c:pt idx="12">
                  <c:v>-4.6355324032791252</c:v>
                </c:pt>
                <c:pt idx="13">
                  <c:v>-4.3837993935277799</c:v>
                </c:pt>
                <c:pt idx="14">
                  <c:v>-4.1476797563815948</c:v>
                </c:pt>
                <c:pt idx="15">
                  <c:v>-3.9232521988975373</c:v>
                </c:pt>
                <c:pt idx="16">
                  <c:v>-3.7071204451582895</c:v>
                </c:pt>
                <c:pt idx="17">
                  <c:v>-3.4966559515305233</c:v>
                </c:pt>
                <c:pt idx="18">
                  <c:v>-3.2899710838920595</c:v>
                </c:pt>
                <c:pt idx="19">
                  <c:v>-3.0857792888561431</c:v>
                </c:pt>
                <c:pt idx="20">
                  <c:v>-2.8832401750371495</c:v>
                </c:pt>
                <c:pt idx="21">
                  <c:v>-2.6818316379624569</c:v>
                </c:pt>
                <c:pt idx="22">
                  <c:v>-2.4812596394152018</c:v>
                </c:pt>
                <c:pt idx="23">
                  <c:v>-2.2814037275916559</c:v>
                </c:pt>
                <c:pt idx="24">
                  <c:v>-2.0822939521608701</c:v>
                </c:pt>
                <c:pt idx="25">
                  <c:v>-1.8841166652793448</c:v>
                </c:pt>
                <c:pt idx="26">
                  <c:v>-1.6872498752996254</c:v>
                </c:pt>
                <c:pt idx="27">
                  <c:v>-1.4923316867962035</c:v>
                </c:pt>
                <c:pt idx="28">
                  <c:v>-1.3003659498161928</c:v>
                </c:pt>
                <c:pt idx="29">
                  <c:v>-1.1128636259276024</c:v>
                </c:pt>
                <c:pt idx="30">
                  <c:v>-0.93199930405793974</c:v>
                </c:pt>
                <c:pt idx="31">
                  <c:v>-0.76072081444961248</c:v>
                </c:pt>
                <c:pt idx="32">
                  <c:v>-0.60268763608062947</c:v>
                </c:pt>
                <c:pt idx="33">
                  <c:v>-0.46187322350517535</c:v>
                </c:pt>
                <c:pt idx="34">
                  <c:v>-0.34175183348174154</c:v>
                </c:pt>
                <c:pt idx="35">
                  <c:v>-0.24427992181061692</c:v>
                </c:pt>
                <c:pt idx="36">
                  <c:v>-0.16920195450983874</c:v>
                </c:pt>
                <c:pt idx="37">
                  <c:v>-0.11414579786056804</c:v>
                </c:pt>
                <c:pt idx="38">
                  <c:v>-7.5439686787097823E-2</c:v>
                </c:pt>
                <c:pt idx="39">
                  <c:v>-4.9122822325192696E-2</c:v>
                </c:pt>
                <c:pt idx="40">
                  <c:v>-3.1671840292264788E-2</c:v>
                </c:pt>
                <c:pt idx="41">
                  <c:v>-2.0311276431271709E-2</c:v>
                </c:pt>
                <c:pt idx="42">
                  <c:v>-1.3023275663527704E-2</c:v>
                </c:pt>
                <c:pt idx="43">
                  <c:v>-8.4188119268200669E-3</c:v>
                </c:pt>
                <c:pt idx="44">
                  <c:v>-5.5803033733675582E-3</c:v>
                </c:pt>
                <c:pt idx="45">
                  <c:v>-3.9261588477017819E-3</c:v>
                </c:pt>
                <c:pt idx="46">
                  <c:v>-3.111741554090532E-3</c:v>
                </c:pt>
                <c:pt idx="47">
                  <c:v>-2.9658062642157344E-3</c:v>
                </c:pt>
                <c:pt idx="48">
                  <c:v>-3.457557937007636E-3</c:v>
                </c:pt>
                <c:pt idx="49">
                  <c:v>-4.6906319034443382E-3</c:v>
                </c:pt>
                <c:pt idx="50">
                  <c:v>-6.9232358392294574E-3</c:v>
                </c:pt>
                <c:pt idx="51">
                  <c:v>-1.061689487094657E-2</c:v>
                </c:pt>
                <c:pt idx="52">
                  <c:v>-1.6518488177434561E-2</c:v>
                </c:pt>
                <c:pt idx="53">
                  <c:v>-2.5779288175989661E-2</c:v>
                </c:pt>
                <c:pt idx="54">
                  <c:v>-4.010567044733615E-2</c:v>
                </c:pt>
                <c:pt idx="55">
                  <c:v>-6.191079086565409E-2</c:v>
                </c:pt>
                <c:pt idx="56">
                  <c:v>-9.4387079753246672E-2</c:v>
                </c:pt>
                <c:pt idx="57">
                  <c:v>-0.1413563934201352</c:v>
                </c:pt>
                <c:pt idx="58">
                  <c:v>-0.20674034285437121</c:v>
                </c:pt>
                <c:pt idx="59">
                  <c:v>-0.2936417207224028</c:v>
                </c:pt>
                <c:pt idx="60">
                  <c:v>-0.40336274395986266</c:v>
                </c:pt>
                <c:pt idx="61">
                  <c:v>-0.53492845104882891</c:v>
                </c:pt>
                <c:pt idx="62">
                  <c:v>-0.68544653738734296</c:v>
                </c:pt>
                <c:pt idx="63">
                  <c:v>-0.85105040556775013</c:v>
                </c:pt>
                <c:pt idx="64">
                  <c:v>-1.0278565751821147</c:v>
                </c:pt>
                <c:pt idx="65">
                  <c:v>-1.2125577240820047</c:v>
                </c:pt>
                <c:pt idx="66">
                  <c:v>-1.4026195034494042</c:v>
                </c:pt>
                <c:pt idx="67">
                  <c:v>-1.5962293933655221</c:v>
                </c:pt>
                <c:pt idx="68">
                  <c:v>-1.7921481287260734</c:v>
                </c:pt>
                <c:pt idx="69">
                  <c:v>-1.9895526849897858</c:v>
                </c:pt>
                <c:pt idx="70">
                  <c:v>-2.1879065839914111</c:v>
                </c:pt>
              </c:numCache>
            </c:numRef>
          </c:yVal>
          <c:smooth val="1"/>
          <c:extLst>
            <c:ext xmlns:c16="http://schemas.microsoft.com/office/drawing/2014/chart" uri="{C3380CC4-5D6E-409C-BE32-E72D297353CC}">
              <c16:uniqueId val="{00000001-4A0D-4A37-9E15-7CA363933426}"/>
            </c:ext>
          </c:extLst>
        </c:ser>
        <c:ser>
          <c:idx val="2"/>
          <c:order val="2"/>
          <c:tx>
            <c:v>Alpha H2B</c:v>
          </c:tx>
          <c:spPr>
            <a:ln w="25400">
              <a:solidFill>
                <a:srgbClr val="008000"/>
              </a:solidFill>
              <a:prstDash val="solid"/>
            </a:ln>
          </c:spPr>
          <c:marker>
            <c:symbol val="none"/>
          </c:marker>
          <c:xVal>
            <c:numRef>
              <c:f>Distribution!$O$12:$O$82</c:f>
              <c:numCache>
                <c:formatCode>0.000</c:formatCode>
                <c:ptCount val="71"/>
                <c:pt idx="0">
                  <c:v>0</c:v>
                </c:pt>
                <c:pt idx="1">
                  <c:v>0.2</c:v>
                </c:pt>
                <c:pt idx="2">
                  <c:v>0.4</c:v>
                </c:pt>
                <c:pt idx="3">
                  <c:v>0.60000000000000009</c:v>
                </c:pt>
                <c:pt idx="4">
                  <c:v>0.8</c:v>
                </c:pt>
                <c:pt idx="5">
                  <c:v>1</c:v>
                </c:pt>
                <c:pt idx="6">
                  <c:v>1.2</c:v>
                </c:pt>
                <c:pt idx="7">
                  <c:v>1.4</c:v>
                </c:pt>
                <c:pt idx="8">
                  <c:v>1.5999999999999999</c:v>
                </c:pt>
                <c:pt idx="9">
                  <c:v>1.7999999999999998</c:v>
                </c:pt>
                <c:pt idx="10">
                  <c:v>1.9999999999999998</c:v>
                </c:pt>
                <c:pt idx="11">
                  <c:v>2.1999999999999997</c:v>
                </c:pt>
                <c:pt idx="12">
                  <c:v>2.4</c:v>
                </c:pt>
                <c:pt idx="13">
                  <c:v>2.6</c:v>
                </c:pt>
                <c:pt idx="14">
                  <c:v>2.8000000000000003</c:v>
                </c:pt>
                <c:pt idx="15">
                  <c:v>3.0000000000000004</c:v>
                </c:pt>
                <c:pt idx="16">
                  <c:v>3.2000000000000006</c:v>
                </c:pt>
                <c:pt idx="17">
                  <c:v>3.4000000000000008</c:v>
                </c:pt>
                <c:pt idx="18">
                  <c:v>3.600000000000001</c:v>
                </c:pt>
                <c:pt idx="19">
                  <c:v>3.8000000000000012</c:v>
                </c:pt>
                <c:pt idx="20">
                  <c:v>4.0000000000000009</c:v>
                </c:pt>
                <c:pt idx="21">
                  <c:v>4.2000000000000011</c:v>
                </c:pt>
                <c:pt idx="22">
                  <c:v>4.4000000000000012</c:v>
                </c:pt>
                <c:pt idx="23">
                  <c:v>4.6000000000000014</c:v>
                </c:pt>
                <c:pt idx="24">
                  <c:v>4.8000000000000016</c:v>
                </c:pt>
                <c:pt idx="25">
                  <c:v>5.0000000000000018</c:v>
                </c:pt>
                <c:pt idx="26">
                  <c:v>5.200000000000002</c:v>
                </c:pt>
                <c:pt idx="27">
                  <c:v>5.4000000000000021</c:v>
                </c:pt>
                <c:pt idx="28">
                  <c:v>5.6000000000000023</c:v>
                </c:pt>
                <c:pt idx="29">
                  <c:v>5.8000000000000025</c:v>
                </c:pt>
                <c:pt idx="30">
                  <c:v>6.0000000000000027</c:v>
                </c:pt>
                <c:pt idx="31">
                  <c:v>6.2000000000000028</c:v>
                </c:pt>
                <c:pt idx="32">
                  <c:v>6.400000000000003</c:v>
                </c:pt>
                <c:pt idx="33">
                  <c:v>6.6000000000000032</c:v>
                </c:pt>
                <c:pt idx="34">
                  <c:v>6.8000000000000034</c:v>
                </c:pt>
                <c:pt idx="35">
                  <c:v>7.0000000000000036</c:v>
                </c:pt>
                <c:pt idx="36">
                  <c:v>7.2000000000000037</c:v>
                </c:pt>
                <c:pt idx="37">
                  <c:v>7.4000000000000039</c:v>
                </c:pt>
                <c:pt idx="38">
                  <c:v>7.6000000000000041</c:v>
                </c:pt>
                <c:pt idx="39">
                  <c:v>7.8000000000000043</c:v>
                </c:pt>
                <c:pt idx="40">
                  <c:v>8.0000000000000036</c:v>
                </c:pt>
                <c:pt idx="41">
                  <c:v>8.2000000000000028</c:v>
                </c:pt>
                <c:pt idx="42">
                  <c:v>8.4000000000000021</c:v>
                </c:pt>
                <c:pt idx="43">
                  <c:v>8.6000000000000014</c:v>
                </c:pt>
                <c:pt idx="44">
                  <c:v>8.8000000000000007</c:v>
                </c:pt>
                <c:pt idx="45">
                  <c:v>9</c:v>
                </c:pt>
                <c:pt idx="46">
                  <c:v>9.1999999999999993</c:v>
                </c:pt>
                <c:pt idx="47">
                  <c:v>9.3999999999999986</c:v>
                </c:pt>
                <c:pt idx="48">
                  <c:v>9.5999999999999979</c:v>
                </c:pt>
                <c:pt idx="49">
                  <c:v>9.7999999999999972</c:v>
                </c:pt>
                <c:pt idx="50">
                  <c:v>9.9999999999999964</c:v>
                </c:pt>
                <c:pt idx="51">
                  <c:v>10.199999999999996</c:v>
                </c:pt>
                <c:pt idx="52">
                  <c:v>10.399999999999995</c:v>
                </c:pt>
                <c:pt idx="53">
                  <c:v>10.599999999999994</c:v>
                </c:pt>
                <c:pt idx="54">
                  <c:v>10.799999999999994</c:v>
                </c:pt>
                <c:pt idx="55">
                  <c:v>10.999999999999993</c:v>
                </c:pt>
                <c:pt idx="56">
                  <c:v>11.199999999999992</c:v>
                </c:pt>
                <c:pt idx="57">
                  <c:v>11.399999999999991</c:v>
                </c:pt>
                <c:pt idx="58">
                  <c:v>11.599999999999991</c:v>
                </c:pt>
                <c:pt idx="59">
                  <c:v>11.79999999999999</c:v>
                </c:pt>
                <c:pt idx="60">
                  <c:v>11.999999999999989</c:v>
                </c:pt>
                <c:pt idx="61">
                  <c:v>12.199999999999989</c:v>
                </c:pt>
                <c:pt idx="62">
                  <c:v>12.399999999999988</c:v>
                </c:pt>
                <c:pt idx="63">
                  <c:v>12.599999999999987</c:v>
                </c:pt>
                <c:pt idx="64">
                  <c:v>12.799999999999986</c:v>
                </c:pt>
                <c:pt idx="65">
                  <c:v>12.999999999999986</c:v>
                </c:pt>
                <c:pt idx="66">
                  <c:v>13.199999999999985</c:v>
                </c:pt>
                <c:pt idx="67">
                  <c:v>13.399999999999984</c:v>
                </c:pt>
                <c:pt idx="68">
                  <c:v>13.599999999999984</c:v>
                </c:pt>
                <c:pt idx="69">
                  <c:v>13.799999999999983</c:v>
                </c:pt>
                <c:pt idx="70">
                  <c:v>13.999999999999982</c:v>
                </c:pt>
              </c:numCache>
            </c:numRef>
          </c:xVal>
          <c:yVal>
            <c:numRef>
              <c:f>Distribution!$AP$12:$AP$82</c:f>
              <c:numCache>
                <c:formatCode>0.000</c:formatCode>
                <c:ptCount val="71"/>
                <c:pt idx="0">
                  <c:v>-2.0449019499971892</c:v>
                </c:pt>
                <c:pt idx="1">
                  <c:v>-1.8471877925683082</c:v>
                </c:pt>
                <c:pt idx="2">
                  <c:v>-1.6507854140452141</c:v>
                </c:pt>
                <c:pt idx="3">
                  <c:v>-1.4564261948830513</c:v>
                </c:pt>
                <c:pt idx="4">
                  <c:v>-1.2652181252151795</c:v>
                </c:pt>
                <c:pt idx="5">
                  <c:v>-1.0787971168857524</c:v>
                </c:pt>
                <c:pt idx="6">
                  <c:v>-0.89948417031705397</c:v>
                </c:pt>
                <c:pt idx="7">
                  <c:v>-0.73037655522324396</c:v>
                </c:pt>
                <c:pt idx="8">
                  <c:v>-0.57523765807494465</c:v>
                </c:pt>
                <c:pt idx="9">
                  <c:v>-0.43802339660076417</c:v>
                </c:pt>
                <c:pt idx="10">
                  <c:v>-0.32200445187740029</c:v>
                </c:pt>
                <c:pt idx="11">
                  <c:v>-0.22876237232813557</c:v>
                </c:pt>
                <c:pt idx="12">
                  <c:v>-0.15761783644285099</c:v>
                </c:pt>
                <c:pt idx="13">
                  <c:v>-0.10588353189380291</c:v>
                </c:pt>
                <c:pt idx="14">
                  <c:v>-6.9762599949914753E-2</c:v>
                </c:pt>
                <c:pt idx="15">
                  <c:v>-4.5333747668154678E-2</c:v>
                </c:pt>
                <c:pt idx="16">
                  <c:v>-2.9200699131204124E-2</c:v>
                </c:pt>
                <c:pt idx="17">
                  <c:v>-1.8734910705734902E-2</c:v>
                </c:pt>
                <c:pt idx="18">
                  <c:v>-1.2048748269568303E-2</c:v>
                </c:pt>
                <c:pt idx="19">
                  <c:v>-7.8556584359490544E-3</c:v>
                </c:pt>
                <c:pt idx="20">
                  <c:v>-5.3152498192523788E-3</c:v>
                </c:pt>
                <c:pt idx="21">
                  <c:v>-3.9054179468567215E-3</c:v>
                </c:pt>
                <c:pt idx="22">
                  <c:v>-3.3321246018991097E-3</c:v>
                </c:pt>
                <c:pt idx="23">
                  <c:v>-3.4749179806502642E-3</c:v>
                </c:pt>
                <c:pt idx="24">
                  <c:v>-4.3638477521617302E-3</c:v>
                </c:pt>
                <c:pt idx="25">
                  <c:v>-6.1852660729337268E-3</c:v>
                </c:pt>
                <c:pt idx="26">
                  <c:v>-9.3171812955116871E-3</c:v>
                </c:pt>
                <c:pt idx="27">
                  <c:v>-1.4397697994386931E-2</c:v>
                </c:pt>
                <c:pt idx="28">
                  <c:v>-2.2430666216673587E-2</c:v>
                </c:pt>
                <c:pt idx="29">
                  <c:v>-3.492704753038018E-2</c:v>
                </c:pt>
                <c:pt idx="30">
                  <c:v>-5.4061430863014778E-2</c:v>
                </c:pt>
                <c:pt idx="31">
                  <c:v>-8.27816464569847E-2</c:v>
                </c:pt>
                <c:pt idx="32">
                  <c:v>-0.12474717329029877</c:v>
                </c:pt>
                <c:pt idx="33">
                  <c:v>-0.18393146591714199</c:v>
                </c:pt>
                <c:pt idx="34">
                  <c:v>-0.26380878109600531</c:v>
                </c:pt>
                <c:pt idx="35">
                  <c:v>-0.36633557462717792</c:v>
                </c:pt>
                <c:pt idx="36">
                  <c:v>-0.49125631252869695</c:v>
                </c:pt>
                <c:pt idx="37">
                  <c:v>-0.63619886108172352</c:v>
                </c:pt>
                <c:pt idx="38">
                  <c:v>-0.79749145521055054</c:v>
                </c:pt>
                <c:pt idx="39">
                  <c:v>-0.97117329595094248</c:v>
                </c:pt>
                <c:pt idx="40">
                  <c:v>-1.1537210191203109</c:v>
                </c:pt>
                <c:pt idx="41">
                  <c:v>-1.3423591604616143</c:v>
                </c:pt>
                <c:pt idx="42">
                  <c:v>-1.5350698648961667</c:v>
                </c:pt>
                <c:pt idx="43">
                  <c:v>-1.7304641063617552</c:v>
                </c:pt>
                <c:pt idx="44">
                  <c:v>-1.9276243030105991</c:v>
                </c:pt>
                <c:pt idx="45">
                  <c:v>-2.1259688636872296</c:v>
                </c:pt>
                <c:pt idx="46">
                  <c:v>-2.3251531515959147</c:v>
                </c:pt>
                <c:pt idx="47">
                  <c:v>-2.5250059215083365</c:v>
                </c:pt>
                <c:pt idx="48">
                  <c:v>-2.7254963783834243</c:v>
                </c:pt>
                <c:pt idx="49">
                  <c:v>-2.9267281575521573</c:v>
                </c:pt>
                <c:pt idx="50">
                  <c:v>-3.1289594666902389</c:v>
                </c:pt>
                <c:pt idx="51">
                  <c:v>-3.3326518309242523</c:v>
                </c:pt>
                <c:pt idx="52">
                  <c:v>-3.5385521294330369</c:v>
                </c:pt>
                <c:pt idx="53">
                  <c:v>-3.7478116346338881</c:v>
                </c:pt>
                <c:pt idx="54">
                  <c:v>-3.9621367221075308</c:v>
                </c:pt>
                <c:pt idx="55">
                  <c:v>-4.1839405477281453</c:v>
                </c:pt>
                <c:pt idx="56">
                  <c:v>-4.4164155418180338</c:v>
                </c:pt>
                <c:pt idx="57">
                  <c:v>-4.6633835606872189</c:v>
                </c:pt>
                <c:pt idx="58">
                  <c:v>-4.9287662153237513</c:v>
                </c:pt>
                <c:pt idx="59">
                  <c:v>-5.2156662983940798</c:v>
                </c:pt>
                <c:pt idx="60">
                  <c:v>-5.5253860268338348</c:v>
                </c:pt>
                <c:pt idx="61">
                  <c:v>-5.8569504391250975</c:v>
                </c:pt>
                <c:pt idx="62">
                  <c:v>-6.207467230665908</c:v>
                </c:pt>
                <c:pt idx="63">
                  <c:v>-6.573069804048612</c:v>
                </c:pt>
                <c:pt idx="64">
                  <c:v>-6.9498746788652737</c:v>
                </c:pt>
                <c:pt idx="65">
                  <c:v>-7.3345745329674594</c:v>
                </c:pt>
                <c:pt idx="66">
                  <c:v>-7.7246350175371541</c:v>
                </c:pt>
                <c:pt idx="67">
                  <c:v>-8.1182436126555686</c:v>
                </c:pt>
                <c:pt idx="68">
                  <c:v>-8.514161053218416</c:v>
                </c:pt>
                <c:pt idx="69">
                  <c:v>-8.9115643146844246</c:v>
                </c:pt>
                <c:pt idx="70">
                  <c:v>-9.3099169188883462</c:v>
                </c:pt>
              </c:numCache>
            </c:numRef>
          </c:yVal>
          <c:smooth val="1"/>
          <c:extLst>
            <c:ext xmlns:c16="http://schemas.microsoft.com/office/drawing/2014/chart" uri="{C3380CC4-5D6E-409C-BE32-E72D297353CC}">
              <c16:uniqueId val="{00000002-4A0D-4A37-9E15-7CA363933426}"/>
            </c:ext>
          </c:extLst>
        </c:ser>
        <c:ser>
          <c:idx val="3"/>
          <c:order val="3"/>
          <c:tx>
            <c:v>Alpha H3B</c:v>
          </c:tx>
          <c:spPr>
            <a:ln w="25400">
              <a:solidFill>
                <a:srgbClr val="993300"/>
              </a:solidFill>
              <a:prstDash val="solid"/>
            </a:ln>
          </c:spPr>
          <c:marker>
            <c:symbol val="none"/>
          </c:marker>
          <c:xVal>
            <c:numRef>
              <c:f>Distribution!$O$12:$O$82</c:f>
              <c:numCache>
                <c:formatCode>0.000</c:formatCode>
                <c:ptCount val="71"/>
                <c:pt idx="0">
                  <c:v>0</c:v>
                </c:pt>
                <c:pt idx="1">
                  <c:v>0.2</c:v>
                </c:pt>
                <c:pt idx="2">
                  <c:v>0.4</c:v>
                </c:pt>
                <c:pt idx="3">
                  <c:v>0.60000000000000009</c:v>
                </c:pt>
                <c:pt idx="4">
                  <c:v>0.8</c:v>
                </c:pt>
                <c:pt idx="5">
                  <c:v>1</c:v>
                </c:pt>
                <c:pt idx="6">
                  <c:v>1.2</c:v>
                </c:pt>
                <c:pt idx="7">
                  <c:v>1.4</c:v>
                </c:pt>
                <c:pt idx="8">
                  <c:v>1.5999999999999999</c:v>
                </c:pt>
                <c:pt idx="9">
                  <c:v>1.7999999999999998</c:v>
                </c:pt>
                <c:pt idx="10">
                  <c:v>1.9999999999999998</c:v>
                </c:pt>
                <c:pt idx="11">
                  <c:v>2.1999999999999997</c:v>
                </c:pt>
                <c:pt idx="12">
                  <c:v>2.4</c:v>
                </c:pt>
                <c:pt idx="13">
                  <c:v>2.6</c:v>
                </c:pt>
                <c:pt idx="14">
                  <c:v>2.8000000000000003</c:v>
                </c:pt>
                <c:pt idx="15">
                  <c:v>3.0000000000000004</c:v>
                </c:pt>
                <c:pt idx="16">
                  <c:v>3.2000000000000006</c:v>
                </c:pt>
                <c:pt idx="17">
                  <c:v>3.4000000000000008</c:v>
                </c:pt>
                <c:pt idx="18">
                  <c:v>3.600000000000001</c:v>
                </c:pt>
                <c:pt idx="19">
                  <c:v>3.8000000000000012</c:v>
                </c:pt>
                <c:pt idx="20">
                  <c:v>4.0000000000000009</c:v>
                </c:pt>
                <c:pt idx="21">
                  <c:v>4.2000000000000011</c:v>
                </c:pt>
                <c:pt idx="22">
                  <c:v>4.4000000000000012</c:v>
                </c:pt>
                <c:pt idx="23">
                  <c:v>4.6000000000000014</c:v>
                </c:pt>
                <c:pt idx="24">
                  <c:v>4.8000000000000016</c:v>
                </c:pt>
                <c:pt idx="25">
                  <c:v>5.0000000000000018</c:v>
                </c:pt>
                <c:pt idx="26">
                  <c:v>5.200000000000002</c:v>
                </c:pt>
                <c:pt idx="27">
                  <c:v>5.4000000000000021</c:v>
                </c:pt>
                <c:pt idx="28">
                  <c:v>5.6000000000000023</c:v>
                </c:pt>
                <c:pt idx="29">
                  <c:v>5.8000000000000025</c:v>
                </c:pt>
                <c:pt idx="30">
                  <c:v>6.0000000000000027</c:v>
                </c:pt>
                <c:pt idx="31">
                  <c:v>6.2000000000000028</c:v>
                </c:pt>
                <c:pt idx="32">
                  <c:v>6.400000000000003</c:v>
                </c:pt>
                <c:pt idx="33">
                  <c:v>6.6000000000000032</c:v>
                </c:pt>
                <c:pt idx="34">
                  <c:v>6.8000000000000034</c:v>
                </c:pt>
                <c:pt idx="35">
                  <c:v>7.0000000000000036</c:v>
                </c:pt>
                <c:pt idx="36">
                  <c:v>7.2000000000000037</c:v>
                </c:pt>
                <c:pt idx="37">
                  <c:v>7.4000000000000039</c:v>
                </c:pt>
                <c:pt idx="38">
                  <c:v>7.6000000000000041</c:v>
                </c:pt>
                <c:pt idx="39">
                  <c:v>7.8000000000000043</c:v>
                </c:pt>
                <c:pt idx="40">
                  <c:v>8.0000000000000036</c:v>
                </c:pt>
                <c:pt idx="41">
                  <c:v>8.2000000000000028</c:v>
                </c:pt>
                <c:pt idx="42">
                  <c:v>8.4000000000000021</c:v>
                </c:pt>
                <c:pt idx="43">
                  <c:v>8.6000000000000014</c:v>
                </c:pt>
                <c:pt idx="44">
                  <c:v>8.8000000000000007</c:v>
                </c:pt>
                <c:pt idx="45">
                  <c:v>9</c:v>
                </c:pt>
                <c:pt idx="46">
                  <c:v>9.1999999999999993</c:v>
                </c:pt>
                <c:pt idx="47">
                  <c:v>9.3999999999999986</c:v>
                </c:pt>
                <c:pt idx="48">
                  <c:v>9.5999999999999979</c:v>
                </c:pt>
                <c:pt idx="49">
                  <c:v>9.7999999999999972</c:v>
                </c:pt>
                <c:pt idx="50">
                  <c:v>9.9999999999999964</c:v>
                </c:pt>
                <c:pt idx="51">
                  <c:v>10.199999999999996</c:v>
                </c:pt>
                <c:pt idx="52">
                  <c:v>10.399999999999995</c:v>
                </c:pt>
                <c:pt idx="53">
                  <c:v>10.599999999999994</c:v>
                </c:pt>
                <c:pt idx="54">
                  <c:v>10.799999999999994</c:v>
                </c:pt>
                <c:pt idx="55">
                  <c:v>10.999999999999993</c:v>
                </c:pt>
                <c:pt idx="56">
                  <c:v>11.199999999999992</c:v>
                </c:pt>
                <c:pt idx="57">
                  <c:v>11.399999999999991</c:v>
                </c:pt>
                <c:pt idx="58">
                  <c:v>11.599999999999991</c:v>
                </c:pt>
                <c:pt idx="59">
                  <c:v>11.79999999999999</c:v>
                </c:pt>
                <c:pt idx="60">
                  <c:v>11.999999999999989</c:v>
                </c:pt>
                <c:pt idx="61">
                  <c:v>12.199999999999989</c:v>
                </c:pt>
                <c:pt idx="62">
                  <c:v>12.399999999999988</c:v>
                </c:pt>
                <c:pt idx="63">
                  <c:v>12.599999999999987</c:v>
                </c:pt>
                <c:pt idx="64">
                  <c:v>12.799999999999986</c:v>
                </c:pt>
                <c:pt idx="65">
                  <c:v>12.999999999999986</c:v>
                </c:pt>
                <c:pt idx="66">
                  <c:v>13.199999999999985</c:v>
                </c:pt>
                <c:pt idx="67">
                  <c:v>13.399999999999984</c:v>
                </c:pt>
                <c:pt idx="68">
                  <c:v>13.599999999999984</c:v>
                </c:pt>
                <c:pt idx="69">
                  <c:v>13.799999999999983</c:v>
                </c:pt>
                <c:pt idx="70">
                  <c:v>13.999999999999982</c:v>
                </c:pt>
              </c:numCache>
            </c:numRef>
          </c:xVal>
          <c:yVal>
            <c:numRef>
              <c:f>Distribution!$AQ$12:$AQ$82</c:f>
              <c:numCache>
                <c:formatCode>0.000</c:formatCode>
                <c:ptCount val="71"/>
                <c:pt idx="0">
                  <c:v>-3.9339776221329632E-3</c:v>
                </c:pt>
                <c:pt idx="1">
                  <c:v>-6.2185253955491307E-3</c:v>
                </c:pt>
                <c:pt idx="2">
                  <c:v>-9.8148520747523334E-3</c:v>
                </c:pt>
                <c:pt idx="3">
                  <c:v>-1.5454338114886345E-2</c:v>
                </c:pt>
                <c:pt idx="4">
                  <c:v>-2.4244973649311632E-2</c:v>
                </c:pt>
                <c:pt idx="5">
                  <c:v>-3.7822670522181558E-2</c:v>
                </c:pt>
                <c:pt idx="6">
                  <c:v>-5.8508429155780223E-2</c:v>
                </c:pt>
                <c:pt idx="7">
                  <c:v>-8.9399519264267049E-2</c:v>
                </c:pt>
                <c:pt idx="8">
                  <c:v>-0.1342593273182647</c:v>
                </c:pt>
                <c:pt idx="9">
                  <c:v>-0.19704377104638138</c:v>
                </c:pt>
                <c:pt idx="10">
                  <c:v>-0.28102353152531434</c:v>
                </c:pt>
                <c:pt idx="11">
                  <c:v>-0.38778015717834674</c:v>
                </c:pt>
                <c:pt idx="12">
                  <c:v>-0.51663432649535923</c:v>
                </c:pt>
                <c:pt idx="13">
                  <c:v>-0.66489872714860843</c:v>
                </c:pt>
                <c:pt idx="14">
                  <c:v>-0.82877650040701756</c:v>
                </c:pt>
                <c:pt idx="15">
                  <c:v>-1.0043463533275547</c:v>
                </c:pt>
                <c:pt idx="16">
                  <c:v>-1.1882120099929012</c:v>
                </c:pt>
                <c:pt idx="17">
                  <c:v>-1.3777449267697293</c:v>
                </c:pt>
                <c:pt idx="18">
                  <c:v>-1.5710574695358599</c:v>
                </c:pt>
                <c:pt idx="19">
                  <c:v>-1.7668630849045379</c:v>
                </c:pt>
                <c:pt idx="20">
                  <c:v>-1.9643213814901377</c:v>
                </c:pt>
                <c:pt idx="21">
                  <c:v>-2.1629102548200394</c:v>
                </c:pt>
                <c:pt idx="22">
                  <c:v>-2.3623356666773789</c:v>
                </c:pt>
                <c:pt idx="23">
                  <c:v>-2.5624771652584277</c:v>
                </c:pt>
                <c:pt idx="24">
                  <c:v>-2.7633648002322362</c:v>
                </c:pt>
                <c:pt idx="25">
                  <c:v>-2.9651849237553054</c:v>
                </c:pt>
                <c:pt idx="26">
                  <c:v>-3.1683155441801807</c:v>
                </c:pt>
                <c:pt idx="27">
                  <c:v>-3.3733947660813528</c:v>
                </c:pt>
                <c:pt idx="28">
                  <c:v>-3.581426439505937</c:v>
                </c:pt>
                <c:pt idx="29">
                  <c:v>-3.7939215260219403</c:v>
                </c:pt>
                <c:pt idx="30">
                  <c:v>-4.0130546145568724</c:v>
                </c:pt>
                <c:pt idx="31">
                  <c:v>-4.2417735353531398</c:v>
                </c:pt>
                <c:pt idx="32">
                  <c:v>-4.4837377673887513</c:v>
                </c:pt>
                <c:pt idx="33">
                  <c:v>-4.7429207652178906</c:v>
                </c:pt>
                <c:pt idx="34">
                  <c:v>-5.0227967855990521</c:v>
                </c:pt>
                <c:pt idx="35">
                  <c:v>-5.3253222843325219</c:v>
                </c:pt>
                <c:pt idx="36">
                  <c:v>-5.6502417274363381</c:v>
                </c:pt>
                <c:pt idx="37">
                  <c:v>-5.9951829811916619</c:v>
                </c:pt>
                <c:pt idx="38">
                  <c:v>-6.3564742805227858</c:v>
                </c:pt>
                <c:pt idx="39">
                  <c:v>-6.7301548264654754</c:v>
                </c:pt>
                <c:pt idx="40">
                  <c:v>-7.1127012548371402</c:v>
                </c:pt>
                <c:pt idx="41">
                  <c:v>-7.5013381013807399</c:v>
                </c:pt>
                <c:pt idx="42">
                  <c:v>-7.8940475110175878</c:v>
                </c:pt>
                <c:pt idx="43">
                  <c:v>-8.2894404576854726</c:v>
                </c:pt>
                <c:pt idx="44">
                  <c:v>-8.6865993595366131</c:v>
                </c:pt>
                <c:pt idx="45">
                  <c:v>-9.0849426254155397</c:v>
                </c:pt>
                <c:pt idx="46">
                  <c:v>-9.4841256185265213</c:v>
                </c:pt>
                <c:pt idx="47">
                  <c:v>-9.8839770936412386</c:v>
                </c:pt>
                <c:pt idx="48">
                  <c:v>-10.284466255718623</c:v>
                </c:pt>
                <c:pt idx="49">
                  <c:v>-10.685696740089654</c:v>
                </c:pt>
                <c:pt idx="50">
                  <c:v>-11.087926754430031</c:v>
                </c:pt>
                <c:pt idx="51">
                  <c:v>-11.49161782386634</c:v>
                </c:pt>
                <c:pt idx="52">
                  <c:v>-11.897516827577421</c:v>
                </c:pt>
                <c:pt idx="53">
                  <c:v>-12.306775037980568</c:v>
                </c:pt>
                <c:pt idx="54">
                  <c:v>-12.721098830656508</c:v>
                </c:pt>
                <c:pt idx="55">
                  <c:v>-13.142901361479419</c:v>
                </c:pt>
                <c:pt idx="56">
                  <c:v>-13.575375060771604</c:v>
                </c:pt>
                <c:pt idx="57">
                  <c:v>-14.022341784843087</c:v>
                </c:pt>
                <c:pt idx="58">
                  <c:v>-14.487723144681913</c:v>
                </c:pt>
                <c:pt idx="59">
                  <c:v>-14.974621932954539</c:v>
                </c:pt>
                <c:pt idx="60">
                  <c:v>-15.484340366596591</c:v>
                </c:pt>
                <c:pt idx="61">
                  <c:v>-16.015903484090149</c:v>
                </c:pt>
                <c:pt idx="62">
                  <c:v>-16.566418980833255</c:v>
                </c:pt>
                <c:pt idx="63">
                  <c:v>-17.132020259418255</c:v>
                </c:pt>
                <c:pt idx="64">
                  <c:v>-17.708823839437212</c:v>
                </c:pt>
                <c:pt idx="65">
                  <c:v>-18.293522398741693</c:v>
                </c:pt>
                <c:pt idx="66">
                  <c:v>-18.883581588513689</c:v>
                </c:pt>
                <c:pt idx="67">
                  <c:v>-19.477188888834398</c:v>
                </c:pt>
              </c:numCache>
            </c:numRef>
          </c:yVal>
          <c:smooth val="1"/>
          <c:extLst>
            <c:ext xmlns:c16="http://schemas.microsoft.com/office/drawing/2014/chart" uri="{C3380CC4-5D6E-409C-BE32-E72D297353CC}">
              <c16:uniqueId val="{00000003-4A0D-4A37-9E15-7CA363933426}"/>
            </c:ext>
          </c:extLst>
        </c:ser>
        <c:ser>
          <c:idx val="4"/>
          <c:order val="4"/>
          <c:tx>
            <c:v>Alpha H4B</c:v>
          </c:tx>
          <c:spPr>
            <a:ln w="25400">
              <a:solidFill>
                <a:srgbClr val="0000FF"/>
              </a:solidFill>
              <a:prstDash val="solid"/>
            </a:ln>
          </c:spPr>
          <c:marker>
            <c:symbol val="none"/>
          </c:marker>
          <c:xVal>
            <c:numRef>
              <c:f>Distribution!$O$12:$O$82</c:f>
              <c:numCache>
                <c:formatCode>0.000</c:formatCode>
                <c:ptCount val="71"/>
                <c:pt idx="0">
                  <c:v>0</c:v>
                </c:pt>
                <c:pt idx="1">
                  <c:v>0.2</c:v>
                </c:pt>
                <c:pt idx="2">
                  <c:v>0.4</c:v>
                </c:pt>
                <c:pt idx="3">
                  <c:v>0.60000000000000009</c:v>
                </c:pt>
                <c:pt idx="4">
                  <c:v>0.8</c:v>
                </c:pt>
                <c:pt idx="5">
                  <c:v>1</c:v>
                </c:pt>
                <c:pt idx="6">
                  <c:v>1.2</c:v>
                </c:pt>
                <c:pt idx="7">
                  <c:v>1.4</c:v>
                </c:pt>
                <c:pt idx="8">
                  <c:v>1.5999999999999999</c:v>
                </c:pt>
                <c:pt idx="9">
                  <c:v>1.7999999999999998</c:v>
                </c:pt>
                <c:pt idx="10">
                  <c:v>1.9999999999999998</c:v>
                </c:pt>
                <c:pt idx="11">
                  <c:v>2.1999999999999997</c:v>
                </c:pt>
                <c:pt idx="12">
                  <c:v>2.4</c:v>
                </c:pt>
                <c:pt idx="13">
                  <c:v>2.6</c:v>
                </c:pt>
                <c:pt idx="14">
                  <c:v>2.8000000000000003</c:v>
                </c:pt>
                <c:pt idx="15">
                  <c:v>3.0000000000000004</c:v>
                </c:pt>
                <c:pt idx="16">
                  <c:v>3.2000000000000006</c:v>
                </c:pt>
                <c:pt idx="17">
                  <c:v>3.4000000000000008</c:v>
                </c:pt>
                <c:pt idx="18">
                  <c:v>3.600000000000001</c:v>
                </c:pt>
                <c:pt idx="19">
                  <c:v>3.8000000000000012</c:v>
                </c:pt>
                <c:pt idx="20">
                  <c:v>4.0000000000000009</c:v>
                </c:pt>
                <c:pt idx="21">
                  <c:v>4.2000000000000011</c:v>
                </c:pt>
                <c:pt idx="22">
                  <c:v>4.4000000000000012</c:v>
                </c:pt>
                <c:pt idx="23">
                  <c:v>4.6000000000000014</c:v>
                </c:pt>
                <c:pt idx="24">
                  <c:v>4.8000000000000016</c:v>
                </c:pt>
                <c:pt idx="25">
                  <c:v>5.0000000000000018</c:v>
                </c:pt>
                <c:pt idx="26">
                  <c:v>5.200000000000002</c:v>
                </c:pt>
                <c:pt idx="27">
                  <c:v>5.4000000000000021</c:v>
                </c:pt>
                <c:pt idx="28">
                  <c:v>5.6000000000000023</c:v>
                </c:pt>
                <c:pt idx="29">
                  <c:v>5.8000000000000025</c:v>
                </c:pt>
                <c:pt idx="30">
                  <c:v>6.0000000000000027</c:v>
                </c:pt>
                <c:pt idx="31">
                  <c:v>6.2000000000000028</c:v>
                </c:pt>
                <c:pt idx="32">
                  <c:v>6.400000000000003</c:v>
                </c:pt>
                <c:pt idx="33">
                  <c:v>6.6000000000000032</c:v>
                </c:pt>
                <c:pt idx="34">
                  <c:v>6.8000000000000034</c:v>
                </c:pt>
                <c:pt idx="35">
                  <c:v>7.0000000000000036</c:v>
                </c:pt>
                <c:pt idx="36">
                  <c:v>7.2000000000000037</c:v>
                </c:pt>
                <c:pt idx="37">
                  <c:v>7.4000000000000039</c:v>
                </c:pt>
                <c:pt idx="38">
                  <c:v>7.6000000000000041</c:v>
                </c:pt>
                <c:pt idx="39">
                  <c:v>7.8000000000000043</c:v>
                </c:pt>
                <c:pt idx="40">
                  <c:v>8.0000000000000036</c:v>
                </c:pt>
                <c:pt idx="41">
                  <c:v>8.2000000000000028</c:v>
                </c:pt>
                <c:pt idx="42">
                  <c:v>8.4000000000000021</c:v>
                </c:pt>
                <c:pt idx="43">
                  <c:v>8.6000000000000014</c:v>
                </c:pt>
                <c:pt idx="44">
                  <c:v>8.8000000000000007</c:v>
                </c:pt>
                <c:pt idx="45">
                  <c:v>9</c:v>
                </c:pt>
                <c:pt idx="46">
                  <c:v>9.1999999999999993</c:v>
                </c:pt>
                <c:pt idx="47">
                  <c:v>9.3999999999999986</c:v>
                </c:pt>
                <c:pt idx="48">
                  <c:v>9.5999999999999979</c:v>
                </c:pt>
                <c:pt idx="49">
                  <c:v>9.7999999999999972</c:v>
                </c:pt>
                <c:pt idx="50">
                  <c:v>9.9999999999999964</c:v>
                </c:pt>
                <c:pt idx="51">
                  <c:v>10.199999999999996</c:v>
                </c:pt>
                <c:pt idx="52">
                  <c:v>10.399999999999995</c:v>
                </c:pt>
                <c:pt idx="53">
                  <c:v>10.599999999999994</c:v>
                </c:pt>
                <c:pt idx="54">
                  <c:v>10.799999999999994</c:v>
                </c:pt>
                <c:pt idx="55">
                  <c:v>10.999999999999993</c:v>
                </c:pt>
                <c:pt idx="56">
                  <c:v>11.199999999999992</c:v>
                </c:pt>
                <c:pt idx="57">
                  <c:v>11.399999999999991</c:v>
                </c:pt>
                <c:pt idx="58">
                  <c:v>11.599999999999991</c:v>
                </c:pt>
                <c:pt idx="59">
                  <c:v>11.79999999999999</c:v>
                </c:pt>
                <c:pt idx="60">
                  <c:v>11.999999999999989</c:v>
                </c:pt>
                <c:pt idx="61">
                  <c:v>12.199999999999989</c:v>
                </c:pt>
                <c:pt idx="62">
                  <c:v>12.399999999999988</c:v>
                </c:pt>
                <c:pt idx="63">
                  <c:v>12.599999999999987</c:v>
                </c:pt>
                <c:pt idx="64">
                  <c:v>12.799999999999986</c:v>
                </c:pt>
                <c:pt idx="65">
                  <c:v>12.999999999999986</c:v>
                </c:pt>
                <c:pt idx="66">
                  <c:v>13.199999999999985</c:v>
                </c:pt>
                <c:pt idx="67">
                  <c:v>13.399999999999984</c:v>
                </c:pt>
                <c:pt idx="68">
                  <c:v>13.599999999999984</c:v>
                </c:pt>
                <c:pt idx="69">
                  <c:v>13.799999999999983</c:v>
                </c:pt>
                <c:pt idx="70">
                  <c:v>13.999999999999982</c:v>
                </c:pt>
              </c:numCache>
            </c:numRef>
          </c:xVal>
          <c:yVal>
            <c:numRef>
              <c:f>Distribution!$AR$12:$AR$82</c:f>
              <c:numCache>
                <c:formatCode>0.000</c:formatCode>
                <c:ptCount val="71"/>
              </c:numCache>
            </c:numRef>
          </c:yVal>
          <c:smooth val="1"/>
          <c:extLst>
            <c:ext xmlns:c16="http://schemas.microsoft.com/office/drawing/2014/chart" uri="{C3380CC4-5D6E-409C-BE32-E72D297353CC}">
              <c16:uniqueId val="{00000004-4A0D-4A37-9E15-7CA363933426}"/>
            </c:ext>
          </c:extLst>
        </c:ser>
        <c:ser>
          <c:idx val="5"/>
          <c:order val="5"/>
          <c:tx>
            <c:v>Alpha H5B</c:v>
          </c:tx>
          <c:spPr>
            <a:ln w="25400">
              <a:solidFill>
                <a:srgbClr val="FF00FF"/>
              </a:solidFill>
              <a:prstDash val="solid"/>
            </a:ln>
          </c:spPr>
          <c:marker>
            <c:symbol val="none"/>
          </c:marker>
          <c:xVal>
            <c:numRef>
              <c:f>Distribution!$O$12:$O$82</c:f>
              <c:numCache>
                <c:formatCode>0.000</c:formatCode>
                <c:ptCount val="71"/>
                <c:pt idx="0">
                  <c:v>0</c:v>
                </c:pt>
                <c:pt idx="1">
                  <c:v>0.2</c:v>
                </c:pt>
                <c:pt idx="2">
                  <c:v>0.4</c:v>
                </c:pt>
                <c:pt idx="3">
                  <c:v>0.60000000000000009</c:v>
                </c:pt>
                <c:pt idx="4">
                  <c:v>0.8</c:v>
                </c:pt>
                <c:pt idx="5">
                  <c:v>1</c:v>
                </c:pt>
                <c:pt idx="6">
                  <c:v>1.2</c:v>
                </c:pt>
                <c:pt idx="7">
                  <c:v>1.4</c:v>
                </c:pt>
                <c:pt idx="8">
                  <c:v>1.5999999999999999</c:v>
                </c:pt>
                <c:pt idx="9">
                  <c:v>1.7999999999999998</c:v>
                </c:pt>
                <c:pt idx="10">
                  <c:v>1.9999999999999998</c:v>
                </c:pt>
                <c:pt idx="11">
                  <c:v>2.1999999999999997</c:v>
                </c:pt>
                <c:pt idx="12">
                  <c:v>2.4</c:v>
                </c:pt>
                <c:pt idx="13">
                  <c:v>2.6</c:v>
                </c:pt>
                <c:pt idx="14">
                  <c:v>2.8000000000000003</c:v>
                </c:pt>
                <c:pt idx="15">
                  <c:v>3.0000000000000004</c:v>
                </c:pt>
                <c:pt idx="16">
                  <c:v>3.2000000000000006</c:v>
                </c:pt>
                <c:pt idx="17">
                  <c:v>3.4000000000000008</c:v>
                </c:pt>
                <c:pt idx="18">
                  <c:v>3.600000000000001</c:v>
                </c:pt>
                <c:pt idx="19">
                  <c:v>3.8000000000000012</c:v>
                </c:pt>
                <c:pt idx="20">
                  <c:v>4.0000000000000009</c:v>
                </c:pt>
                <c:pt idx="21">
                  <c:v>4.2000000000000011</c:v>
                </c:pt>
                <c:pt idx="22">
                  <c:v>4.4000000000000012</c:v>
                </c:pt>
                <c:pt idx="23">
                  <c:v>4.6000000000000014</c:v>
                </c:pt>
                <c:pt idx="24">
                  <c:v>4.8000000000000016</c:v>
                </c:pt>
                <c:pt idx="25">
                  <c:v>5.0000000000000018</c:v>
                </c:pt>
                <c:pt idx="26">
                  <c:v>5.200000000000002</c:v>
                </c:pt>
                <c:pt idx="27">
                  <c:v>5.4000000000000021</c:v>
                </c:pt>
                <c:pt idx="28">
                  <c:v>5.6000000000000023</c:v>
                </c:pt>
                <c:pt idx="29">
                  <c:v>5.8000000000000025</c:v>
                </c:pt>
                <c:pt idx="30">
                  <c:v>6.0000000000000027</c:v>
                </c:pt>
                <c:pt idx="31">
                  <c:v>6.2000000000000028</c:v>
                </c:pt>
                <c:pt idx="32">
                  <c:v>6.400000000000003</c:v>
                </c:pt>
                <c:pt idx="33">
                  <c:v>6.6000000000000032</c:v>
                </c:pt>
                <c:pt idx="34">
                  <c:v>6.8000000000000034</c:v>
                </c:pt>
                <c:pt idx="35">
                  <c:v>7.0000000000000036</c:v>
                </c:pt>
                <c:pt idx="36">
                  <c:v>7.2000000000000037</c:v>
                </c:pt>
                <c:pt idx="37">
                  <c:v>7.4000000000000039</c:v>
                </c:pt>
                <c:pt idx="38">
                  <c:v>7.6000000000000041</c:v>
                </c:pt>
                <c:pt idx="39">
                  <c:v>7.8000000000000043</c:v>
                </c:pt>
                <c:pt idx="40">
                  <c:v>8.0000000000000036</c:v>
                </c:pt>
                <c:pt idx="41">
                  <c:v>8.2000000000000028</c:v>
                </c:pt>
                <c:pt idx="42">
                  <c:v>8.4000000000000021</c:v>
                </c:pt>
                <c:pt idx="43">
                  <c:v>8.6000000000000014</c:v>
                </c:pt>
                <c:pt idx="44">
                  <c:v>8.8000000000000007</c:v>
                </c:pt>
                <c:pt idx="45">
                  <c:v>9</c:v>
                </c:pt>
                <c:pt idx="46">
                  <c:v>9.1999999999999993</c:v>
                </c:pt>
                <c:pt idx="47">
                  <c:v>9.3999999999999986</c:v>
                </c:pt>
                <c:pt idx="48">
                  <c:v>9.5999999999999979</c:v>
                </c:pt>
                <c:pt idx="49">
                  <c:v>9.7999999999999972</c:v>
                </c:pt>
                <c:pt idx="50">
                  <c:v>9.9999999999999964</c:v>
                </c:pt>
                <c:pt idx="51">
                  <c:v>10.199999999999996</c:v>
                </c:pt>
                <c:pt idx="52">
                  <c:v>10.399999999999995</c:v>
                </c:pt>
                <c:pt idx="53">
                  <c:v>10.599999999999994</c:v>
                </c:pt>
                <c:pt idx="54">
                  <c:v>10.799999999999994</c:v>
                </c:pt>
                <c:pt idx="55">
                  <c:v>10.999999999999993</c:v>
                </c:pt>
                <c:pt idx="56">
                  <c:v>11.199999999999992</c:v>
                </c:pt>
                <c:pt idx="57">
                  <c:v>11.399999999999991</c:v>
                </c:pt>
                <c:pt idx="58">
                  <c:v>11.599999999999991</c:v>
                </c:pt>
                <c:pt idx="59">
                  <c:v>11.79999999999999</c:v>
                </c:pt>
                <c:pt idx="60">
                  <c:v>11.999999999999989</c:v>
                </c:pt>
                <c:pt idx="61">
                  <c:v>12.199999999999989</c:v>
                </c:pt>
                <c:pt idx="62">
                  <c:v>12.399999999999988</c:v>
                </c:pt>
                <c:pt idx="63">
                  <c:v>12.599999999999987</c:v>
                </c:pt>
                <c:pt idx="64">
                  <c:v>12.799999999999986</c:v>
                </c:pt>
                <c:pt idx="65">
                  <c:v>12.999999999999986</c:v>
                </c:pt>
                <c:pt idx="66">
                  <c:v>13.199999999999985</c:v>
                </c:pt>
                <c:pt idx="67">
                  <c:v>13.399999999999984</c:v>
                </c:pt>
                <c:pt idx="68">
                  <c:v>13.599999999999984</c:v>
                </c:pt>
                <c:pt idx="69">
                  <c:v>13.799999999999983</c:v>
                </c:pt>
                <c:pt idx="70">
                  <c:v>13.999999999999982</c:v>
                </c:pt>
              </c:numCache>
            </c:numRef>
          </c:xVal>
          <c:yVal>
            <c:numRef>
              <c:f>Distribution!$AS$12:$AS$82</c:f>
              <c:numCache>
                <c:formatCode>0.000</c:formatCode>
                <c:ptCount val="71"/>
              </c:numCache>
            </c:numRef>
          </c:yVal>
          <c:smooth val="1"/>
          <c:extLst>
            <c:ext xmlns:c16="http://schemas.microsoft.com/office/drawing/2014/chart" uri="{C3380CC4-5D6E-409C-BE32-E72D297353CC}">
              <c16:uniqueId val="{00000005-4A0D-4A37-9E15-7CA363933426}"/>
            </c:ext>
          </c:extLst>
        </c:ser>
        <c:ser>
          <c:idx val="6"/>
          <c:order val="6"/>
          <c:tx>
            <c:v>Alpha H6B</c:v>
          </c:tx>
          <c:spPr>
            <a:ln w="25400">
              <a:solidFill>
                <a:srgbClr val="008080"/>
              </a:solidFill>
              <a:prstDash val="solid"/>
            </a:ln>
          </c:spPr>
          <c:marker>
            <c:symbol val="none"/>
          </c:marker>
          <c:xVal>
            <c:numRef>
              <c:f>Distribution!$O$12:$O$82</c:f>
              <c:numCache>
                <c:formatCode>0.000</c:formatCode>
                <c:ptCount val="71"/>
                <c:pt idx="0">
                  <c:v>0</c:v>
                </c:pt>
                <c:pt idx="1">
                  <c:v>0.2</c:v>
                </c:pt>
                <c:pt idx="2">
                  <c:v>0.4</c:v>
                </c:pt>
                <c:pt idx="3">
                  <c:v>0.60000000000000009</c:v>
                </c:pt>
                <c:pt idx="4">
                  <c:v>0.8</c:v>
                </c:pt>
                <c:pt idx="5">
                  <c:v>1</c:v>
                </c:pt>
                <c:pt idx="6">
                  <c:v>1.2</c:v>
                </c:pt>
                <c:pt idx="7">
                  <c:v>1.4</c:v>
                </c:pt>
                <c:pt idx="8">
                  <c:v>1.5999999999999999</c:v>
                </c:pt>
                <c:pt idx="9">
                  <c:v>1.7999999999999998</c:v>
                </c:pt>
                <c:pt idx="10">
                  <c:v>1.9999999999999998</c:v>
                </c:pt>
                <c:pt idx="11">
                  <c:v>2.1999999999999997</c:v>
                </c:pt>
                <c:pt idx="12">
                  <c:v>2.4</c:v>
                </c:pt>
                <c:pt idx="13">
                  <c:v>2.6</c:v>
                </c:pt>
                <c:pt idx="14">
                  <c:v>2.8000000000000003</c:v>
                </c:pt>
                <c:pt idx="15">
                  <c:v>3.0000000000000004</c:v>
                </c:pt>
                <c:pt idx="16">
                  <c:v>3.2000000000000006</c:v>
                </c:pt>
                <c:pt idx="17">
                  <c:v>3.4000000000000008</c:v>
                </c:pt>
                <c:pt idx="18">
                  <c:v>3.600000000000001</c:v>
                </c:pt>
                <c:pt idx="19">
                  <c:v>3.8000000000000012</c:v>
                </c:pt>
                <c:pt idx="20">
                  <c:v>4.0000000000000009</c:v>
                </c:pt>
                <c:pt idx="21">
                  <c:v>4.2000000000000011</c:v>
                </c:pt>
                <c:pt idx="22">
                  <c:v>4.4000000000000012</c:v>
                </c:pt>
                <c:pt idx="23">
                  <c:v>4.6000000000000014</c:v>
                </c:pt>
                <c:pt idx="24">
                  <c:v>4.8000000000000016</c:v>
                </c:pt>
                <c:pt idx="25">
                  <c:v>5.0000000000000018</c:v>
                </c:pt>
                <c:pt idx="26">
                  <c:v>5.200000000000002</c:v>
                </c:pt>
                <c:pt idx="27">
                  <c:v>5.4000000000000021</c:v>
                </c:pt>
                <c:pt idx="28">
                  <c:v>5.6000000000000023</c:v>
                </c:pt>
                <c:pt idx="29">
                  <c:v>5.8000000000000025</c:v>
                </c:pt>
                <c:pt idx="30">
                  <c:v>6.0000000000000027</c:v>
                </c:pt>
                <c:pt idx="31">
                  <c:v>6.2000000000000028</c:v>
                </c:pt>
                <c:pt idx="32">
                  <c:v>6.400000000000003</c:v>
                </c:pt>
                <c:pt idx="33">
                  <c:v>6.6000000000000032</c:v>
                </c:pt>
                <c:pt idx="34">
                  <c:v>6.8000000000000034</c:v>
                </c:pt>
                <c:pt idx="35">
                  <c:v>7.0000000000000036</c:v>
                </c:pt>
                <c:pt idx="36">
                  <c:v>7.2000000000000037</c:v>
                </c:pt>
                <c:pt idx="37">
                  <c:v>7.4000000000000039</c:v>
                </c:pt>
                <c:pt idx="38">
                  <c:v>7.6000000000000041</c:v>
                </c:pt>
                <c:pt idx="39">
                  <c:v>7.8000000000000043</c:v>
                </c:pt>
                <c:pt idx="40">
                  <c:v>8.0000000000000036</c:v>
                </c:pt>
                <c:pt idx="41">
                  <c:v>8.2000000000000028</c:v>
                </c:pt>
                <c:pt idx="42">
                  <c:v>8.4000000000000021</c:v>
                </c:pt>
                <c:pt idx="43">
                  <c:v>8.6000000000000014</c:v>
                </c:pt>
                <c:pt idx="44">
                  <c:v>8.8000000000000007</c:v>
                </c:pt>
                <c:pt idx="45">
                  <c:v>9</c:v>
                </c:pt>
                <c:pt idx="46">
                  <c:v>9.1999999999999993</c:v>
                </c:pt>
                <c:pt idx="47">
                  <c:v>9.3999999999999986</c:v>
                </c:pt>
                <c:pt idx="48">
                  <c:v>9.5999999999999979</c:v>
                </c:pt>
                <c:pt idx="49">
                  <c:v>9.7999999999999972</c:v>
                </c:pt>
                <c:pt idx="50">
                  <c:v>9.9999999999999964</c:v>
                </c:pt>
                <c:pt idx="51">
                  <c:v>10.199999999999996</c:v>
                </c:pt>
                <c:pt idx="52">
                  <c:v>10.399999999999995</c:v>
                </c:pt>
                <c:pt idx="53">
                  <c:v>10.599999999999994</c:v>
                </c:pt>
                <c:pt idx="54">
                  <c:v>10.799999999999994</c:v>
                </c:pt>
                <c:pt idx="55">
                  <c:v>10.999999999999993</c:v>
                </c:pt>
                <c:pt idx="56">
                  <c:v>11.199999999999992</c:v>
                </c:pt>
                <c:pt idx="57">
                  <c:v>11.399999999999991</c:v>
                </c:pt>
                <c:pt idx="58">
                  <c:v>11.599999999999991</c:v>
                </c:pt>
                <c:pt idx="59">
                  <c:v>11.79999999999999</c:v>
                </c:pt>
                <c:pt idx="60">
                  <c:v>11.999999999999989</c:v>
                </c:pt>
                <c:pt idx="61">
                  <c:v>12.199999999999989</c:v>
                </c:pt>
                <c:pt idx="62">
                  <c:v>12.399999999999988</c:v>
                </c:pt>
                <c:pt idx="63">
                  <c:v>12.599999999999987</c:v>
                </c:pt>
                <c:pt idx="64">
                  <c:v>12.799999999999986</c:v>
                </c:pt>
                <c:pt idx="65">
                  <c:v>12.999999999999986</c:v>
                </c:pt>
                <c:pt idx="66">
                  <c:v>13.199999999999985</c:v>
                </c:pt>
                <c:pt idx="67">
                  <c:v>13.399999999999984</c:v>
                </c:pt>
                <c:pt idx="68">
                  <c:v>13.599999999999984</c:v>
                </c:pt>
                <c:pt idx="69">
                  <c:v>13.799999999999983</c:v>
                </c:pt>
                <c:pt idx="70">
                  <c:v>13.999999999999982</c:v>
                </c:pt>
              </c:numCache>
            </c:numRef>
          </c:xVal>
          <c:yVal>
            <c:numRef>
              <c:f>Distribution!$AT$12:$AT$82</c:f>
              <c:numCache>
                <c:formatCode>0.000</c:formatCode>
                <c:ptCount val="71"/>
              </c:numCache>
            </c:numRef>
          </c:yVal>
          <c:smooth val="1"/>
          <c:extLst>
            <c:ext xmlns:c16="http://schemas.microsoft.com/office/drawing/2014/chart" uri="{C3380CC4-5D6E-409C-BE32-E72D297353CC}">
              <c16:uniqueId val="{00000006-4A0D-4A37-9E15-7CA363933426}"/>
            </c:ext>
          </c:extLst>
        </c:ser>
        <c:dLbls>
          <c:showLegendKey val="0"/>
          <c:showVal val="0"/>
          <c:showCatName val="0"/>
          <c:showSerName val="0"/>
          <c:showPercent val="0"/>
          <c:showBubbleSize val="0"/>
        </c:dLbls>
        <c:axId val="157426432"/>
        <c:axId val="157428352"/>
      </c:scatterChart>
      <c:valAx>
        <c:axId val="157426432"/>
        <c:scaling>
          <c:orientation val="minMax"/>
          <c:max val="14"/>
        </c:scaling>
        <c:delete val="0"/>
        <c:axPos val="b"/>
        <c:majorGridlines/>
        <c:title>
          <c:tx>
            <c:rich>
              <a:bodyPr/>
              <a:lstStyle/>
              <a:p>
                <a:pPr>
                  <a:defRPr sz="1175" b="1" i="0" u="none" strike="noStrike" baseline="0">
                    <a:solidFill>
                      <a:srgbClr val="000000"/>
                    </a:solidFill>
                    <a:latin typeface="Arial"/>
                    <a:ea typeface="Arial"/>
                    <a:cs typeface="Arial"/>
                  </a:defRPr>
                </a:pPr>
                <a:r>
                  <a:rPr lang="pt-BR"/>
                  <a:t>pH</a:t>
                </a:r>
              </a:p>
            </c:rich>
          </c:tx>
          <c:layout>
            <c:manualLayout>
              <c:xMode val="edge"/>
              <c:yMode val="edge"/>
              <c:x val="0.48678160327998987"/>
              <c:y val="0.92178837803585911"/>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175" b="0" i="0" u="none" strike="noStrike" baseline="0">
                <a:solidFill>
                  <a:srgbClr val="000000"/>
                </a:solidFill>
                <a:latin typeface="Arial"/>
                <a:ea typeface="Arial"/>
                <a:cs typeface="Arial"/>
              </a:defRPr>
            </a:pPr>
            <a:endParaRPr lang="en-US"/>
          </a:p>
        </c:txPr>
        <c:crossAx val="157428352"/>
        <c:crossesAt val="-10"/>
        <c:crossBetween val="midCat"/>
        <c:majorUnit val="1"/>
      </c:valAx>
      <c:valAx>
        <c:axId val="157428352"/>
        <c:scaling>
          <c:orientation val="minMax"/>
          <c:max val="0.2"/>
          <c:min val="-8"/>
        </c:scaling>
        <c:delete val="0"/>
        <c:axPos val="l"/>
        <c:majorGridlines>
          <c:spPr>
            <a:ln w="3175">
              <a:solidFill>
                <a:srgbClr val="000000"/>
              </a:solidFill>
              <a:prstDash val="solid"/>
            </a:ln>
          </c:spPr>
        </c:majorGridlines>
        <c:title>
          <c:tx>
            <c:rich>
              <a:bodyPr/>
              <a:lstStyle/>
              <a:p>
                <a:pPr>
                  <a:defRPr sz="1100" b="0" i="0" u="none" strike="noStrike" baseline="0">
                    <a:solidFill>
                      <a:srgbClr val="000000"/>
                    </a:solidFill>
                    <a:latin typeface="Calibri"/>
                    <a:ea typeface="Calibri"/>
                    <a:cs typeface="Calibri"/>
                  </a:defRPr>
                </a:pPr>
                <a:r>
                  <a:rPr lang="pt-BR" sz="1500" b="0" i="0" strike="noStrike">
                    <a:solidFill>
                      <a:srgbClr val="000000"/>
                    </a:solidFill>
                    <a:latin typeface="Arial"/>
                    <a:cs typeface="Arial"/>
                  </a:rPr>
                  <a:t>log</a:t>
                </a:r>
                <a:r>
                  <a:rPr lang="pt-BR" sz="1500" b="0" i="0" strike="noStrike">
                    <a:solidFill>
                      <a:srgbClr val="000000"/>
                    </a:solidFill>
                    <a:latin typeface="Symbol"/>
                  </a:rPr>
                  <a:t> a</a:t>
                </a:r>
                <a:r>
                  <a:rPr lang="pt-BR" sz="1500" b="1" i="0" strike="noStrike" baseline="-25000">
                    <a:solidFill>
                      <a:srgbClr val="000000"/>
                    </a:solidFill>
                    <a:latin typeface="Arial"/>
                    <a:cs typeface="Arial"/>
                  </a:rPr>
                  <a:t>i</a:t>
                </a:r>
              </a:p>
            </c:rich>
          </c:tx>
          <c:layout>
            <c:manualLayout>
              <c:xMode val="edge"/>
              <c:yMode val="edge"/>
              <c:x val="7.2045700169831904E-3"/>
              <c:y val="0.38345971925013761"/>
            </c:manualLayout>
          </c:layout>
          <c:overlay val="0"/>
          <c:spPr>
            <a:noFill/>
            <a:ln w="25400">
              <a:noFill/>
            </a:ln>
          </c:spPr>
        </c:title>
        <c:numFmt formatCode="0.00" sourceLinked="0"/>
        <c:majorTickMark val="out"/>
        <c:minorTickMark val="none"/>
        <c:tickLblPos val="nextTo"/>
        <c:spPr>
          <a:ln w="3175">
            <a:solidFill>
              <a:srgbClr val="000000"/>
            </a:solidFill>
            <a:prstDash val="solid"/>
          </a:ln>
        </c:spPr>
        <c:txPr>
          <a:bodyPr rot="0" vert="horz"/>
          <a:lstStyle/>
          <a:p>
            <a:pPr>
              <a:defRPr sz="1175" b="0" i="0" u="none" strike="noStrike" baseline="0">
                <a:solidFill>
                  <a:srgbClr val="000000"/>
                </a:solidFill>
                <a:latin typeface="Arial"/>
                <a:ea typeface="Arial"/>
                <a:cs typeface="Arial"/>
              </a:defRPr>
            </a:pPr>
            <a:endParaRPr lang="en-US"/>
          </a:p>
        </c:txPr>
        <c:crossAx val="157426432"/>
        <c:crosses val="autoZero"/>
        <c:crossBetween val="midCat"/>
      </c:valAx>
      <c:spPr>
        <a:noFill/>
        <a:ln w="12700">
          <a:solidFill>
            <a:schemeClr val="tx1"/>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en-US"/>
    </a:p>
  </c:txPr>
  <c:printSettings>
    <c:headerFooter alignWithMargins="0"/>
    <c:pageMargins b="0.98425196899999956" l="0.78740157499999996" r="0.78740157499999996" t="0.98425196899999956" header="0.49212598500001165" footer="0.49212598500001165"/>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i="0" u="none" strike="noStrike" baseline="0">
                <a:solidFill>
                  <a:srgbClr val="000000"/>
                </a:solidFill>
                <a:latin typeface="Arial"/>
                <a:ea typeface="Arial"/>
                <a:cs typeface="Arial"/>
              </a:defRPr>
            </a:pPr>
            <a:r>
              <a:rPr lang="pt-BR" sz="1200"/>
              <a:t>Distribution of HiB species along a titration</a:t>
            </a:r>
          </a:p>
        </c:rich>
      </c:tx>
      <c:layout>
        <c:manualLayout>
          <c:xMode val="edge"/>
          <c:yMode val="edge"/>
          <c:x val="0.11298706927689085"/>
          <c:y val="1.3123359580052583E-2"/>
        </c:manualLayout>
      </c:layout>
      <c:overlay val="0"/>
      <c:spPr>
        <a:noFill/>
        <a:ln w="25400">
          <a:noFill/>
        </a:ln>
      </c:spPr>
    </c:title>
    <c:autoTitleDeleted val="0"/>
    <c:plotArea>
      <c:layout>
        <c:manualLayout>
          <c:layoutTarget val="inner"/>
          <c:xMode val="edge"/>
          <c:yMode val="edge"/>
          <c:x val="0.11038961038961038"/>
          <c:y val="9.7113109808454459E-2"/>
          <c:w val="0.8224037207070084"/>
          <c:h val="0.75590744931986475"/>
        </c:manualLayout>
      </c:layout>
      <c:scatterChart>
        <c:scatterStyle val="smoothMarker"/>
        <c:varyColors val="0"/>
        <c:ser>
          <c:idx val="1"/>
          <c:order val="0"/>
          <c:tx>
            <c:v>log alfa 1</c:v>
          </c:tx>
          <c:spPr>
            <a:ln w="25400">
              <a:solidFill>
                <a:srgbClr val="000000"/>
              </a:solidFill>
              <a:prstDash val="solid"/>
            </a:ln>
          </c:spPr>
          <c:marker>
            <c:symbol val="square"/>
            <c:size val="3"/>
            <c:spPr>
              <a:noFill/>
              <a:ln>
                <a:solidFill>
                  <a:srgbClr val="000000"/>
                </a:solidFill>
                <a:prstDash val="solid"/>
              </a:ln>
            </c:spPr>
          </c:marker>
          <c:xVal>
            <c:numRef>
              <c:f>Distribution!$Y$12:$Y$114</c:f>
              <c:numCache>
                <c:formatCode>0.000</c:formatCode>
                <c:ptCount val="103"/>
                <c:pt idx="0">
                  <c:v>0</c:v>
                </c:pt>
                <c:pt idx="1">
                  <c:v>2.3004448812571354</c:v>
                </c:pt>
                <c:pt idx="2">
                  <c:v>4.3254298929241486</c:v>
                </c:pt>
                <c:pt idx="3">
                  <c:v>5.9982889695675112</c:v>
                </c:pt>
                <c:pt idx="4">
                  <c:v>7.2857926934375428</c:v>
                </c:pt>
                <c:pt idx="5">
                  <c:v>8.2150732792797498</c:v>
                </c:pt>
                <c:pt idx="6">
                  <c:v>8.852646873856429</c:v>
                </c:pt>
                <c:pt idx="7">
                  <c:v>9.2745251997257583</c:v>
                </c:pt>
                <c:pt idx="8">
                  <c:v>9.5472193221212365</c:v>
                </c:pt>
                <c:pt idx="9">
                  <c:v>9.7213898246991448</c:v>
                </c:pt>
                <c:pt idx="10">
                  <c:v>9.8327682426315732</c:v>
                </c:pt>
                <c:pt idx="11">
                  <c:v>9.9056407503667288</c:v>
                </c:pt>
                <c:pt idx="12">
                  <c:v>9.956512633652892</c:v>
                </c:pt>
                <c:pt idx="13">
                  <c:v>9.9971799951163121</c:v>
                </c:pt>
                <c:pt idx="14">
                  <c:v>10.037190483126324</c:v>
                </c:pt>
                <c:pt idx="15">
                  <c:v>10.085949620406609</c:v>
                </c:pt>
                <c:pt idx="16">
                  <c:v>10.154803957266267</c:v>
                </c:pt>
                <c:pt idx="17">
                  <c:v>10.259427917480934</c:v>
                </c:pt>
                <c:pt idx="18">
                  <c:v>10.422738817578647</c:v>
                </c:pt>
                <c:pt idx="19">
                  <c:v>10.678157336951699</c:v>
                </c:pt>
                <c:pt idx="20">
                  <c:v>11.071775054733735</c:v>
                </c:pt>
                <c:pt idx="21">
                  <c:v>11.659035268530715</c:v>
                </c:pt>
                <c:pt idx="22">
                  <c:v>12.487507292826194</c:v>
                </c:pt>
                <c:pt idx="23">
                  <c:v>13.560292513284367</c:v>
                </c:pt>
                <c:pt idx="24">
                  <c:v>14.799194350780454</c:v>
                </c:pt>
                <c:pt idx="25">
                  <c:v>16.054576211899985</c:v>
                </c:pt>
                <c:pt idx="26">
                  <c:v>17.173922529036645</c:v>
                </c:pt>
                <c:pt idx="27">
                  <c:v>18.068469061108772</c:v>
                </c:pt>
                <c:pt idx="28">
                  <c:v>18.725484058086295</c:v>
                </c:pt>
                <c:pt idx="29">
                  <c:v>19.179874857945833</c:v>
                </c:pt>
                <c:pt idx="30">
                  <c:v>19.48181740444852</c:v>
                </c:pt>
                <c:pt idx="31">
                  <c:v>19.677734184369911</c:v>
                </c:pt>
                <c:pt idx="32">
                  <c:v>19.803712518478278</c:v>
                </c:pt>
                <c:pt idx="33">
                  <c:v>19.885540132236201</c:v>
                </c:pt>
                <c:pt idx="34">
                  <c:v>19.941073826339561</c:v>
                </c:pt>
                <c:pt idx="35">
                  <c:v>19.982924718351569</c:v>
                </c:pt>
                <c:pt idx="36">
                  <c:v>20.020832466252614</c:v>
                </c:pt>
                <c:pt idx="37">
                  <c:v>20.063731157279108</c:v>
                </c:pt>
                <c:pt idx="38">
                  <c:v>20.121755062427837</c:v>
                </c:pt>
                <c:pt idx="39">
                  <c:v>20.208536063728388</c:v>
                </c:pt>
                <c:pt idx="40">
                  <c:v>20.344214436772745</c:v>
                </c:pt>
                <c:pt idx="41">
                  <c:v>20.55962798622204</c:v>
                </c:pt>
                <c:pt idx="42">
                  <c:v>20.902049214055296</c:v>
                </c:pt>
                <c:pt idx="43">
                  <c:v>21.442285725788679</c:v>
                </c:pt>
                <c:pt idx="44">
                  <c:v>22.281442677194718</c:v>
                </c:pt>
                <c:pt idx="45">
                  <c:v>23.553723619261291</c:v>
                </c:pt>
                <c:pt idx="46">
                  <c:v>25.425947584153619</c:v>
                </c:pt>
                <c:pt idx="47">
                  <c:v>28.122492051625159</c:v>
                </c:pt>
                <c:pt idx="48">
                  <c:v>32.065280988172162</c:v>
                </c:pt>
                <c:pt idx="49">
                  <c:v>38.31748273660196</c:v>
                </c:pt>
                <c:pt idx="50">
                  <c:v>49.999999998544808</c:v>
                </c:pt>
              </c:numCache>
            </c:numRef>
          </c:xVal>
          <c:yVal>
            <c:numRef>
              <c:f>Distribution!$AY$12:$AY$114</c:f>
              <c:numCache>
                <c:formatCode>0.000</c:formatCode>
                <c:ptCount val="103"/>
                <c:pt idx="0">
                  <c:v>-5.4880377197815591</c:v>
                </c:pt>
                <c:pt idx="1">
                  <c:v>-5.1513850581106215</c:v>
                </c:pt>
                <c:pt idx="2">
                  <c:v>-4.8422330884921418</c:v>
                </c:pt>
                <c:pt idx="3">
                  <c:v>-4.5590492169776367</c:v>
                </c:pt>
                <c:pt idx="4">
                  <c:v>-4.2977030492956256</c:v>
                </c:pt>
                <c:pt idx="5">
                  <c:v>-4.0530749009717182</c:v>
                </c:pt>
                <c:pt idx="6">
                  <c:v>-3.8203720006804476</c:v>
                </c:pt>
                <c:pt idx="7">
                  <c:v>-3.5957625091292118</c:v>
                </c:pt>
                <c:pt idx="8">
                  <c:v>-3.3764699358209342</c:v>
                </c:pt>
                <c:pt idx="9">
                  <c:v>-3.1606077177945071</c:v>
                </c:pt>
                <c:pt idx="10">
                  <c:v>-2.9469519195364602</c:v>
                </c:pt>
                <c:pt idx="11">
                  <c:v>-2.7347430315458201</c:v>
                </c:pt>
                <c:pt idx="12">
                  <c:v>-2.5235426175164606</c:v>
                </c:pt>
                <c:pt idx="13">
                  <c:v>-2.3131434244085316</c:v>
                </c:pt>
                <c:pt idx="14">
                  <c:v>-2.1035251417235115</c:v>
                </c:pt>
                <c:pt idx="15">
                  <c:v>-1.8948502667097291</c:v>
                </c:pt>
                <c:pt idx="16">
                  <c:v>-1.6874997504147367</c:v>
                </c:pt>
                <c:pt idx="17">
                  <c:v>-1.4821537535905658</c:v>
                </c:pt>
                <c:pt idx="18">
                  <c:v>-1.2799267061123663</c:v>
                </c:pt>
                <c:pt idx="19">
                  <c:v>-1.0825627163997427</c:v>
                </c:pt>
                <c:pt idx="20">
                  <c:v>-0.89267410294491334</c:v>
                </c:pt>
                <c:pt idx="21">
                  <c:v>-0.71393711285843497</c:v>
                </c:pt>
                <c:pt idx="22">
                  <c:v>-0.55102454167059978</c:v>
                </c:pt>
                <c:pt idx="23">
                  <c:v>-0.40893581073063834</c:v>
                </c:pt>
                <c:pt idx="24">
                  <c:v>-0.29159514461566094</c:v>
                </c:pt>
                <c:pt idx="25">
                  <c:v>-0.20033284870124937</c:v>
                </c:pt>
                <c:pt idx="26">
                  <c:v>-0.13336161223639886</c:v>
                </c:pt>
                <c:pt idx="27">
                  <c:v>-8.6627733729235365E-2</c:v>
                </c:pt>
                <c:pt idx="28">
                  <c:v>-5.5285090420070945E-2</c:v>
                </c:pt>
                <c:pt idx="29">
                  <c:v>-3.4871317635425239E-2</c:v>
                </c:pt>
                <c:pt idx="30">
                  <c:v>-2.1852042292191488E-2</c:v>
                </c:pt>
                <c:pt idx="31">
                  <c:v>-1.3680899514717135E-2</c:v>
                </c:pt>
                <c:pt idx="32">
                  <c:v>-8.6338606268253452E-3</c:v>
                </c:pt>
                <c:pt idx="33">
                  <c:v>-5.5950234988868868E-3</c:v>
                </c:pt>
                <c:pt idx="34">
                  <c:v>-3.8731014388883817E-3</c:v>
                </c:pt>
                <c:pt idx="35">
                  <c:v>-3.0697935070667956E-3</c:v>
                </c:pt>
                <c:pt idx="36">
                  <c:v>-2.9976544218808885E-3</c:v>
                </c:pt>
                <c:pt idx="37">
                  <c:v>-3.6398609596274174E-3</c:v>
                </c:pt>
                <c:pt idx="38">
                  <c:v>-5.1466095297824114E-3</c:v>
                </c:pt>
                <c:pt idx="39">
                  <c:v>-7.8676789935534872E-3</c:v>
                </c:pt>
                <c:pt idx="40">
                  <c:v>-1.2425709821405263E-2</c:v>
                </c:pt>
                <c:pt idx="41">
                  <c:v>-1.9837971568011533E-2</c:v>
                </c:pt>
                <c:pt idx="42">
                  <c:v>-3.1691364125910462E-2</c:v>
                </c:pt>
                <c:pt idx="43">
                  <c:v>-5.035588133096084E-2</c:v>
                </c:pt>
                <c:pt idx="44">
                  <c:v>-7.9167928154249348E-2</c:v>
                </c:pt>
                <c:pt idx="45">
                  <c:v>-0.12241420936087337</c:v>
                </c:pt>
                <c:pt idx="46">
                  <c:v>-0.18484966983579007</c:v>
                </c:pt>
                <c:pt idx="47">
                  <c:v>-0.27058565818943875</c:v>
                </c:pt>
                <c:pt idx="48">
                  <c:v>-0.38168226300755415</c:v>
                </c:pt>
                <c:pt idx="49">
                  <c:v>-0.51730973118313639</c:v>
                </c:pt>
                <c:pt idx="50">
                  <c:v>-0.67409166720581704</c:v>
                </c:pt>
              </c:numCache>
            </c:numRef>
          </c:yVal>
          <c:smooth val="1"/>
          <c:extLst>
            <c:ext xmlns:c16="http://schemas.microsoft.com/office/drawing/2014/chart" uri="{C3380CC4-5D6E-409C-BE32-E72D297353CC}">
              <c16:uniqueId val="{00000000-7C66-49F9-AA25-9FAC3433B265}"/>
            </c:ext>
          </c:extLst>
        </c:ser>
        <c:ser>
          <c:idx val="0"/>
          <c:order val="1"/>
          <c:tx>
            <c:v>log alfa 0</c:v>
          </c:tx>
          <c:spPr>
            <a:ln w="25400">
              <a:solidFill>
                <a:srgbClr val="FF0000"/>
              </a:solidFill>
              <a:prstDash val="solid"/>
            </a:ln>
          </c:spPr>
          <c:marker>
            <c:symbol val="square"/>
            <c:size val="3"/>
            <c:spPr>
              <a:noFill/>
              <a:ln w="9525">
                <a:solidFill>
                  <a:srgbClr val="0000FF"/>
                </a:solidFill>
              </a:ln>
            </c:spPr>
          </c:marker>
          <c:xVal>
            <c:numRef>
              <c:f>Distribution!$Y$12:$Y$114</c:f>
              <c:numCache>
                <c:formatCode>0.000</c:formatCode>
                <c:ptCount val="103"/>
                <c:pt idx="0">
                  <c:v>0</c:v>
                </c:pt>
                <c:pt idx="1">
                  <c:v>2.3004448812571354</c:v>
                </c:pt>
                <c:pt idx="2">
                  <c:v>4.3254298929241486</c:v>
                </c:pt>
                <c:pt idx="3">
                  <c:v>5.9982889695675112</c:v>
                </c:pt>
                <c:pt idx="4">
                  <c:v>7.2857926934375428</c:v>
                </c:pt>
                <c:pt idx="5">
                  <c:v>8.2150732792797498</c:v>
                </c:pt>
                <c:pt idx="6">
                  <c:v>8.852646873856429</c:v>
                </c:pt>
                <c:pt idx="7">
                  <c:v>9.2745251997257583</c:v>
                </c:pt>
                <c:pt idx="8">
                  <c:v>9.5472193221212365</c:v>
                </c:pt>
                <c:pt idx="9">
                  <c:v>9.7213898246991448</c:v>
                </c:pt>
                <c:pt idx="10">
                  <c:v>9.8327682426315732</c:v>
                </c:pt>
                <c:pt idx="11">
                  <c:v>9.9056407503667288</c:v>
                </c:pt>
                <c:pt idx="12">
                  <c:v>9.956512633652892</c:v>
                </c:pt>
                <c:pt idx="13">
                  <c:v>9.9971799951163121</c:v>
                </c:pt>
                <c:pt idx="14">
                  <c:v>10.037190483126324</c:v>
                </c:pt>
                <c:pt idx="15">
                  <c:v>10.085949620406609</c:v>
                </c:pt>
                <c:pt idx="16">
                  <c:v>10.154803957266267</c:v>
                </c:pt>
                <c:pt idx="17">
                  <c:v>10.259427917480934</c:v>
                </c:pt>
                <c:pt idx="18">
                  <c:v>10.422738817578647</c:v>
                </c:pt>
                <c:pt idx="19">
                  <c:v>10.678157336951699</c:v>
                </c:pt>
                <c:pt idx="20">
                  <c:v>11.071775054733735</c:v>
                </c:pt>
                <c:pt idx="21">
                  <c:v>11.659035268530715</c:v>
                </c:pt>
                <c:pt idx="22">
                  <c:v>12.487507292826194</c:v>
                </c:pt>
                <c:pt idx="23">
                  <c:v>13.560292513284367</c:v>
                </c:pt>
                <c:pt idx="24">
                  <c:v>14.799194350780454</c:v>
                </c:pt>
                <c:pt idx="25">
                  <c:v>16.054576211899985</c:v>
                </c:pt>
                <c:pt idx="26">
                  <c:v>17.173922529036645</c:v>
                </c:pt>
                <c:pt idx="27">
                  <c:v>18.068469061108772</c:v>
                </c:pt>
                <c:pt idx="28">
                  <c:v>18.725484058086295</c:v>
                </c:pt>
                <c:pt idx="29">
                  <c:v>19.179874857945833</c:v>
                </c:pt>
                <c:pt idx="30">
                  <c:v>19.48181740444852</c:v>
                </c:pt>
                <c:pt idx="31">
                  <c:v>19.677734184369911</c:v>
                </c:pt>
                <c:pt idx="32">
                  <c:v>19.803712518478278</c:v>
                </c:pt>
                <c:pt idx="33">
                  <c:v>19.885540132236201</c:v>
                </c:pt>
                <c:pt idx="34">
                  <c:v>19.941073826339561</c:v>
                </c:pt>
                <c:pt idx="35">
                  <c:v>19.982924718351569</c:v>
                </c:pt>
                <c:pt idx="36">
                  <c:v>20.020832466252614</c:v>
                </c:pt>
                <c:pt idx="37">
                  <c:v>20.063731157279108</c:v>
                </c:pt>
                <c:pt idx="38">
                  <c:v>20.121755062427837</c:v>
                </c:pt>
                <c:pt idx="39">
                  <c:v>20.208536063728388</c:v>
                </c:pt>
                <c:pt idx="40">
                  <c:v>20.344214436772745</c:v>
                </c:pt>
                <c:pt idx="41">
                  <c:v>20.55962798622204</c:v>
                </c:pt>
                <c:pt idx="42">
                  <c:v>20.902049214055296</c:v>
                </c:pt>
                <c:pt idx="43">
                  <c:v>21.442285725788679</c:v>
                </c:pt>
                <c:pt idx="44">
                  <c:v>22.281442677194718</c:v>
                </c:pt>
                <c:pt idx="45">
                  <c:v>23.553723619261291</c:v>
                </c:pt>
                <c:pt idx="46">
                  <c:v>25.425947584153619</c:v>
                </c:pt>
                <c:pt idx="47">
                  <c:v>28.122492051625159</c:v>
                </c:pt>
                <c:pt idx="48">
                  <c:v>32.065280988172162</c:v>
                </c:pt>
                <c:pt idx="49">
                  <c:v>38.31748273660196</c:v>
                </c:pt>
                <c:pt idx="50">
                  <c:v>49.999999998544808</c:v>
                </c:pt>
              </c:numCache>
            </c:numRef>
          </c:xVal>
          <c:yVal>
            <c:numRef>
              <c:f>Distribution!$AX$12:$AX$114</c:f>
              <c:numCache>
                <c:formatCode>0.000</c:formatCode>
                <c:ptCount val="103"/>
                <c:pt idx="0">
                  <c:v>-15.485771642394713</c:v>
                </c:pt>
                <c:pt idx="1">
                  <c:v>-14.934179805055596</c:v>
                </c:pt>
                <c:pt idx="2">
                  <c:v>-14.410937449290524</c:v>
                </c:pt>
                <c:pt idx="3">
                  <c:v>-13.914610835590624</c:v>
                </c:pt>
                <c:pt idx="4">
                  <c:v>-13.440965686867617</c:v>
                </c:pt>
                <c:pt idx="5">
                  <c:v>-12.984693029496828</c:v>
                </c:pt>
                <c:pt idx="6">
                  <c:v>-12.540810830520778</c:v>
                </c:pt>
                <c:pt idx="7">
                  <c:v>-12.105334666651197</c:v>
                </c:pt>
                <c:pt idx="8">
                  <c:v>-11.675377607370903</c:v>
                </c:pt>
                <c:pt idx="9">
                  <c:v>-11.248977484182154</c:v>
                </c:pt>
                <c:pt idx="10">
                  <c:v>-10.824859614883826</c:v>
                </c:pt>
                <c:pt idx="11">
                  <c:v>-10.402229768832971</c:v>
                </c:pt>
                <c:pt idx="12">
                  <c:v>-9.9806238424991154</c:v>
                </c:pt>
                <c:pt idx="13">
                  <c:v>-9.559812414658996</c:v>
                </c:pt>
                <c:pt idx="14">
                  <c:v>-9.1397515976934134</c:v>
                </c:pt>
                <c:pt idx="15">
                  <c:v>-8.7205738519020031</c:v>
                </c:pt>
                <c:pt idx="16">
                  <c:v>-8.3026177925599605</c:v>
                </c:pt>
                <c:pt idx="17">
                  <c:v>-7.8865021549085945</c:v>
                </c:pt>
                <c:pt idx="18">
                  <c:v>-7.4732543318187545</c:v>
                </c:pt>
                <c:pt idx="19">
                  <c:v>-7.064504106314244</c:v>
                </c:pt>
                <c:pt idx="20">
                  <c:v>-6.6627361601653874</c:v>
                </c:pt>
                <c:pt idx="21">
                  <c:v>-6.2715322004083109</c:v>
                </c:pt>
                <c:pt idx="22">
                  <c:v>-5.8955885481076091</c:v>
                </c:pt>
                <c:pt idx="23">
                  <c:v>-5.5401232757198571</c:v>
                </c:pt>
                <c:pt idx="24">
                  <c:v>-5.2094387754658795</c:v>
                </c:pt>
                <c:pt idx="25">
                  <c:v>-4.9052278484869554</c:v>
                </c:pt>
                <c:pt idx="26">
                  <c:v>-4.6258893577004523</c:v>
                </c:pt>
                <c:pt idx="27">
                  <c:v>-4.3673672677147284</c:v>
                </c:pt>
                <c:pt idx="28">
                  <c:v>-4.1247099959105986</c:v>
                </c:pt>
                <c:pt idx="29">
                  <c:v>-3.8933273199405316</c:v>
                </c:pt>
                <c:pt idx="30">
                  <c:v>-3.6695748760666884</c:v>
                </c:pt>
                <c:pt idx="31">
                  <c:v>-3.4508245155006079</c:v>
                </c:pt>
                <c:pt idx="32">
                  <c:v>-3.2352956567663207</c:v>
                </c:pt>
                <c:pt idx="33">
                  <c:v>-3.0218345248522489</c:v>
                </c:pt>
                <c:pt idx="34">
                  <c:v>-2.8097243988671057</c:v>
                </c:pt>
                <c:pt idx="35">
                  <c:v>-2.5985490185864126</c:v>
                </c:pt>
                <c:pt idx="36">
                  <c:v>-2.3881066205113122</c:v>
                </c:pt>
                <c:pt idx="37">
                  <c:v>-2.1783665277619018</c:v>
                </c:pt>
                <c:pt idx="38">
                  <c:v>-1.969462512116207</c:v>
                </c:pt>
                <c:pt idx="39">
                  <c:v>-1.7617220060515231</c:v>
                </c:pt>
                <c:pt idx="40">
                  <c:v>-1.555735456388589</c:v>
                </c:pt>
                <c:pt idx="41">
                  <c:v>-1.3524739117602842</c:v>
                </c:pt>
                <c:pt idx="42">
                  <c:v>-1.1534614238684855</c:v>
                </c:pt>
                <c:pt idx="43">
                  <c:v>-0.96099253956496733</c:v>
                </c:pt>
                <c:pt idx="44">
                  <c:v>-0.77833587696570172</c:v>
                </c:pt>
                <c:pt idx="45">
                  <c:v>-0.60976382371772753</c:v>
                </c:pt>
                <c:pt idx="46">
                  <c:v>-0.46012975873777456</c:v>
                </c:pt>
                <c:pt idx="47">
                  <c:v>-0.33377300410619953</c:v>
                </c:pt>
                <c:pt idx="48">
                  <c:v>-0.23303478762559407</c:v>
                </c:pt>
                <c:pt idx="49">
                  <c:v>-0.15730919257483819</c:v>
                </c:pt>
                <c:pt idx="50">
                  <c:v>-0.10335735483066054</c:v>
                </c:pt>
              </c:numCache>
            </c:numRef>
          </c:yVal>
          <c:smooth val="1"/>
          <c:extLst>
            <c:ext xmlns:c16="http://schemas.microsoft.com/office/drawing/2014/chart" uri="{C3380CC4-5D6E-409C-BE32-E72D297353CC}">
              <c16:uniqueId val="{00000001-7C66-49F9-AA25-9FAC3433B265}"/>
            </c:ext>
          </c:extLst>
        </c:ser>
        <c:ser>
          <c:idx val="2"/>
          <c:order val="2"/>
          <c:tx>
            <c:v>log alfa 2</c:v>
          </c:tx>
          <c:spPr>
            <a:ln w="25400">
              <a:solidFill>
                <a:srgbClr val="008000"/>
              </a:solidFill>
              <a:prstDash val="solid"/>
            </a:ln>
          </c:spPr>
          <c:marker>
            <c:symbol val="square"/>
            <c:size val="3"/>
            <c:spPr>
              <a:noFill/>
              <a:ln>
                <a:solidFill>
                  <a:srgbClr val="008000"/>
                </a:solidFill>
                <a:prstDash val="solid"/>
              </a:ln>
            </c:spPr>
          </c:marker>
          <c:xVal>
            <c:numRef>
              <c:f>Distribution!$Y$12:$Y$114</c:f>
              <c:numCache>
                <c:formatCode>0.000</c:formatCode>
                <c:ptCount val="103"/>
                <c:pt idx="0">
                  <c:v>0</c:v>
                </c:pt>
                <c:pt idx="1">
                  <c:v>2.3004448812571354</c:v>
                </c:pt>
                <c:pt idx="2">
                  <c:v>4.3254298929241486</c:v>
                </c:pt>
                <c:pt idx="3">
                  <c:v>5.9982889695675112</c:v>
                </c:pt>
                <c:pt idx="4">
                  <c:v>7.2857926934375428</c:v>
                </c:pt>
                <c:pt idx="5">
                  <c:v>8.2150732792797498</c:v>
                </c:pt>
                <c:pt idx="6">
                  <c:v>8.852646873856429</c:v>
                </c:pt>
                <c:pt idx="7">
                  <c:v>9.2745251997257583</c:v>
                </c:pt>
                <c:pt idx="8">
                  <c:v>9.5472193221212365</c:v>
                </c:pt>
                <c:pt idx="9">
                  <c:v>9.7213898246991448</c:v>
                </c:pt>
                <c:pt idx="10">
                  <c:v>9.8327682426315732</c:v>
                </c:pt>
                <c:pt idx="11">
                  <c:v>9.9056407503667288</c:v>
                </c:pt>
                <c:pt idx="12">
                  <c:v>9.956512633652892</c:v>
                </c:pt>
                <c:pt idx="13">
                  <c:v>9.9971799951163121</c:v>
                </c:pt>
                <c:pt idx="14">
                  <c:v>10.037190483126324</c:v>
                </c:pt>
                <c:pt idx="15">
                  <c:v>10.085949620406609</c:v>
                </c:pt>
                <c:pt idx="16">
                  <c:v>10.154803957266267</c:v>
                </c:pt>
                <c:pt idx="17">
                  <c:v>10.259427917480934</c:v>
                </c:pt>
                <c:pt idx="18">
                  <c:v>10.422738817578647</c:v>
                </c:pt>
                <c:pt idx="19">
                  <c:v>10.678157336951699</c:v>
                </c:pt>
                <c:pt idx="20">
                  <c:v>11.071775054733735</c:v>
                </c:pt>
                <c:pt idx="21">
                  <c:v>11.659035268530715</c:v>
                </c:pt>
                <c:pt idx="22">
                  <c:v>12.487507292826194</c:v>
                </c:pt>
                <c:pt idx="23">
                  <c:v>13.560292513284367</c:v>
                </c:pt>
                <c:pt idx="24">
                  <c:v>14.799194350780454</c:v>
                </c:pt>
                <c:pt idx="25">
                  <c:v>16.054576211899985</c:v>
                </c:pt>
                <c:pt idx="26">
                  <c:v>17.173922529036645</c:v>
                </c:pt>
                <c:pt idx="27">
                  <c:v>18.068469061108772</c:v>
                </c:pt>
                <c:pt idx="28">
                  <c:v>18.725484058086295</c:v>
                </c:pt>
                <c:pt idx="29">
                  <c:v>19.179874857945833</c:v>
                </c:pt>
                <c:pt idx="30">
                  <c:v>19.48181740444852</c:v>
                </c:pt>
                <c:pt idx="31">
                  <c:v>19.677734184369911</c:v>
                </c:pt>
                <c:pt idx="32">
                  <c:v>19.803712518478278</c:v>
                </c:pt>
                <c:pt idx="33">
                  <c:v>19.885540132236201</c:v>
                </c:pt>
                <c:pt idx="34">
                  <c:v>19.941073826339561</c:v>
                </c:pt>
                <c:pt idx="35">
                  <c:v>19.982924718351569</c:v>
                </c:pt>
                <c:pt idx="36">
                  <c:v>20.020832466252614</c:v>
                </c:pt>
                <c:pt idx="37">
                  <c:v>20.063731157279108</c:v>
                </c:pt>
                <c:pt idx="38">
                  <c:v>20.121755062427837</c:v>
                </c:pt>
                <c:pt idx="39">
                  <c:v>20.208536063728388</c:v>
                </c:pt>
                <c:pt idx="40">
                  <c:v>20.344214436772745</c:v>
                </c:pt>
                <c:pt idx="41">
                  <c:v>20.55962798622204</c:v>
                </c:pt>
                <c:pt idx="42">
                  <c:v>20.902049214055296</c:v>
                </c:pt>
                <c:pt idx="43">
                  <c:v>21.442285725788679</c:v>
                </c:pt>
                <c:pt idx="44">
                  <c:v>22.281442677194718</c:v>
                </c:pt>
                <c:pt idx="45">
                  <c:v>23.553723619261291</c:v>
                </c:pt>
                <c:pt idx="46">
                  <c:v>25.425947584153619</c:v>
                </c:pt>
                <c:pt idx="47">
                  <c:v>28.122492051625159</c:v>
                </c:pt>
                <c:pt idx="48">
                  <c:v>32.065280988172162</c:v>
                </c:pt>
                <c:pt idx="49">
                  <c:v>38.31748273660196</c:v>
                </c:pt>
                <c:pt idx="50">
                  <c:v>49.999999998544808</c:v>
                </c:pt>
              </c:numCache>
            </c:numRef>
          </c:xVal>
          <c:yVal>
            <c:numRef>
              <c:f>Distribution!$AZ$12:$AZ$114</c:f>
              <c:numCache>
                <c:formatCode>0.000</c:formatCode>
                <c:ptCount val="103"/>
                <c:pt idx="0">
                  <c:v>-0.42723420665833445</c:v>
                </c:pt>
                <c:pt idx="1">
                  <c:v>-0.30552072065557867</c:v>
                </c:pt>
                <c:pt idx="2">
                  <c:v>-0.21045913718369266</c:v>
                </c:pt>
                <c:pt idx="3">
                  <c:v>-0.14041800785457997</c:v>
                </c:pt>
                <c:pt idx="4">
                  <c:v>-9.1370821213565503E-2</c:v>
                </c:pt>
                <c:pt idx="5">
                  <c:v>-5.8387181936540286E-2</c:v>
                </c:pt>
                <c:pt idx="6">
                  <c:v>-3.686358033004869E-2</c:v>
                </c:pt>
                <c:pt idx="7">
                  <c:v>-2.312076109715553E-2</c:v>
                </c:pt>
                <c:pt idx="8">
                  <c:v>-1.4492673760896163E-2</c:v>
                </c:pt>
                <c:pt idx="9">
                  <c:v>-9.1683608967905537E-3</c:v>
                </c:pt>
                <c:pt idx="10">
                  <c:v>-5.9746336790264774E-3</c:v>
                </c:pt>
                <c:pt idx="11">
                  <c:v>-4.1867037485998513E-3</c:v>
                </c:pt>
                <c:pt idx="12">
                  <c:v>-3.3918020237361079E-3</c:v>
                </c:pt>
                <c:pt idx="13">
                  <c:v>-3.4048436479981771E-3</c:v>
                </c:pt>
                <c:pt idx="14">
                  <c:v>-4.2290952435405432E-3</c:v>
                </c:pt>
                <c:pt idx="15">
                  <c:v>-6.0570910073858035E-3</c:v>
                </c:pt>
                <c:pt idx="16">
                  <c:v>-9.3121177594447258E-3</c:v>
                </c:pt>
                <c:pt idx="17">
                  <c:v>-1.4735761762469135E-2</c:v>
                </c:pt>
                <c:pt idx="18">
                  <c:v>-2.3529489895909337E-2</c:v>
                </c:pt>
                <c:pt idx="19">
                  <c:v>-3.7551735975172057E-2</c:v>
                </c:pt>
                <c:pt idx="20">
                  <c:v>-5.9542455214370411E-2</c:v>
                </c:pt>
                <c:pt idx="21">
                  <c:v>-9.3272434798490594E-2</c:v>
                </c:pt>
                <c:pt idx="22">
                  <c:v>-0.14339094472352185</c:v>
                </c:pt>
                <c:pt idx="23">
                  <c:v>-0.21467875523135005</c:v>
                </c:pt>
                <c:pt idx="24">
                  <c:v>-0.31068192325537369</c:v>
                </c:pt>
                <c:pt idx="25">
                  <c:v>-0.4323682584054751</c:v>
                </c:pt>
                <c:pt idx="26">
                  <c:v>-0.57776427626227644</c:v>
                </c:pt>
                <c:pt idx="27">
                  <c:v>-0.74281860923367315</c:v>
                </c:pt>
                <c:pt idx="28">
                  <c:v>-0.92279059441947398</c:v>
                </c:pt>
                <c:pt idx="29">
                  <c:v>-1.1133457248202503</c:v>
                </c:pt>
                <c:pt idx="30">
                  <c:v>-1.3110596180076259</c:v>
                </c:pt>
                <c:pt idx="31">
                  <c:v>-1.5134676930187576</c:v>
                </c:pt>
                <c:pt idx="32">
                  <c:v>-1.7189024739772611</c:v>
                </c:pt>
                <c:pt idx="33">
                  <c:v>-1.9262859316354564</c:v>
                </c:pt>
                <c:pt idx="34">
                  <c:v>-2.1349522135006027</c:v>
                </c:pt>
                <c:pt idx="35">
                  <c:v>-2.3445209779176519</c:v>
                </c:pt>
                <c:pt idx="36">
                  <c:v>-2.554819097822381</c:v>
                </c:pt>
                <c:pt idx="37">
                  <c:v>-2.7658436036472844</c:v>
                </c:pt>
                <c:pt idx="38">
                  <c:v>-2.9777611164332889</c:v>
                </c:pt>
                <c:pt idx="39">
                  <c:v>-3.1909437614255154</c:v>
                </c:pt>
                <c:pt idx="40">
                  <c:v>-3.4060463727441528</c:v>
                </c:pt>
                <c:pt idx="41">
                  <c:v>-3.6241324408656705</c:v>
                </c:pt>
                <c:pt idx="42">
                  <c:v>-3.8468517138732667</c:v>
                </c:pt>
                <c:pt idx="43">
                  <c:v>-4.0766496325868857</c:v>
                </c:pt>
                <c:pt idx="44">
                  <c:v>-4.3169303888327279</c:v>
                </c:pt>
                <c:pt idx="45">
                  <c:v>-4.5719950044939504</c:v>
                </c:pt>
                <c:pt idx="46">
                  <c:v>-4.8464999904237365</c:v>
                </c:pt>
                <c:pt idx="47">
                  <c:v>-5.1443287217626095</c:v>
                </c:pt>
                <c:pt idx="48">
                  <c:v>-5.4672601478794451</c:v>
                </c:pt>
                <c:pt idx="49">
                  <c:v>-5.8142406792813661</c:v>
                </c:pt>
                <c:pt idx="50">
                  <c:v>-6.1817563890709053</c:v>
                </c:pt>
              </c:numCache>
            </c:numRef>
          </c:yVal>
          <c:smooth val="1"/>
          <c:extLst>
            <c:ext xmlns:c16="http://schemas.microsoft.com/office/drawing/2014/chart" uri="{C3380CC4-5D6E-409C-BE32-E72D297353CC}">
              <c16:uniqueId val="{00000002-7C66-49F9-AA25-9FAC3433B265}"/>
            </c:ext>
          </c:extLst>
        </c:ser>
        <c:ser>
          <c:idx val="3"/>
          <c:order val="3"/>
          <c:tx>
            <c:v>log alfa 3</c:v>
          </c:tx>
          <c:spPr>
            <a:ln w="25400">
              <a:solidFill>
                <a:srgbClr val="993300"/>
              </a:solidFill>
              <a:prstDash val="solid"/>
            </a:ln>
          </c:spPr>
          <c:marker>
            <c:symbol val="square"/>
            <c:size val="3"/>
            <c:spPr>
              <a:noFill/>
              <a:ln>
                <a:solidFill>
                  <a:srgbClr val="993300"/>
                </a:solidFill>
                <a:prstDash val="solid"/>
              </a:ln>
            </c:spPr>
          </c:marker>
          <c:xVal>
            <c:numRef>
              <c:f>Distribution!$Y$12:$Y$114</c:f>
              <c:numCache>
                <c:formatCode>0.000</c:formatCode>
                <c:ptCount val="103"/>
                <c:pt idx="0">
                  <c:v>0</c:v>
                </c:pt>
                <c:pt idx="1">
                  <c:v>2.3004448812571354</c:v>
                </c:pt>
                <c:pt idx="2">
                  <c:v>4.3254298929241486</c:v>
                </c:pt>
                <c:pt idx="3">
                  <c:v>5.9982889695675112</c:v>
                </c:pt>
                <c:pt idx="4">
                  <c:v>7.2857926934375428</c:v>
                </c:pt>
                <c:pt idx="5">
                  <c:v>8.2150732792797498</c:v>
                </c:pt>
                <c:pt idx="6">
                  <c:v>8.852646873856429</c:v>
                </c:pt>
                <c:pt idx="7">
                  <c:v>9.2745251997257583</c:v>
                </c:pt>
                <c:pt idx="8">
                  <c:v>9.5472193221212365</c:v>
                </c:pt>
                <c:pt idx="9">
                  <c:v>9.7213898246991448</c:v>
                </c:pt>
                <c:pt idx="10">
                  <c:v>9.8327682426315732</c:v>
                </c:pt>
                <c:pt idx="11">
                  <c:v>9.9056407503667288</c:v>
                </c:pt>
                <c:pt idx="12">
                  <c:v>9.956512633652892</c:v>
                </c:pt>
                <c:pt idx="13">
                  <c:v>9.9971799951163121</c:v>
                </c:pt>
                <c:pt idx="14">
                  <c:v>10.037190483126324</c:v>
                </c:pt>
                <c:pt idx="15">
                  <c:v>10.085949620406609</c:v>
                </c:pt>
                <c:pt idx="16">
                  <c:v>10.154803957266267</c:v>
                </c:pt>
                <c:pt idx="17">
                  <c:v>10.259427917480934</c:v>
                </c:pt>
                <c:pt idx="18">
                  <c:v>10.422738817578647</c:v>
                </c:pt>
                <c:pt idx="19">
                  <c:v>10.678157336951699</c:v>
                </c:pt>
                <c:pt idx="20">
                  <c:v>11.071775054733735</c:v>
                </c:pt>
                <c:pt idx="21">
                  <c:v>11.659035268530715</c:v>
                </c:pt>
                <c:pt idx="22">
                  <c:v>12.487507292826194</c:v>
                </c:pt>
                <c:pt idx="23">
                  <c:v>13.560292513284367</c:v>
                </c:pt>
                <c:pt idx="24">
                  <c:v>14.799194350780454</c:v>
                </c:pt>
                <c:pt idx="25">
                  <c:v>16.054576211899985</c:v>
                </c:pt>
                <c:pt idx="26">
                  <c:v>17.173922529036645</c:v>
                </c:pt>
                <c:pt idx="27">
                  <c:v>18.068469061108772</c:v>
                </c:pt>
                <c:pt idx="28">
                  <c:v>18.725484058086295</c:v>
                </c:pt>
                <c:pt idx="29">
                  <c:v>19.179874857945833</c:v>
                </c:pt>
                <c:pt idx="30">
                  <c:v>19.48181740444852</c:v>
                </c:pt>
                <c:pt idx="31">
                  <c:v>19.677734184369911</c:v>
                </c:pt>
                <c:pt idx="32">
                  <c:v>19.803712518478278</c:v>
                </c:pt>
                <c:pt idx="33">
                  <c:v>19.885540132236201</c:v>
                </c:pt>
                <c:pt idx="34">
                  <c:v>19.941073826339561</c:v>
                </c:pt>
                <c:pt idx="35">
                  <c:v>19.982924718351569</c:v>
                </c:pt>
                <c:pt idx="36">
                  <c:v>20.020832466252614</c:v>
                </c:pt>
                <c:pt idx="37">
                  <c:v>20.063731157279108</c:v>
                </c:pt>
                <c:pt idx="38">
                  <c:v>20.121755062427837</c:v>
                </c:pt>
                <c:pt idx="39">
                  <c:v>20.208536063728388</c:v>
                </c:pt>
                <c:pt idx="40">
                  <c:v>20.344214436772745</c:v>
                </c:pt>
                <c:pt idx="41">
                  <c:v>20.55962798622204</c:v>
                </c:pt>
                <c:pt idx="42">
                  <c:v>20.902049214055296</c:v>
                </c:pt>
                <c:pt idx="43">
                  <c:v>21.442285725788679</c:v>
                </c:pt>
                <c:pt idx="44">
                  <c:v>22.281442677194718</c:v>
                </c:pt>
                <c:pt idx="45">
                  <c:v>23.553723619261291</c:v>
                </c:pt>
                <c:pt idx="46">
                  <c:v>25.425947584153619</c:v>
                </c:pt>
                <c:pt idx="47">
                  <c:v>28.122492051625159</c:v>
                </c:pt>
                <c:pt idx="48">
                  <c:v>32.065280988172162</c:v>
                </c:pt>
                <c:pt idx="49">
                  <c:v>38.31748273660196</c:v>
                </c:pt>
                <c:pt idx="50">
                  <c:v>49.999999998544808</c:v>
                </c:pt>
              </c:numCache>
            </c:numRef>
          </c:xVal>
          <c:yVal>
            <c:numRef>
              <c:f>Distribution!$BA$12:$BA$114</c:f>
              <c:numCache>
                <c:formatCode>0.000</c:formatCode>
                <c:ptCount val="103"/>
                <c:pt idx="0">
                  <c:v>-0.20336175042389248</c:v>
                </c:pt>
                <c:pt idx="1">
                  <c:v>-0.29658744008931792</c:v>
                </c:pt>
                <c:pt idx="2">
                  <c:v>-0.41561624276402592</c:v>
                </c:pt>
                <c:pt idx="3">
                  <c:v>-0.55871785562030563</c:v>
                </c:pt>
                <c:pt idx="4">
                  <c:v>-0.72196965002028779</c:v>
                </c:pt>
                <c:pt idx="5">
                  <c:v>-0.90063051979014475</c:v>
                </c:pt>
                <c:pt idx="6">
                  <c:v>-1.0902862168684324</c:v>
                </c:pt>
                <c:pt idx="7">
                  <c:v>-1.2874100699538822</c:v>
                </c:pt>
                <c:pt idx="8">
                  <c:v>-1.4894464685896409</c:v>
                </c:pt>
                <c:pt idx="9">
                  <c:v>-1.6946600608878566</c:v>
                </c:pt>
                <c:pt idx="10">
                  <c:v>-1.9019284047103753</c:v>
                </c:pt>
                <c:pt idx="11">
                  <c:v>-2.1105614328401625</c:v>
                </c:pt>
                <c:pt idx="12">
                  <c:v>-2.3201720434197943</c:v>
                </c:pt>
                <c:pt idx="13">
                  <c:v>-2.530597319776247</c:v>
                </c:pt>
                <c:pt idx="14">
                  <c:v>-2.7418641056523523</c:v>
                </c:pt>
                <c:pt idx="15">
                  <c:v>-2.9541949721938252</c:v>
                </c:pt>
                <c:pt idx="16">
                  <c:v>-3.1680555419929353</c:v>
                </c:pt>
                <c:pt idx="17">
                  <c:v>-3.3842488268231552</c:v>
                </c:pt>
                <c:pt idx="18">
                  <c:v>-3.604063330568235</c:v>
                </c:pt>
                <c:pt idx="19">
                  <c:v>-3.8294718124393841</c:v>
                </c:pt>
                <c:pt idx="20">
                  <c:v>-4.0633418643726102</c:v>
                </c:pt>
                <c:pt idx="21">
                  <c:v>-4.3095388136273289</c:v>
                </c:pt>
                <c:pt idx="22">
                  <c:v>-4.5726884046652261</c:v>
                </c:pt>
                <c:pt idx="23">
                  <c:v>-4.8573527566208448</c:v>
                </c:pt>
                <c:pt idx="24">
                  <c:v>-5.166699758783869</c:v>
                </c:pt>
                <c:pt idx="25">
                  <c:v>-5.5013347249984834</c:v>
                </c:pt>
                <c:pt idx="26">
                  <c:v>-5.8590979971769368</c:v>
                </c:pt>
                <c:pt idx="27">
                  <c:v>-6.2359405416268938</c:v>
                </c:pt>
                <c:pt idx="28">
                  <c:v>-6.6272271553076596</c:v>
                </c:pt>
                <c:pt idx="29">
                  <c:v>-7.0287511888938576</c:v>
                </c:pt>
                <c:pt idx="30">
                  <c:v>-7.4371982506118428</c:v>
                </c:pt>
                <c:pt idx="31">
                  <c:v>-7.8501855434115804</c:v>
                </c:pt>
                <c:pt idx="32">
                  <c:v>-8.2661021442164806</c:v>
                </c:pt>
                <c:pt idx="33">
                  <c:v>-8.6839078966608092</c:v>
                </c:pt>
                <c:pt idx="34">
                  <c:v>-9.1029623824510981</c:v>
                </c:pt>
                <c:pt idx="35">
                  <c:v>-9.5229032192170191</c:v>
                </c:pt>
                <c:pt idx="36">
                  <c:v>-9.9435715981116637</c:v>
                </c:pt>
                <c:pt idx="37">
                  <c:v>-10.364978403223724</c:v>
                </c:pt>
                <c:pt idx="38">
                  <c:v>-10.787306680225578</c:v>
                </c:pt>
                <c:pt idx="39">
                  <c:v>-11.21095090074626</c:v>
                </c:pt>
                <c:pt idx="40">
                  <c:v>-11.636598092555683</c:v>
                </c:pt>
                <c:pt idx="41">
                  <c:v>-12.06535796705211</c:v>
                </c:pt>
                <c:pt idx="42">
                  <c:v>-12.498943120509406</c:v>
                </c:pt>
                <c:pt idx="43">
                  <c:v>-12.939874440731593</c:v>
                </c:pt>
                <c:pt idx="44">
                  <c:v>-13.391623906399989</c:v>
                </c:pt>
                <c:pt idx="45">
                  <c:v>-13.85850685651581</c:v>
                </c:pt>
                <c:pt idx="46">
                  <c:v>-14.345081367900466</c:v>
                </c:pt>
                <c:pt idx="47">
                  <c:v>-14.855002842224563</c:v>
                </c:pt>
                <c:pt idx="48">
                  <c:v>-15.38976908964012</c:v>
                </c:pt>
                <c:pt idx="49">
                  <c:v>-15.948102684268379</c:v>
                </c:pt>
                <c:pt idx="50">
                  <c:v>-16.526352167824776</c:v>
                </c:pt>
              </c:numCache>
            </c:numRef>
          </c:yVal>
          <c:smooth val="1"/>
          <c:extLst>
            <c:ext xmlns:c16="http://schemas.microsoft.com/office/drawing/2014/chart" uri="{C3380CC4-5D6E-409C-BE32-E72D297353CC}">
              <c16:uniqueId val="{00000003-7C66-49F9-AA25-9FAC3433B265}"/>
            </c:ext>
          </c:extLst>
        </c:ser>
        <c:ser>
          <c:idx val="4"/>
          <c:order val="4"/>
          <c:tx>
            <c:v>log alfa 4</c:v>
          </c:tx>
          <c:spPr>
            <a:ln w="25400">
              <a:solidFill>
                <a:srgbClr val="0000FF"/>
              </a:solidFill>
              <a:prstDash val="solid"/>
            </a:ln>
          </c:spPr>
          <c:marker>
            <c:symbol val="square"/>
            <c:size val="3"/>
            <c:spPr>
              <a:noFill/>
              <a:ln>
                <a:solidFill>
                  <a:srgbClr val="800080"/>
                </a:solidFill>
                <a:prstDash val="solid"/>
              </a:ln>
            </c:spPr>
          </c:marker>
          <c:xVal>
            <c:numRef>
              <c:f>Distribution!$Y$12:$Y$114</c:f>
              <c:numCache>
                <c:formatCode>0.000</c:formatCode>
                <c:ptCount val="103"/>
                <c:pt idx="0">
                  <c:v>0</c:v>
                </c:pt>
                <c:pt idx="1">
                  <c:v>2.3004448812571354</c:v>
                </c:pt>
                <c:pt idx="2">
                  <c:v>4.3254298929241486</c:v>
                </c:pt>
                <c:pt idx="3">
                  <c:v>5.9982889695675112</c:v>
                </c:pt>
                <c:pt idx="4">
                  <c:v>7.2857926934375428</c:v>
                </c:pt>
                <c:pt idx="5">
                  <c:v>8.2150732792797498</c:v>
                </c:pt>
                <c:pt idx="6">
                  <c:v>8.852646873856429</c:v>
                </c:pt>
                <c:pt idx="7">
                  <c:v>9.2745251997257583</c:v>
                </c:pt>
                <c:pt idx="8">
                  <c:v>9.5472193221212365</c:v>
                </c:pt>
                <c:pt idx="9">
                  <c:v>9.7213898246991448</c:v>
                </c:pt>
                <c:pt idx="10">
                  <c:v>9.8327682426315732</c:v>
                </c:pt>
                <c:pt idx="11">
                  <c:v>9.9056407503667288</c:v>
                </c:pt>
                <c:pt idx="12">
                  <c:v>9.956512633652892</c:v>
                </c:pt>
                <c:pt idx="13">
                  <c:v>9.9971799951163121</c:v>
                </c:pt>
                <c:pt idx="14">
                  <c:v>10.037190483126324</c:v>
                </c:pt>
                <c:pt idx="15">
                  <c:v>10.085949620406609</c:v>
                </c:pt>
                <c:pt idx="16">
                  <c:v>10.154803957266267</c:v>
                </c:pt>
                <c:pt idx="17">
                  <c:v>10.259427917480934</c:v>
                </c:pt>
                <c:pt idx="18">
                  <c:v>10.422738817578647</c:v>
                </c:pt>
                <c:pt idx="19">
                  <c:v>10.678157336951699</c:v>
                </c:pt>
                <c:pt idx="20">
                  <c:v>11.071775054733735</c:v>
                </c:pt>
                <c:pt idx="21">
                  <c:v>11.659035268530715</c:v>
                </c:pt>
                <c:pt idx="22">
                  <c:v>12.487507292826194</c:v>
                </c:pt>
                <c:pt idx="23">
                  <c:v>13.560292513284367</c:v>
                </c:pt>
                <c:pt idx="24">
                  <c:v>14.799194350780454</c:v>
                </c:pt>
                <c:pt idx="25">
                  <c:v>16.054576211899985</c:v>
                </c:pt>
                <c:pt idx="26">
                  <c:v>17.173922529036645</c:v>
                </c:pt>
                <c:pt idx="27">
                  <c:v>18.068469061108772</c:v>
                </c:pt>
                <c:pt idx="28">
                  <c:v>18.725484058086295</c:v>
                </c:pt>
                <c:pt idx="29">
                  <c:v>19.179874857945833</c:v>
                </c:pt>
                <c:pt idx="30">
                  <c:v>19.48181740444852</c:v>
                </c:pt>
                <c:pt idx="31">
                  <c:v>19.677734184369911</c:v>
                </c:pt>
                <c:pt idx="32">
                  <c:v>19.803712518478278</c:v>
                </c:pt>
                <c:pt idx="33">
                  <c:v>19.885540132236201</c:v>
                </c:pt>
                <c:pt idx="34">
                  <c:v>19.941073826339561</c:v>
                </c:pt>
                <c:pt idx="35">
                  <c:v>19.982924718351569</c:v>
                </c:pt>
                <c:pt idx="36">
                  <c:v>20.020832466252614</c:v>
                </c:pt>
                <c:pt idx="37">
                  <c:v>20.063731157279108</c:v>
                </c:pt>
                <c:pt idx="38">
                  <c:v>20.121755062427837</c:v>
                </c:pt>
                <c:pt idx="39">
                  <c:v>20.208536063728388</c:v>
                </c:pt>
                <c:pt idx="40">
                  <c:v>20.344214436772745</c:v>
                </c:pt>
                <c:pt idx="41">
                  <c:v>20.55962798622204</c:v>
                </c:pt>
                <c:pt idx="42">
                  <c:v>20.902049214055296</c:v>
                </c:pt>
                <c:pt idx="43">
                  <c:v>21.442285725788679</c:v>
                </c:pt>
                <c:pt idx="44">
                  <c:v>22.281442677194718</c:v>
                </c:pt>
                <c:pt idx="45">
                  <c:v>23.553723619261291</c:v>
                </c:pt>
                <c:pt idx="46">
                  <c:v>25.425947584153619</c:v>
                </c:pt>
                <c:pt idx="47">
                  <c:v>28.122492051625159</c:v>
                </c:pt>
                <c:pt idx="48">
                  <c:v>32.065280988172162</c:v>
                </c:pt>
                <c:pt idx="49">
                  <c:v>38.31748273660196</c:v>
                </c:pt>
                <c:pt idx="50">
                  <c:v>49.999999998544808</c:v>
                </c:pt>
              </c:numCache>
            </c:numRef>
          </c:xVal>
          <c:yVal>
            <c:numRef>
              <c:f>Distribution!$BB$12:$BB$114</c:f>
              <c:numCache>
                <c:formatCode>0.000</c:formatCode>
                <c:ptCount val="103"/>
              </c:numCache>
            </c:numRef>
          </c:yVal>
          <c:smooth val="1"/>
          <c:extLst>
            <c:ext xmlns:c16="http://schemas.microsoft.com/office/drawing/2014/chart" uri="{C3380CC4-5D6E-409C-BE32-E72D297353CC}">
              <c16:uniqueId val="{00000004-7C66-49F9-AA25-9FAC3433B265}"/>
            </c:ext>
          </c:extLst>
        </c:ser>
        <c:ser>
          <c:idx val="5"/>
          <c:order val="5"/>
          <c:tx>
            <c:v>log alfa 5</c:v>
          </c:tx>
          <c:spPr>
            <a:ln w="25400">
              <a:solidFill>
                <a:srgbClr val="FF00FF"/>
              </a:solidFill>
              <a:prstDash val="solid"/>
            </a:ln>
          </c:spPr>
          <c:marker>
            <c:symbol val="square"/>
            <c:size val="3"/>
            <c:spPr>
              <a:noFill/>
              <a:ln>
                <a:solidFill>
                  <a:srgbClr val="800000"/>
                </a:solidFill>
                <a:prstDash val="solid"/>
              </a:ln>
            </c:spPr>
          </c:marker>
          <c:xVal>
            <c:numRef>
              <c:f>Distribution!$Y$12:$Y$114</c:f>
              <c:numCache>
                <c:formatCode>0.000</c:formatCode>
                <c:ptCount val="103"/>
                <c:pt idx="0">
                  <c:v>0</c:v>
                </c:pt>
                <c:pt idx="1">
                  <c:v>2.3004448812571354</c:v>
                </c:pt>
                <c:pt idx="2">
                  <c:v>4.3254298929241486</c:v>
                </c:pt>
                <c:pt idx="3">
                  <c:v>5.9982889695675112</c:v>
                </c:pt>
                <c:pt idx="4">
                  <c:v>7.2857926934375428</c:v>
                </c:pt>
                <c:pt idx="5">
                  <c:v>8.2150732792797498</c:v>
                </c:pt>
                <c:pt idx="6">
                  <c:v>8.852646873856429</c:v>
                </c:pt>
                <c:pt idx="7">
                  <c:v>9.2745251997257583</c:v>
                </c:pt>
                <c:pt idx="8">
                  <c:v>9.5472193221212365</c:v>
                </c:pt>
                <c:pt idx="9">
                  <c:v>9.7213898246991448</c:v>
                </c:pt>
                <c:pt idx="10">
                  <c:v>9.8327682426315732</c:v>
                </c:pt>
                <c:pt idx="11">
                  <c:v>9.9056407503667288</c:v>
                </c:pt>
                <c:pt idx="12">
                  <c:v>9.956512633652892</c:v>
                </c:pt>
                <c:pt idx="13">
                  <c:v>9.9971799951163121</c:v>
                </c:pt>
                <c:pt idx="14">
                  <c:v>10.037190483126324</c:v>
                </c:pt>
                <c:pt idx="15">
                  <c:v>10.085949620406609</c:v>
                </c:pt>
                <c:pt idx="16">
                  <c:v>10.154803957266267</c:v>
                </c:pt>
                <c:pt idx="17">
                  <c:v>10.259427917480934</c:v>
                </c:pt>
                <c:pt idx="18">
                  <c:v>10.422738817578647</c:v>
                </c:pt>
                <c:pt idx="19">
                  <c:v>10.678157336951699</c:v>
                </c:pt>
                <c:pt idx="20">
                  <c:v>11.071775054733735</c:v>
                </c:pt>
                <c:pt idx="21">
                  <c:v>11.659035268530715</c:v>
                </c:pt>
                <c:pt idx="22">
                  <c:v>12.487507292826194</c:v>
                </c:pt>
                <c:pt idx="23">
                  <c:v>13.560292513284367</c:v>
                </c:pt>
                <c:pt idx="24">
                  <c:v>14.799194350780454</c:v>
                </c:pt>
                <c:pt idx="25">
                  <c:v>16.054576211899985</c:v>
                </c:pt>
                <c:pt idx="26">
                  <c:v>17.173922529036645</c:v>
                </c:pt>
                <c:pt idx="27">
                  <c:v>18.068469061108772</c:v>
                </c:pt>
                <c:pt idx="28">
                  <c:v>18.725484058086295</c:v>
                </c:pt>
                <c:pt idx="29">
                  <c:v>19.179874857945833</c:v>
                </c:pt>
                <c:pt idx="30">
                  <c:v>19.48181740444852</c:v>
                </c:pt>
                <c:pt idx="31">
                  <c:v>19.677734184369911</c:v>
                </c:pt>
                <c:pt idx="32">
                  <c:v>19.803712518478278</c:v>
                </c:pt>
                <c:pt idx="33">
                  <c:v>19.885540132236201</c:v>
                </c:pt>
                <c:pt idx="34">
                  <c:v>19.941073826339561</c:v>
                </c:pt>
                <c:pt idx="35">
                  <c:v>19.982924718351569</c:v>
                </c:pt>
                <c:pt idx="36">
                  <c:v>20.020832466252614</c:v>
                </c:pt>
                <c:pt idx="37">
                  <c:v>20.063731157279108</c:v>
                </c:pt>
                <c:pt idx="38">
                  <c:v>20.121755062427837</c:v>
                </c:pt>
                <c:pt idx="39">
                  <c:v>20.208536063728388</c:v>
                </c:pt>
                <c:pt idx="40">
                  <c:v>20.344214436772745</c:v>
                </c:pt>
                <c:pt idx="41">
                  <c:v>20.55962798622204</c:v>
                </c:pt>
                <c:pt idx="42">
                  <c:v>20.902049214055296</c:v>
                </c:pt>
                <c:pt idx="43">
                  <c:v>21.442285725788679</c:v>
                </c:pt>
                <c:pt idx="44">
                  <c:v>22.281442677194718</c:v>
                </c:pt>
                <c:pt idx="45">
                  <c:v>23.553723619261291</c:v>
                </c:pt>
                <c:pt idx="46">
                  <c:v>25.425947584153619</c:v>
                </c:pt>
                <c:pt idx="47">
                  <c:v>28.122492051625159</c:v>
                </c:pt>
                <c:pt idx="48">
                  <c:v>32.065280988172162</c:v>
                </c:pt>
                <c:pt idx="49">
                  <c:v>38.31748273660196</c:v>
                </c:pt>
                <c:pt idx="50">
                  <c:v>49.999999998544808</c:v>
                </c:pt>
              </c:numCache>
            </c:numRef>
          </c:xVal>
          <c:yVal>
            <c:numRef>
              <c:f>Distribution!$BC$12:$BC$114</c:f>
              <c:numCache>
                <c:formatCode>0.000</c:formatCode>
                <c:ptCount val="103"/>
              </c:numCache>
            </c:numRef>
          </c:yVal>
          <c:smooth val="1"/>
          <c:extLst>
            <c:ext xmlns:c16="http://schemas.microsoft.com/office/drawing/2014/chart" uri="{C3380CC4-5D6E-409C-BE32-E72D297353CC}">
              <c16:uniqueId val="{00000005-7C66-49F9-AA25-9FAC3433B265}"/>
            </c:ext>
          </c:extLst>
        </c:ser>
        <c:ser>
          <c:idx val="6"/>
          <c:order val="6"/>
          <c:tx>
            <c:v>log alfa 6</c:v>
          </c:tx>
          <c:spPr>
            <a:ln w="25400">
              <a:solidFill>
                <a:srgbClr val="008080"/>
              </a:solidFill>
              <a:prstDash val="solid"/>
            </a:ln>
          </c:spPr>
          <c:marker>
            <c:symbol val="square"/>
            <c:size val="5"/>
            <c:spPr>
              <a:noFill/>
              <a:ln>
                <a:solidFill>
                  <a:srgbClr val="008080"/>
                </a:solidFill>
                <a:prstDash val="solid"/>
              </a:ln>
            </c:spPr>
          </c:marker>
          <c:xVal>
            <c:numRef>
              <c:f>Distribution!$Y$12:$Y$114</c:f>
              <c:numCache>
                <c:formatCode>0.000</c:formatCode>
                <c:ptCount val="103"/>
                <c:pt idx="0">
                  <c:v>0</c:v>
                </c:pt>
                <c:pt idx="1">
                  <c:v>2.3004448812571354</c:v>
                </c:pt>
                <c:pt idx="2">
                  <c:v>4.3254298929241486</c:v>
                </c:pt>
                <c:pt idx="3">
                  <c:v>5.9982889695675112</c:v>
                </c:pt>
                <c:pt idx="4">
                  <c:v>7.2857926934375428</c:v>
                </c:pt>
                <c:pt idx="5">
                  <c:v>8.2150732792797498</c:v>
                </c:pt>
                <c:pt idx="6">
                  <c:v>8.852646873856429</c:v>
                </c:pt>
                <c:pt idx="7">
                  <c:v>9.2745251997257583</c:v>
                </c:pt>
                <c:pt idx="8">
                  <c:v>9.5472193221212365</c:v>
                </c:pt>
                <c:pt idx="9">
                  <c:v>9.7213898246991448</c:v>
                </c:pt>
                <c:pt idx="10">
                  <c:v>9.8327682426315732</c:v>
                </c:pt>
                <c:pt idx="11">
                  <c:v>9.9056407503667288</c:v>
                </c:pt>
                <c:pt idx="12">
                  <c:v>9.956512633652892</c:v>
                </c:pt>
                <c:pt idx="13">
                  <c:v>9.9971799951163121</c:v>
                </c:pt>
                <c:pt idx="14">
                  <c:v>10.037190483126324</c:v>
                </c:pt>
                <c:pt idx="15">
                  <c:v>10.085949620406609</c:v>
                </c:pt>
                <c:pt idx="16">
                  <c:v>10.154803957266267</c:v>
                </c:pt>
                <c:pt idx="17">
                  <c:v>10.259427917480934</c:v>
                </c:pt>
                <c:pt idx="18">
                  <c:v>10.422738817578647</c:v>
                </c:pt>
                <c:pt idx="19">
                  <c:v>10.678157336951699</c:v>
                </c:pt>
                <c:pt idx="20">
                  <c:v>11.071775054733735</c:v>
                </c:pt>
                <c:pt idx="21">
                  <c:v>11.659035268530715</c:v>
                </c:pt>
                <c:pt idx="22">
                  <c:v>12.487507292826194</c:v>
                </c:pt>
                <c:pt idx="23">
                  <c:v>13.560292513284367</c:v>
                </c:pt>
                <c:pt idx="24">
                  <c:v>14.799194350780454</c:v>
                </c:pt>
                <c:pt idx="25">
                  <c:v>16.054576211899985</c:v>
                </c:pt>
                <c:pt idx="26">
                  <c:v>17.173922529036645</c:v>
                </c:pt>
                <c:pt idx="27">
                  <c:v>18.068469061108772</c:v>
                </c:pt>
                <c:pt idx="28">
                  <c:v>18.725484058086295</c:v>
                </c:pt>
                <c:pt idx="29">
                  <c:v>19.179874857945833</c:v>
                </c:pt>
                <c:pt idx="30">
                  <c:v>19.48181740444852</c:v>
                </c:pt>
                <c:pt idx="31">
                  <c:v>19.677734184369911</c:v>
                </c:pt>
                <c:pt idx="32">
                  <c:v>19.803712518478278</c:v>
                </c:pt>
                <c:pt idx="33">
                  <c:v>19.885540132236201</c:v>
                </c:pt>
                <c:pt idx="34">
                  <c:v>19.941073826339561</c:v>
                </c:pt>
                <c:pt idx="35">
                  <c:v>19.982924718351569</c:v>
                </c:pt>
                <c:pt idx="36">
                  <c:v>20.020832466252614</c:v>
                </c:pt>
                <c:pt idx="37">
                  <c:v>20.063731157279108</c:v>
                </c:pt>
                <c:pt idx="38">
                  <c:v>20.121755062427837</c:v>
                </c:pt>
                <c:pt idx="39">
                  <c:v>20.208536063728388</c:v>
                </c:pt>
                <c:pt idx="40">
                  <c:v>20.344214436772745</c:v>
                </c:pt>
                <c:pt idx="41">
                  <c:v>20.55962798622204</c:v>
                </c:pt>
                <c:pt idx="42">
                  <c:v>20.902049214055296</c:v>
                </c:pt>
                <c:pt idx="43">
                  <c:v>21.442285725788679</c:v>
                </c:pt>
                <c:pt idx="44">
                  <c:v>22.281442677194718</c:v>
                </c:pt>
                <c:pt idx="45">
                  <c:v>23.553723619261291</c:v>
                </c:pt>
                <c:pt idx="46">
                  <c:v>25.425947584153619</c:v>
                </c:pt>
                <c:pt idx="47">
                  <c:v>28.122492051625159</c:v>
                </c:pt>
                <c:pt idx="48">
                  <c:v>32.065280988172162</c:v>
                </c:pt>
                <c:pt idx="49">
                  <c:v>38.31748273660196</c:v>
                </c:pt>
                <c:pt idx="50">
                  <c:v>49.999999998544808</c:v>
                </c:pt>
              </c:numCache>
            </c:numRef>
          </c:xVal>
          <c:yVal>
            <c:numRef>
              <c:f>Distribution!$BD$12:$BD$114</c:f>
              <c:numCache>
                <c:formatCode>0.000</c:formatCode>
                <c:ptCount val="103"/>
              </c:numCache>
            </c:numRef>
          </c:yVal>
          <c:smooth val="1"/>
          <c:extLst>
            <c:ext xmlns:c16="http://schemas.microsoft.com/office/drawing/2014/chart" uri="{C3380CC4-5D6E-409C-BE32-E72D297353CC}">
              <c16:uniqueId val="{00000006-7C66-49F9-AA25-9FAC3433B265}"/>
            </c:ext>
          </c:extLst>
        </c:ser>
        <c:dLbls>
          <c:showLegendKey val="0"/>
          <c:showVal val="0"/>
          <c:showCatName val="0"/>
          <c:showSerName val="0"/>
          <c:showPercent val="0"/>
          <c:showBubbleSize val="0"/>
        </c:dLbls>
        <c:axId val="157540736"/>
        <c:axId val="157543040"/>
      </c:scatterChart>
      <c:scatterChart>
        <c:scatterStyle val="smoothMarker"/>
        <c:varyColors val="0"/>
        <c:ser>
          <c:idx val="7"/>
          <c:order val="7"/>
          <c:spPr>
            <a:ln w="12700">
              <a:solidFill>
                <a:srgbClr val="002060"/>
              </a:solidFill>
              <a:prstDash val="sysDash"/>
            </a:ln>
          </c:spPr>
          <c:marker>
            <c:symbol val="circle"/>
            <c:size val="5"/>
            <c:spPr>
              <a:noFill/>
              <a:ln>
                <a:solidFill>
                  <a:srgbClr val="0000FF"/>
                </a:solidFill>
              </a:ln>
            </c:spPr>
          </c:marker>
          <c:xVal>
            <c:numRef>
              <c:f>Distribution!$Y$12:$Y$158</c:f>
              <c:numCache>
                <c:formatCode>0.000</c:formatCode>
                <c:ptCount val="147"/>
                <c:pt idx="0">
                  <c:v>0</c:v>
                </c:pt>
                <c:pt idx="1">
                  <c:v>2.3004448812571354</c:v>
                </c:pt>
                <c:pt idx="2">
                  <c:v>4.3254298929241486</c:v>
                </c:pt>
                <c:pt idx="3">
                  <c:v>5.9982889695675112</c:v>
                </c:pt>
                <c:pt idx="4">
                  <c:v>7.2857926934375428</c:v>
                </c:pt>
                <c:pt idx="5">
                  <c:v>8.2150732792797498</c:v>
                </c:pt>
                <c:pt idx="6">
                  <c:v>8.852646873856429</c:v>
                </c:pt>
                <c:pt idx="7">
                  <c:v>9.2745251997257583</c:v>
                </c:pt>
                <c:pt idx="8">
                  <c:v>9.5472193221212365</c:v>
                </c:pt>
                <c:pt idx="9">
                  <c:v>9.7213898246991448</c:v>
                </c:pt>
                <c:pt idx="10">
                  <c:v>9.8327682426315732</c:v>
                </c:pt>
                <c:pt idx="11">
                  <c:v>9.9056407503667288</c:v>
                </c:pt>
                <c:pt idx="12">
                  <c:v>9.956512633652892</c:v>
                </c:pt>
                <c:pt idx="13">
                  <c:v>9.9971799951163121</c:v>
                </c:pt>
                <c:pt idx="14">
                  <c:v>10.037190483126324</c:v>
                </c:pt>
                <c:pt idx="15">
                  <c:v>10.085949620406609</c:v>
                </c:pt>
                <c:pt idx="16">
                  <c:v>10.154803957266267</c:v>
                </c:pt>
                <c:pt idx="17">
                  <c:v>10.259427917480934</c:v>
                </c:pt>
                <c:pt idx="18">
                  <c:v>10.422738817578647</c:v>
                </c:pt>
                <c:pt idx="19">
                  <c:v>10.678157336951699</c:v>
                </c:pt>
                <c:pt idx="20">
                  <c:v>11.071775054733735</c:v>
                </c:pt>
                <c:pt idx="21">
                  <c:v>11.659035268530715</c:v>
                </c:pt>
                <c:pt idx="22">
                  <c:v>12.487507292826194</c:v>
                </c:pt>
                <c:pt idx="23">
                  <c:v>13.560292513284367</c:v>
                </c:pt>
                <c:pt idx="24">
                  <c:v>14.799194350780454</c:v>
                </c:pt>
                <c:pt idx="25">
                  <c:v>16.054576211899985</c:v>
                </c:pt>
                <c:pt idx="26">
                  <c:v>17.173922529036645</c:v>
                </c:pt>
                <c:pt idx="27">
                  <c:v>18.068469061108772</c:v>
                </c:pt>
                <c:pt idx="28">
                  <c:v>18.725484058086295</c:v>
                </c:pt>
                <c:pt idx="29">
                  <c:v>19.179874857945833</c:v>
                </c:pt>
                <c:pt idx="30">
                  <c:v>19.48181740444852</c:v>
                </c:pt>
                <c:pt idx="31">
                  <c:v>19.677734184369911</c:v>
                </c:pt>
                <c:pt idx="32">
                  <c:v>19.803712518478278</c:v>
                </c:pt>
                <c:pt idx="33">
                  <c:v>19.885540132236201</c:v>
                </c:pt>
                <c:pt idx="34">
                  <c:v>19.941073826339561</c:v>
                </c:pt>
                <c:pt idx="35">
                  <c:v>19.982924718351569</c:v>
                </c:pt>
                <c:pt idx="36">
                  <c:v>20.020832466252614</c:v>
                </c:pt>
                <c:pt idx="37">
                  <c:v>20.063731157279108</c:v>
                </c:pt>
                <c:pt idx="38">
                  <c:v>20.121755062427837</c:v>
                </c:pt>
                <c:pt idx="39">
                  <c:v>20.208536063728388</c:v>
                </c:pt>
                <c:pt idx="40">
                  <c:v>20.344214436772745</c:v>
                </c:pt>
                <c:pt idx="41">
                  <c:v>20.55962798622204</c:v>
                </c:pt>
                <c:pt idx="42">
                  <c:v>20.902049214055296</c:v>
                </c:pt>
                <c:pt idx="43">
                  <c:v>21.442285725788679</c:v>
                </c:pt>
                <c:pt idx="44">
                  <c:v>22.281442677194718</c:v>
                </c:pt>
                <c:pt idx="45">
                  <c:v>23.553723619261291</c:v>
                </c:pt>
                <c:pt idx="46">
                  <c:v>25.425947584153619</c:v>
                </c:pt>
                <c:pt idx="47">
                  <c:v>28.122492051625159</c:v>
                </c:pt>
                <c:pt idx="48">
                  <c:v>32.065280988172162</c:v>
                </c:pt>
                <c:pt idx="49">
                  <c:v>38.31748273660196</c:v>
                </c:pt>
                <c:pt idx="50">
                  <c:v>49.999999998544808</c:v>
                </c:pt>
              </c:numCache>
            </c:numRef>
          </c:xVal>
          <c:yVal>
            <c:numRef>
              <c:f>Distribution!$Z$12:$Z$158</c:f>
              <c:numCache>
                <c:formatCode>0.000</c:formatCode>
                <c:ptCount val="147"/>
                <c:pt idx="0">
                  <c:v>1.8171072800722754</c:v>
                </c:pt>
                <c:pt idx="1">
                  <c:v>2.03204784726322</c:v>
                </c:pt>
                <c:pt idx="2">
                  <c:v>2.2461396194374883</c:v>
                </c:pt>
                <c:pt idx="3">
                  <c:v>2.4592837415154789</c:v>
                </c:pt>
                <c:pt idx="4">
                  <c:v>2.6715840969865385</c:v>
                </c:pt>
                <c:pt idx="5">
                  <c:v>2.8832299762264122</c:v>
                </c:pt>
                <c:pt idx="6">
                  <c:v>3.0944106420923969</c:v>
                </c:pt>
                <c:pt idx="7">
                  <c:v>3.3052786795679925</c:v>
                </c:pt>
                <c:pt idx="8">
                  <c:v>3.5159445293883027</c:v>
                </c:pt>
                <c:pt idx="9">
                  <c:v>3.7264837975794283</c:v>
                </c:pt>
                <c:pt idx="10">
                  <c:v>3.9369472311575628</c:v>
                </c:pt>
                <c:pt idx="11">
                  <c:v>4.1473695514894615</c:v>
                </c:pt>
                <c:pt idx="12">
                  <c:v>4.3577764259656462</c:v>
                </c:pt>
                <c:pt idx="13">
                  <c:v>4.568190022913047</c:v>
                </c:pt>
                <c:pt idx="14">
                  <c:v>4.7786339196049799</c:v>
                </c:pt>
                <c:pt idx="15">
                  <c:v>4.989138153184598</c:v>
                </c:pt>
                <c:pt idx="16">
                  <c:v>5.1997450596983432</c:v>
                </c:pt>
                <c:pt idx="17">
                  <c:v>5.4105160650546065</c:v>
                </c:pt>
                <c:pt idx="18">
                  <c:v>5.6215382068211683</c:v>
                </c:pt>
                <c:pt idx="19">
                  <c:v>5.8329258111339772</c:v>
                </c:pt>
                <c:pt idx="20">
                  <c:v>6.0448065155412518</c:v>
                </c:pt>
                <c:pt idx="21">
                  <c:v>6.2572748607294768</c:v>
                </c:pt>
                <c:pt idx="22">
                  <c:v>6.4703073210120445</c:v>
                </c:pt>
                <c:pt idx="23">
                  <c:v>6.6836852438660559</c:v>
                </c:pt>
                <c:pt idx="24">
                  <c:v>6.8970304591995308</c:v>
                </c:pt>
                <c:pt idx="25">
                  <c:v>7.1099804688999608</c:v>
                </c:pt>
                <c:pt idx="26">
                  <c:v>7.322349098093679</c:v>
                </c:pt>
                <c:pt idx="27">
                  <c:v>7.5341386806955644</c:v>
                </c:pt>
                <c:pt idx="28">
                  <c:v>7.7454546772478645</c:v>
                </c:pt>
                <c:pt idx="29">
                  <c:v>7.9564249462523851</c:v>
                </c:pt>
                <c:pt idx="30">
                  <c:v>8.1671594790759396</c:v>
                </c:pt>
                <c:pt idx="31">
                  <c:v>8.377740060160809</c:v>
                </c:pt>
                <c:pt idx="32">
                  <c:v>8.5882232426729104</c:v>
                </c:pt>
                <c:pt idx="33">
                  <c:v>8.7986468997393832</c:v>
                </c:pt>
                <c:pt idx="34">
                  <c:v>9.0090364657241615</c:v>
                </c:pt>
                <c:pt idx="35">
                  <c:v>9.2194099000282304</c:v>
                </c:pt>
                <c:pt idx="36">
                  <c:v>9.4297815209616029</c:v>
                </c:pt>
                <c:pt idx="37">
                  <c:v>9.6401651822701666</c:v>
                </c:pt>
                <c:pt idx="38">
                  <c:v>9.8505773086917063</c:v>
                </c:pt>
                <c:pt idx="39">
                  <c:v>10.061040246754805</c:v>
                </c:pt>
                <c:pt idx="40">
                  <c:v>10.271586190317612</c:v>
                </c:pt>
                <c:pt idx="41">
                  <c:v>10.482261360601155</c:v>
                </c:pt>
                <c:pt idx="42">
                  <c:v>10.693128606202979</c:v>
                </c:pt>
                <c:pt idx="43">
                  <c:v>10.904263374595613</c:v>
                </c:pt>
                <c:pt idx="44">
                  <c:v>11.115733453073027</c:v>
                </c:pt>
                <c:pt idx="45">
                  <c:v>11.327553158845967</c:v>
                </c:pt>
                <c:pt idx="46">
                  <c:v>11.539624057245398</c:v>
                </c:pt>
                <c:pt idx="47">
                  <c:v>11.751718173325493</c:v>
                </c:pt>
                <c:pt idx="48">
                  <c:v>11.963554366049292</c:v>
                </c:pt>
                <c:pt idx="49">
                  <c:v>12.174908797581793</c:v>
                </c:pt>
                <c:pt idx="50">
                  <c:v>12.385643935645515</c:v>
                </c:pt>
              </c:numCache>
            </c:numRef>
          </c:yVal>
          <c:smooth val="1"/>
          <c:extLst>
            <c:ext xmlns:c16="http://schemas.microsoft.com/office/drawing/2014/chart" uri="{C3380CC4-5D6E-409C-BE32-E72D297353CC}">
              <c16:uniqueId val="{00000007-7C66-49F9-AA25-9FAC3433B265}"/>
            </c:ext>
          </c:extLst>
        </c:ser>
        <c:dLbls>
          <c:showLegendKey val="0"/>
          <c:showVal val="0"/>
          <c:showCatName val="0"/>
          <c:showSerName val="0"/>
          <c:showPercent val="0"/>
          <c:showBubbleSize val="0"/>
        </c:dLbls>
        <c:axId val="157559040"/>
        <c:axId val="157557504"/>
      </c:scatterChart>
      <c:valAx>
        <c:axId val="157540736"/>
        <c:scaling>
          <c:orientation val="minMax"/>
        </c:scaling>
        <c:delete val="0"/>
        <c:axPos val="b"/>
        <c:majorGridlines/>
        <c:title>
          <c:tx>
            <c:rich>
              <a:bodyPr/>
              <a:lstStyle/>
              <a:p>
                <a:pPr>
                  <a:defRPr sz="1175" b="1" i="0" u="none" strike="noStrike" baseline="0">
                    <a:solidFill>
                      <a:srgbClr val="000000"/>
                    </a:solidFill>
                    <a:latin typeface="Arial"/>
                    <a:ea typeface="Arial"/>
                    <a:cs typeface="Arial"/>
                  </a:defRPr>
                </a:pPr>
                <a:r>
                  <a:rPr lang="pt-BR"/>
                  <a:t>Volume (mL)</a:t>
                </a:r>
              </a:p>
            </c:rich>
          </c:tx>
          <c:layout>
            <c:manualLayout>
              <c:xMode val="edge"/>
              <c:yMode val="edge"/>
              <c:x val="0.44044141271331422"/>
              <c:y val="0.93267709610178651"/>
            </c:manualLayout>
          </c:layout>
          <c:overlay val="0"/>
          <c:spPr>
            <a:noFill/>
            <a:ln w="25400">
              <a:noFill/>
            </a:ln>
          </c:spPr>
        </c:title>
        <c:numFmt formatCode="0.0" sourceLinked="0"/>
        <c:majorTickMark val="out"/>
        <c:minorTickMark val="none"/>
        <c:tickLblPos val="nextTo"/>
        <c:txPr>
          <a:bodyPr rot="0" vert="horz"/>
          <a:lstStyle/>
          <a:p>
            <a:pPr>
              <a:defRPr sz="1175" b="0" i="0" u="none" strike="noStrike" baseline="0">
                <a:solidFill>
                  <a:srgbClr val="000000"/>
                </a:solidFill>
                <a:latin typeface="Arial"/>
                <a:ea typeface="Arial"/>
                <a:cs typeface="Arial"/>
              </a:defRPr>
            </a:pPr>
            <a:endParaRPr lang="en-US"/>
          </a:p>
        </c:txPr>
        <c:crossAx val="157543040"/>
        <c:crossesAt val="-10"/>
        <c:crossBetween val="midCat"/>
      </c:valAx>
      <c:valAx>
        <c:axId val="157543040"/>
        <c:scaling>
          <c:orientation val="minMax"/>
          <c:max val="0.2"/>
          <c:min val="-8"/>
        </c:scaling>
        <c:delete val="0"/>
        <c:axPos val="l"/>
        <c:majorGridlines>
          <c:spPr>
            <a:ln w="3175">
              <a:solidFill>
                <a:srgbClr val="000000"/>
              </a:solidFill>
              <a:prstDash val="solid"/>
            </a:ln>
          </c:spPr>
        </c:majorGridlines>
        <c:title>
          <c:tx>
            <c:rich>
              <a:bodyPr/>
              <a:lstStyle/>
              <a:p>
                <a:pPr>
                  <a:defRPr sz="1100" b="0" i="0" u="none" strike="noStrike" baseline="0">
                    <a:solidFill>
                      <a:srgbClr val="000000"/>
                    </a:solidFill>
                    <a:latin typeface="Calibri"/>
                    <a:ea typeface="Calibri"/>
                    <a:cs typeface="Calibri"/>
                  </a:defRPr>
                </a:pPr>
                <a:r>
                  <a:rPr lang="pt-BR" sz="1500" b="0" i="0" strike="noStrike">
                    <a:solidFill>
                      <a:srgbClr val="000000"/>
                    </a:solidFill>
                    <a:latin typeface="Arial"/>
                    <a:cs typeface="Arial"/>
                  </a:rPr>
                  <a:t>log</a:t>
                </a:r>
                <a:r>
                  <a:rPr lang="pt-BR" sz="1500" b="0" i="0" strike="noStrike">
                    <a:solidFill>
                      <a:srgbClr val="000000"/>
                    </a:solidFill>
                    <a:latin typeface="Symbol"/>
                  </a:rPr>
                  <a:t> a</a:t>
                </a:r>
                <a:r>
                  <a:rPr lang="pt-BR" sz="1500" b="1" i="0" strike="noStrike" baseline="-25000">
                    <a:solidFill>
                      <a:srgbClr val="000000"/>
                    </a:solidFill>
                    <a:latin typeface="Arial"/>
                    <a:cs typeface="Arial"/>
                  </a:rPr>
                  <a:t>i</a:t>
                </a:r>
              </a:p>
            </c:rich>
          </c:tx>
          <c:layout>
            <c:manualLayout>
              <c:xMode val="edge"/>
              <c:yMode val="edge"/>
              <c:x val="7.2047416091338343E-3"/>
              <c:y val="0.38345971925013761"/>
            </c:manualLayout>
          </c:layout>
          <c:overlay val="0"/>
          <c:spPr>
            <a:noFill/>
            <a:ln w="25400">
              <a:noFill/>
            </a:ln>
          </c:spPr>
        </c:title>
        <c:numFmt formatCode="0.00" sourceLinked="0"/>
        <c:majorTickMark val="out"/>
        <c:minorTickMark val="none"/>
        <c:tickLblPos val="nextTo"/>
        <c:spPr>
          <a:ln w="3175">
            <a:solidFill>
              <a:srgbClr val="000000"/>
            </a:solidFill>
            <a:prstDash val="solid"/>
          </a:ln>
        </c:spPr>
        <c:txPr>
          <a:bodyPr rot="0" vert="horz"/>
          <a:lstStyle/>
          <a:p>
            <a:pPr>
              <a:defRPr sz="1175" b="0" i="0" u="none" strike="noStrike" baseline="0">
                <a:solidFill>
                  <a:srgbClr val="000000"/>
                </a:solidFill>
                <a:latin typeface="Arial"/>
                <a:ea typeface="Arial"/>
                <a:cs typeface="Arial"/>
              </a:defRPr>
            </a:pPr>
            <a:endParaRPr lang="en-US"/>
          </a:p>
        </c:txPr>
        <c:crossAx val="157540736"/>
        <c:crosses val="autoZero"/>
        <c:crossBetween val="midCat"/>
      </c:valAx>
      <c:valAx>
        <c:axId val="157557504"/>
        <c:scaling>
          <c:orientation val="minMax"/>
        </c:scaling>
        <c:delete val="0"/>
        <c:axPos val="r"/>
        <c:numFmt formatCode="0" sourceLinked="0"/>
        <c:majorTickMark val="out"/>
        <c:minorTickMark val="none"/>
        <c:tickLblPos val="nextTo"/>
        <c:crossAx val="157559040"/>
        <c:crosses val="max"/>
        <c:crossBetween val="midCat"/>
      </c:valAx>
      <c:valAx>
        <c:axId val="157559040"/>
        <c:scaling>
          <c:orientation val="minMax"/>
        </c:scaling>
        <c:delete val="1"/>
        <c:axPos val="b"/>
        <c:numFmt formatCode="0.000" sourceLinked="1"/>
        <c:majorTickMark val="out"/>
        <c:minorTickMark val="none"/>
        <c:tickLblPos val="nextTo"/>
        <c:crossAx val="157557504"/>
        <c:crosses val="autoZero"/>
        <c:crossBetween val="midCat"/>
      </c:valAx>
      <c:spPr>
        <a:noFill/>
        <a:ln w="12700">
          <a:solidFill>
            <a:schemeClr val="tx1"/>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en-US"/>
    </a:p>
  </c:txPr>
  <c:printSettings>
    <c:headerFooter alignWithMargins="0"/>
    <c:pageMargins b="0.98425196899999956" l="0.78740157499999996" r="0.78740157499999996" t="0.98425196899999956" header="0.49212598500001187" footer="0.49212598500001187"/>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pt-BR" sz="1200" baseline="0"/>
              <a:t>Buffer capacity</a:t>
            </a:r>
          </a:p>
        </c:rich>
      </c:tx>
      <c:layout>
        <c:manualLayout>
          <c:xMode val="edge"/>
          <c:yMode val="edge"/>
          <c:x val="9.2883137301369184E-2"/>
          <c:y val="1.305472740616812E-2"/>
        </c:manualLayout>
      </c:layout>
      <c:overlay val="0"/>
      <c:spPr>
        <a:noFill/>
        <a:ln w="25400">
          <a:noFill/>
        </a:ln>
      </c:spPr>
    </c:title>
    <c:autoTitleDeleted val="0"/>
    <c:plotArea>
      <c:layout>
        <c:manualLayout>
          <c:layoutTarget val="inner"/>
          <c:xMode val="edge"/>
          <c:yMode val="edge"/>
          <c:x val="8.6837098275946267E-2"/>
          <c:y val="8.3550913838120244E-2"/>
          <c:w val="0.8823548462129065"/>
          <c:h val="0.76834824322610829"/>
        </c:manualLayout>
      </c:layout>
      <c:scatterChart>
        <c:scatterStyle val="smoothMarker"/>
        <c:varyColors val="0"/>
        <c:ser>
          <c:idx val="0"/>
          <c:order val="0"/>
          <c:tx>
            <c:v>buffer</c:v>
          </c:tx>
          <c:spPr>
            <a:ln w="38100">
              <a:solidFill>
                <a:srgbClr val="09007E"/>
              </a:solidFill>
              <a:prstDash val="solid"/>
            </a:ln>
          </c:spPr>
          <c:marker>
            <c:symbol val="none"/>
          </c:marker>
          <c:xVal>
            <c:numRef>
              <c:f>Distribution!$O$12:$O$135</c:f>
              <c:numCache>
                <c:formatCode>0.000</c:formatCode>
                <c:ptCount val="124"/>
                <c:pt idx="0">
                  <c:v>0</c:v>
                </c:pt>
                <c:pt idx="1">
                  <c:v>0.2</c:v>
                </c:pt>
                <c:pt idx="2">
                  <c:v>0.4</c:v>
                </c:pt>
                <c:pt idx="3">
                  <c:v>0.60000000000000009</c:v>
                </c:pt>
                <c:pt idx="4">
                  <c:v>0.8</c:v>
                </c:pt>
                <c:pt idx="5">
                  <c:v>1</c:v>
                </c:pt>
                <c:pt idx="6">
                  <c:v>1.2</c:v>
                </c:pt>
                <c:pt idx="7">
                  <c:v>1.4</c:v>
                </c:pt>
                <c:pt idx="8">
                  <c:v>1.5999999999999999</c:v>
                </c:pt>
                <c:pt idx="9">
                  <c:v>1.7999999999999998</c:v>
                </c:pt>
                <c:pt idx="10">
                  <c:v>1.9999999999999998</c:v>
                </c:pt>
                <c:pt idx="11">
                  <c:v>2.1999999999999997</c:v>
                </c:pt>
                <c:pt idx="12">
                  <c:v>2.4</c:v>
                </c:pt>
                <c:pt idx="13">
                  <c:v>2.6</c:v>
                </c:pt>
                <c:pt idx="14">
                  <c:v>2.8000000000000003</c:v>
                </c:pt>
                <c:pt idx="15">
                  <c:v>3.0000000000000004</c:v>
                </c:pt>
                <c:pt idx="16">
                  <c:v>3.2000000000000006</c:v>
                </c:pt>
                <c:pt idx="17">
                  <c:v>3.4000000000000008</c:v>
                </c:pt>
                <c:pt idx="18">
                  <c:v>3.600000000000001</c:v>
                </c:pt>
                <c:pt idx="19">
                  <c:v>3.8000000000000012</c:v>
                </c:pt>
                <c:pt idx="20">
                  <c:v>4.0000000000000009</c:v>
                </c:pt>
                <c:pt idx="21">
                  <c:v>4.2000000000000011</c:v>
                </c:pt>
                <c:pt idx="22">
                  <c:v>4.4000000000000012</c:v>
                </c:pt>
                <c:pt idx="23">
                  <c:v>4.6000000000000014</c:v>
                </c:pt>
                <c:pt idx="24">
                  <c:v>4.8000000000000016</c:v>
                </c:pt>
                <c:pt idx="25">
                  <c:v>5.0000000000000018</c:v>
                </c:pt>
                <c:pt idx="26">
                  <c:v>5.200000000000002</c:v>
                </c:pt>
                <c:pt idx="27">
                  <c:v>5.4000000000000021</c:v>
                </c:pt>
                <c:pt idx="28">
                  <c:v>5.6000000000000023</c:v>
                </c:pt>
                <c:pt idx="29">
                  <c:v>5.8000000000000025</c:v>
                </c:pt>
                <c:pt idx="30">
                  <c:v>6.0000000000000027</c:v>
                </c:pt>
                <c:pt idx="31">
                  <c:v>6.2000000000000028</c:v>
                </c:pt>
                <c:pt idx="32">
                  <c:v>6.400000000000003</c:v>
                </c:pt>
                <c:pt idx="33">
                  <c:v>6.6000000000000032</c:v>
                </c:pt>
                <c:pt idx="34">
                  <c:v>6.8000000000000034</c:v>
                </c:pt>
                <c:pt idx="35">
                  <c:v>7.0000000000000036</c:v>
                </c:pt>
                <c:pt idx="36">
                  <c:v>7.2000000000000037</c:v>
                </c:pt>
                <c:pt idx="37">
                  <c:v>7.4000000000000039</c:v>
                </c:pt>
                <c:pt idx="38">
                  <c:v>7.6000000000000041</c:v>
                </c:pt>
                <c:pt idx="39">
                  <c:v>7.8000000000000043</c:v>
                </c:pt>
                <c:pt idx="40">
                  <c:v>8.0000000000000036</c:v>
                </c:pt>
                <c:pt idx="41">
                  <c:v>8.2000000000000028</c:v>
                </c:pt>
                <c:pt idx="42">
                  <c:v>8.4000000000000021</c:v>
                </c:pt>
                <c:pt idx="43">
                  <c:v>8.6000000000000014</c:v>
                </c:pt>
                <c:pt idx="44">
                  <c:v>8.8000000000000007</c:v>
                </c:pt>
                <c:pt idx="45">
                  <c:v>9</c:v>
                </c:pt>
                <c:pt idx="46">
                  <c:v>9.1999999999999993</c:v>
                </c:pt>
                <c:pt idx="47">
                  <c:v>9.3999999999999986</c:v>
                </c:pt>
                <c:pt idx="48">
                  <c:v>9.5999999999999979</c:v>
                </c:pt>
                <c:pt idx="49">
                  <c:v>9.7999999999999972</c:v>
                </c:pt>
                <c:pt idx="50">
                  <c:v>9.9999999999999964</c:v>
                </c:pt>
                <c:pt idx="51">
                  <c:v>10.199999999999996</c:v>
                </c:pt>
                <c:pt idx="52">
                  <c:v>10.399999999999995</c:v>
                </c:pt>
                <c:pt idx="53">
                  <c:v>10.599999999999994</c:v>
                </c:pt>
                <c:pt idx="54">
                  <c:v>10.799999999999994</c:v>
                </c:pt>
                <c:pt idx="55">
                  <c:v>10.999999999999993</c:v>
                </c:pt>
                <c:pt idx="56">
                  <c:v>11.199999999999992</c:v>
                </c:pt>
                <c:pt idx="57">
                  <c:v>11.399999999999991</c:v>
                </c:pt>
                <c:pt idx="58">
                  <c:v>11.599999999999991</c:v>
                </c:pt>
                <c:pt idx="59">
                  <c:v>11.79999999999999</c:v>
                </c:pt>
                <c:pt idx="60">
                  <c:v>11.999999999999989</c:v>
                </c:pt>
                <c:pt idx="61">
                  <c:v>12.199999999999989</c:v>
                </c:pt>
                <c:pt idx="62">
                  <c:v>12.399999999999988</c:v>
                </c:pt>
                <c:pt idx="63">
                  <c:v>12.599999999999987</c:v>
                </c:pt>
                <c:pt idx="64">
                  <c:v>12.799999999999986</c:v>
                </c:pt>
                <c:pt idx="65">
                  <c:v>12.999999999999986</c:v>
                </c:pt>
                <c:pt idx="66">
                  <c:v>13.199999999999985</c:v>
                </c:pt>
                <c:pt idx="67">
                  <c:v>13.399999999999984</c:v>
                </c:pt>
                <c:pt idx="68">
                  <c:v>13.599999999999984</c:v>
                </c:pt>
                <c:pt idx="69">
                  <c:v>13.799999999999983</c:v>
                </c:pt>
                <c:pt idx="70">
                  <c:v>13.999999999999982</c:v>
                </c:pt>
              </c:numCache>
            </c:numRef>
          </c:xVal>
          <c:yVal>
            <c:numRef>
              <c:f>Distribution!$X$12:$X$135</c:f>
              <c:numCache>
                <c:formatCode>0.000</c:formatCode>
                <c:ptCount val="124"/>
                <c:pt idx="0">
                  <c:v>2.9470598353394553</c:v>
                </c:pt>
                <c:pt idx="1">
                  <c:v>1.8604334118625532</c:v>
                </c:pt>
                <c:pt idx="2">
                  <c:v>1.1753513038547314</c:v>
                </c:pt>
                <c:pt idx="3">
                  <c:v>0.74389371350979905</c:v>
                </c:pt>
                <c:pt idx="4">
                  <c:v>0.47282623367197241</c:v>
                </c:pt>
                <c:pt idx="5">
                  <c:v>0.30340474636721804</c:v>
                </c:pt>
                <c:pt idx="6">
                  <c:v>0.19856415799438068</c:v>
                </c:pt>
                <c:pt idx="7">
                  <c:v>0.13471825715196345</c:v>
                </c:pt>
                <c:pt idx="8">
                  <c:v>9.647580921706285E-2</c:v>
                </c:pt>
                <c:pt idx="9">
                  <c:v>7.3368250782854305E-2</c:v>
                </c:pt>
                <c:pt idx="10">
                  <c:v>5.8180338206695402E-2</c:v>
                </c:pt>
                <c:pt idx="11">
                  <c:v>4.6429632781777051E-2</c:v>
                </c:pt>
                <c:pt idx="12">
                  <c:v>3.6107748192569761E-2</c:v>
                </c:pt>
                <c:pt idx="13">
                  <c:v>2.6924409176750812E-2</c:v>
                </c:pt>
                <c:pt idx="14">
                  <c:v>1.9223634885413371E-2</c:v>
                </c:pt>
                <c:pt idx="15">
                  <c:v>1.3232219522617399E-2</c:v>
                </c:pt>
                <c:pt idx="16">
                  <c:v>8.8644007327202679E-3</c:v>
                </c:pt>
                <c:pt idx="17">
                  <c:v>5.8347364626916698E-3</c:v>
                </c:pt>
                <c:pt idx="18">
                  <c:v>3.8103571939137972E-3</c:v>
                </c:pt>
                <c:pt idx="19">
                  <c:v>2.500184670526769E-3</c:v>
                </c:pt>
                <c:pt idx="20">
                  <c:v>1.6845850296913706E-3</c:v>
                </c:pt>
                <c:pt idx="21">
                  <c:v>1.2139179234339427E-3</c:v>
                </c:pt>
                <c:pt idx="22">
                  <c:v>9.9712047944265701E-4</c:v>
                </c:pt>
                <c:pt idx="23">
                  <c:v>9.9080638235894865E-4</c:v>
                </c:pt>
                <c:pt idx="24">
                  <c:v>1.192811447342945E-3</c:v>
                </c:pt>
                <c:pt idx="25">
                  <c:v>1.6410383548674898E-3</c:v>
                </c:pt>
                <c:pt idx="26">
                  <c:v>2.4168116769759142E-3</c:v>
                </c:pt>
                <c:pt idx="27">
                  <c:v>3.6498244390078885E-3</c:v>
                </c:pt>
                <c:pt idx="28">
                  <c:v>5.5171228684680121E-3</c:v>
                </c:pt>
                <c:pt idx="29">
                  <c:v>8.2195093332894965E-3</c:v>
                </c:pt>
                <c:pt idx="30">
                  <c:v>1.1906485329321799E-2</c:v>
                </c:pt>
                <c:pt idx="31">
                  <c:v>1.6519578156927821E-2</c:v>
                </c:pt>
                <c:pt idx="32">
                  <c:v>2.157319282127345E-2</c:v>
                </c:pt>
                <c:pt idx="33">
                  <c:v>2.603014702946637E-2</c:v>
                </c:pt>
                <c:pt idx="34">
                  <c:v>2.8555746307684936E-2</c:v>
                </c:pt>
                <c:pt idx="35">
                  <c:v>2.8225149844845403E-2</c:v>
                </c:pt>
                <c:pt idx="36">
                  <c:v>2.5166049601100606E-2</c:v>
                </c:pt>
                <c:pt idx="37">
                  <c:v>2.0463873874287952E-2</c:v>
                </c:pt>
                <c:pt idx="38">
                  <c:v>1.5436096985723404E-2</c:v>
                </c:pt>
                <c:pt idx="39">
                  <c:v>1.1002284535478643E-2</c:v>
                </c:pt>
                <c:pt idx="40">
                  <c:v>7.5354301924875139E-3</c:v>
                </c:pt>
                <c:pt idx="41">
                  <c:v>5.0297297396036458E-3</c:v>
                </c:pt>
                <c:pt idx="42">
                  <c:v>3.313200452824289E-3</c:v>
                </c:pt>
                <c:pt idx="43">
                  <c:v>2.1848262778641201E-3</c:v>
                </c:pt>
                <c:pt idx="44">
                  <c:v>1.4750117581534686E-3</c:v>
                </c:pt>
                <c:pt idx="45">
                  <c:v>1.0616998013731854E-3</c:v>
                </c:pt>
                <c:pt idx="46">
                  <c:v>8.6836671180764188E-4</c:v>
                </c:pt>
                <c:pt idx="47">
                  <c:v>8.5798658733276796E-4</c:v>
                </c:pt>
                <c:pt idx="48">
                  <c:v>1.0290521629532994E-3</c:v>
                </c:pt>
                <c:pt idx="49">
                  <c:v>1.4158831559157431E-3</c:v>
                </c:pt>
                <c:pt idx="50">
                  <c:v>2.0937939301416968E-3</c:v>
                </c:pt>
                <c:pt idx="51">
                  <c:v>3.1884721452273466E-3</c:v>
                </c:pt>
                <c:pt idx="52">
                  <c:v>4.8865028458402234E-3</c:v>
                </c:pt>
                <c:pt idx="53">
                  <c:v>7.438465095029591E-3</c:v>
                </c:pt>
                <c:pt idx="54">
                  <c:v>1.1136071889972565E-2</c:v>
                </c:pt>
                <c:pt idx="55">
                  <c:v>1.6234447597023374E-2</c:v>
                </c:pt>
                <c:pt idx="56">
                  <c:v>2.2801366917055674E-2</c:v>
                </c:pt>
                <c:pt idx="57">
                  <c:v>3.0553630750289672E-2</c:v>
                </c:pt>
                <c:pt idx="58">
                  <c:v>3.8901944703044415E-2</c:v>
                </c:pt>
                <c:pt idx="59">
                  <c:v>4.7492454760874082E-2</c:v>
                </c:pt>
                <c:pt idx="60">
                  <c:v>5.7179367525627023E-2</c:v>
                </c:pt>
                <c:pt idx="61">
                  <c:v>7.0806926153434244E-2</c:v>
                </c:pt>
                <c:pt idx="62">
                  <c:v>9.3367151729144296E-2</c:v>
                </c:pt>
                <c:pt idx="63">
                  <c:v>0.13203373475581767</c:v>
                </c:pt>
                <c:pt idx="64">
                  <c:v>0.19695540486637989</c:v>
                </c:pt>
                <c:pt idx="65">
                  <c:v>0.3032696874017477</c:v>
                </c:pt>
                <c:pt idx="66">
                  <c:v>0.47452643184760263</c:v>
                </c:pt>
                <c:pt idx="67">
                  <c:v>0.74798220973199625</c:v>
                </c:pt>
                <c:pt idx="68">
                  <c:v>1.1827937293584514</c:v>
                </c:pt>
                <c:pt idx="69">
                  <c:v>1.8728718471547081</c:v>
                </c:pt>
                <c:pt idx="70">
                  <c:v>2.9671939901579969</c:v>
                </c:pt>
              </c:numCache>
            </c:numRef>
          </c:yVal>
          <c:smooth val="1"/>
          <c:extLst>
            <c:ext xmlns:c16="http://schemas.microsoft.com/office/drawing/2014/chart" uri="{C3380CC4-5D6E-409C-BE32-E72D297353CC}">
              <c16:uniqueId val="{00000000-5754-45F5-859C-149BF068991B}"/>
            </c:ext>
          </c:extLst>
        </c:ser>
        <c:dLbls>
          <c:showLegendKey val="0"/>
          <c:showVal val="0"/>
          <c:showCatName val="0"/>
          <c:showSerName val="0"/>
          <c:showPercent val="0"/>
          <c:showBubbleSize val="0"/>
        </c:dLbls>
        <c:axId val="157596672"/>
        <c:axId val="157607040"/>
      </c:scatterChart>
      <c:valAx>
        <c:axId val="157596672"/>
        <c:scaling>
          <c:orientation val="minMax"/>
          <c:max val="14"/>
          <c:min val="0"/>
        </c:scaling>
        <c:delete val="0"/>
        <c:axPos val="b"/>
        <c:majorGridlines/>
        <c:title>
          <c:tx>
            <c:rich>
              <a:bodyPr/>
              <a:lstStyle/>
              <a:p>
                <a:pPr>
                  <a:defRPr sz="1200" b="1" i="0" u="none" strike="noStrike" baseline="0">
                    <a:solidFill>
                      <a:srgbClr val="000000"/>
                    </a:solidFill>
                    <a:latin typeface="Arial"/>
                    <a:ea typeface="Arial"/>
                    <a:cs typeface="Arial"/>
                  </a:defRPr>
                </a:pPr>
                <a:r>
                  <a:rPr lang="pt-BR"/>
                  <a:t>pH</a:t>
                </a:r>
              </a:p>
            </c:rich>
          </c:tx>
          <c:layout>
            <c:manualLayout>
              <c:xMode val="edge"/>
              <c:yMode val="edge"/>
              <c:x val="0.5050654793805226"/>
              <c:y val="0.93235637973451757"/>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57607040"/>
        <c:crosses val="autoZero"/>
        <c:crossBetween val="midCat"/>
        <c:majorUnit val="1"/>
        <c:minorUnit val="1"/>
      </c:valAx>
      <c:valAx>
        <c:axId val="157607040"/>
        <c:scaling>
          <c:orientation val="minMax"/>
          <c:max val="0.5"/>
          <c:min val="-1.0000000000000005E-2"/>
        </c:scaling>
        <c:delete val="0"/>
        <c:axPos val="l"/>
        <c:majorGridlines>
          <c:spPr>
            <a:ln w="3175">
              <a:solidFill>
                <a:srgbClr val="000000"/>
              </a:solidFill>
              <a:prstDash val="solid"/>
            </a:ln>
          </c:spPr>
        </c:majorGridlines>
        <c:title>
          <c:tx>
            <c:rich>
              <a:bodyPr/>
              <a:lstStyle/>
              <a:p>
                <a:pPr>
                  <a:defRPr sz="1075" b="1" i="0" u="none" strike="noStrike" baseline="0">
                    <a:solidFill>
                      <a:srgbClr val="000000"/>
                    </a:solidFill>
                    <a:latin typeface="Arial"/>
                    <a:ea typeface="Arial"/>
                    <a:cs typeface="Arial"/>
                  </a:defRPr>
                </a:pPr>
                <a:r>
                  <a:rPr lang="pt-BR"/>
                  <a:t>buffer capacity</a:t>
                </a:r>
              </a:p>
            </c:rich>
          </c:tx>
          <c:layout>
            <c:manualLayout>
              <c:xMode val="edge"/>
              <c:yMode val="edge"/>
              <c:x val="7.2358494455210627E-3"/>
              <c:y val="0.37652871720017644"/>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57596672"/>
        <c:crosses val="autoZero"/>
        <c:crossBetween val="midCat"/>
      </c:valAx>
      <c:spPr>
        <a:noFill/>
        <a:ln w="12700">
          <a:solidFill>
            <a:schemeClr val="tx1"/>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0.98425196899999956" l="0.78740157499999996" r="0.78740157499999996" t="0.98425196899999956" header="0.49212598500001248" footer="0.49212598500001248"/>
    <c:pageSetup paperSize="9" orientation="landscape"/>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pt-BR" sz="1200" baseline="0"/>
              <a:t>Buffer capacity along a titration</a:t>
            </a:r>
          </a:p>
        </c:rich>
      </c:tx>
      <c:layout>
        <c:manualLayout>
          <c:xMode val="edge"/>
          <c:yMode val="edge"/>
          <c:x val="8.930656517739069E-2"/>
          <c:y val="1.3089120689733225E-2"/>
        </c:manualLayout>
      </c:layout>
      <c:overlay val="0"/>
      <c:spPr>
        <a:noFill/>
        <a:ln w="25400">
          <a:noFill/>
        </a:ln>
      </c:spPr>
    </c:title>
    <c:autoTitleDeleted val="0"/>
    <c:plotArea>
      <c:layout>
        <c:manualLayout>
          <c:layoutTarget val="inner"/>
          <c:xMode val="edge"/>
          <c:yMode val="edge"/>
          <c:x val="9.1178963750244243E-2"/>
          <c:y val="9.6858762550571728E-2"/>
          <c:w val="0.84684108057319385"/>
          <c:h val="0.77645696858577373"/>
        </c:manualLayout>
      </c:layout>
      <c:scatterChart>
        <c:scatterStyle val="smoothMarker"/>
        <c:varyColors val="0"/>
        <c:ser>
          <c:idx val="0"/>
          <c:order val="0"/>
          <c:tx>
            <c:v>bufferVol</c:v>
          </c:tx>
          <c:spPr>
            <a:ln w="38100">
              <a:solidFill>
                <a:srgbClr val="09007E"/>
              </a:solidFill>
              <a:prstDash val="solid"/>
            </a:ln>
          </c:spPr>
          <c:marker>
            <c:symbol val="circle"/>
            <c:size val="5"/>
            <c:spPr>
              <a:solidFill>
                <a:srgbClr val="F4EE00"/>
              </a:solidFill>
              <a:ln>
                <a:solidFill>
                  <a:srgbClr val="FF0000"/>
                </a:solidFill>
                <a:prstDash val="solid"/>
              </a:ln>
            </c:spPr>
          </c:marker>
          <c:xVal>
            <c:numRef>
              <c:f>Distribution!$Y$12:$Y$135</c:f>
              <c:numCache>
                <c:formatCode>0.000</c:formatCode>
                <c:ptCount val="124"/>
                <c:pt idx="0">
                  <c:v>0</c:v>
                </c:pt>
                <c:pt idx="1">
                  <c:v>2.3004448812571354</c:v>
                </c:pt>
                <c:pt idx="2">
                  <c:v>4.3254298929241486</c:v>
                </c:pt>
                <c:pt idx="3">
                  <c:v>5.9982889695675112</c:v>
                </c:pt>
                <c:pt idx="4">
                  <c:v>7.2857926934375428</c:v>
                </c:pt>
                <c:pt idx="5">
                  <c:v>8.2150732792797498</c:v>
                </c:pt>
                <c:pt idx="6">
                  <c:v>8.852646873856429</c:v>
                </c:pt>
                <c:pt idx="7">
                  <c:v>9.2745251997257583</c:v>
                </c:pt>
                <c:pt idx="8">
                  <c:v>9.5472193221212365</c:v>
                </c:pt>
                <c:pt idx="9">
                  <c:v>9.7213898246991448</c:v>
                </c:pt>
                <c:pt idx="10">
                  <c:v>9.8327682426315732</c:v>
                </c:pt>
                <c:pt idx="11">
                  <c:v>9.9056407503667288</c:v>
                </c:pt>
                <c:pt idx="12">
                  <c:v>9.956512633652892</c:v>
                </c:pt>
                <c:pt idx="13">
                  <c:v>9.9971799951163121</c:v>
                </c:pt>
                <c:pt idx="14">
                  <c:v>10.037190483126324</c:v>
                </c:pt>
                <c:pt idx="15">
                  <c:v>10.085949620406609</c:v>
                </c:pt>
                <c:pt idx="16">
                  <c:v>10.154803957266267</c:v>
                </c:pt>
                <c:pt idx="17">
                  <c:v>10.259427917480934</c:v>
                </c:pt>
                <c:pt idx="18">
                  <c:v>10.422738817578647</c:v>
                </c:pt>
                <c:pt idx="19">
                  <c:v>10.678157336951699</c:v>
                </c:pt>
                <c:pt idx="20">
                  <c:v>11.071775054733735</c:v>
                </c:pt>
                <c:pt idx="21">
                  <c:v>11.659035268530715</c:v>
                </c:pt>
                <c:pt idx="22">
                  <c:v>12.487507292826194</c:v>
                </c:pt>
                <c:pt idx="23">
                  <c:v>13.560292513284367</c:v>
                </c:pt>
                <c:pt idx="24">
                  <c:v>14.799194350780454</c:v>
                </c:pt>
                <c:pt idx="25">
                  <c:v>16.054576211899985</c:v>
                </c:pt>
                <c:pt idx="26">
                  <c:v>17.173922529036645</c:v>
                </c:pt>
                <c:pt idx="27">
                  <c:v>18.068469061108772</c:v>
                </c:pt>
                <c:pt idx="28">
                  <c:v>18.725484058086295</c:v>
                </c:pt>
                <c:pt idx="29">
                  <c:v>19.179874857945833</c:v>
                </c:pt>
                <c:pt idx="30">
                  <c:v>19.48181740444852</c:v>
                </c:pt>
                <c:pt idx="31">
                  <c:v>19.677734184369911</c:v>
                </c:pt>
                <c:pt idx="32">
                  <c:v>19.803712518478278</c:v>
                </c:pt>
                <c:pt idx="33">
                  <c:v>19.885540132236201</c:v>
                </c:pt>
                <c:pt idx="34">
                  <c:v>19.941073826339561</c:v>
                </c:pt>
                <c:pt idx="35">
                  <c:v>19.982924718351569</c:v>
                </c:pt>
                <c:pt idx="36">
                  <c:v>20.020832466252614</c:v>
                </c:pt>
                <c:pt idx="37">
                  <c:v>20.063731157279108</c:v>
                </c:pt>
                <c:pt idx="38">
                  <c:v>20.121755062427837</c:v>
                </c:pt>
                <c:pt idx="39">
                  <c:v>20.208536063728388</c:v>
                </c:pt>
                <c:pt idx="40">
                  <c:v>20.344214436772745</c:v>
                </c:pt>
                <c:pt idx="41">
                  <c:v>20.55962798622204</c:v>
                </c:pt>
                <c:pt idx="42">
                  <c:v>20.902049214055296</c:v>
                </c:pt>
                <c:pt idx="43">
                  <c:v>21.442285725788679</c:v>
                </c:pt>
                <c:pt idx="44">
                  <c:v>22.281442677194718</c:v>
                </c:pt>
                <c:pt idx="45">
                  <c:v>23.553723619261291</c:v>
                </c:pt>
                <c:pt idx="46">
                  <c:v>25.425947584153619</c:v>
                </c:pt>
                <c:pt idx="47">
                  <c:v>28.122492051625159</c:v>
                </c:pt>
                <c:pt idx="48">
                  <c:v>32.065280988172162</c:v>
                </c:pt>
                <c:pt idx="49">
                  <c:v>38.31748273660196</c:v>
                </c:pt>
                <c:pt idx="50">
                  <c:v>49.999999998544808</c:v>
                </c:pt>
              </c:numCache>
            </c:numRef>
          </c:xVal>
          <c:yVal>
            <c:numRef>
              <c:f>Distribution!$AL$12:$AL$135</c:f>
              <c:numCache>
                <c:formatCode>0.000</c:formatCode>
                <c:ptCount val="124"/>
                <c:pt idx="0">
                  <c:v>7.1840897036083165E-2</c:v>
                </c:pt>
                <c:pt idx="1">
                  <c:v>5.6145715881996808E-2</c:v>
                </c:pt>
                <c:pt idx="2">
                  <c:v>4.3952080409881279E-2</c:v>
                </c:pt>
                <c:pt idx="3">
                  <c:v>3.325461507161067E-2</c:v>
                </c:pt>
                <c:pt idx="4">
                  <c:v>2.3979353609321779E-2</c:v>
                </c:pt>
                <c:pt idx="5">
                  <c:v>1.6521035564471959E-2</c:v>
                </c:pt>
                <c:pt idx="6">
                  <c:v>1.0982833597039278E-2</c:v>
                </c:pt>
                <c:pt idx="7">
                  <c:v>7.1242144586484172E-3</c:v>
                </c:pt>
                <c:pt idx="8">
                  <c:v>4.558876574343446E-3</c:v>
                </c:pt>
                <c:pt idx="9">
                  <c:v>2.9142630421140946E-3</c:v>
                </c:pt>
                <c:pt idx="10">
                  <c:v>1.8986855477912637E-3</c:v>
                </c:pt>
                <c:pt idx="11">
                  <c:v>1.3103642106018175E-3</c:v>
                </c:pt>
                <c:pt idx="12">
                  <c:v>1.0245502868026332E-3</c:v>
                </c:pt>
                <c:pt idx="13">
                  <c:v>9.7829283675257149E-4</c:v>
                </c:pt>
                <c:pt idx="14">
                  <c:v>1.160495343663313E-3</c:v>
                </c:pt>
                <c:pt idx="15">
                  <c:v>1.6092225748985814E-3</c:v>
                </c:pt>
                <c:pt idx="16">
                  <c:v>2.4155646442618256E-3</c:v>
                </c:pt>
                <c:pt idx="17">
                  <c:v>3.730481275210341E-3</c:v>
                </c:pt>
                <c:pt idx="18">
                  <c:v>5.7645414247467783E-3</c:v>
                </c:pt>
                <c:pt idx="19">
                  <c:v>8.7567174656308384E-3</c:v>
                </c:pt>
                <c:pt idx="20">
                  <c:v>1.2868405413269054E-2</c:v>
                </c:pt>
                <c:pt idx="21">
                  <c:v>1.7957060336547325E-2</c:v>
                </c:pt>
                <c:pt idx="22">
                  <c:v>2.3275731430977956E-2</c:v>
                </c:pt>
                <c:pt idx="23">
                  <c:v>2.7393766580614137E-2</c:v>
                </c:pt>
                <c:pt idx="24">
                  <c:v>2.8772206120364838E-2</c:v>
                </c:pt>
                <c:pt idx="25">
                  <c:v>2.6826194312973339E-2</c:v>
                </c:pt>
                <c:pt idx="26">
                  <c:v>2.2396361255394993E-2</c:v>
                </c:pt>
                <c:pt idx="27">
                  <c:v>1.7059439539753012E-2</c:v>
                </c:pt>
                <c:pt idx="28">
                  <c:v>1.2122486638642497E-2</c:v>
                </c:pt>
                <c:pt idx="29">
                  <c:v>8.2048431037867638E-3</c:v>
                </c:pt>
                <c:pt idx="30">
                  <c:v>5.3815843537653365E-3</c:v>
                </c:pt>
                <c:pt idx="31">
                  <c:v>3.471633906682522E-3</c:v>
                </c:pt>
                <c:pt idx="32">
                  <c:v>2.2382327335124085E-3</c:v>
                </c:pt>
                <c:pt idx="33">
                  <c:v>1.4787070997504916E-3</c:v>
                </c:pt>
                <c:pt idx="34">
                  <c:v>1.0486342277095317E-3</c:v>
                </c:pt>
                <c:pt idx="35">
                  <c:v>8.5963164607495202E-4</c:v>
                </c:pt>
                <c:pt idx="36">
                  <c:v>8.7154513970799164E-4</c:v>
                </c:pt>
                <c:pt idx="37">
                  <c:v>1.0876454539105217E-3</c:v>
                </c:pt>
                <c:pt idx="38">
                  <c:v>1.5558154696508929E-3</c:v>
                </c:pt>
                <c:pt idx="39">
                  <c:v>2.3763685402740731E-3</c:v>
                </c:pt>
                <c:pt idx="40">
                  <c:v>3.715191685370729E-3</c:v>
                </c:pt>
                <c:pt idx="41">
                  <c:v>5.8165597775786722E-3</c:v>
                </c:pt>
                <c:pt idx="42">
                  <c:v>8.9999527839548198E-3</c:v>
                </c:pt>
                <c:pt idx="43">
                  <c:v>1.3608282585501376E-2</c:v>
                </c:pt>
                <c:pt idx="44">
                  <c:v>1.9864405427772912E-2</c:v>
                </c:pt>
                <c:pt idx="45">
                  <c:v>2.7642617596644499E-2</c:v>
                </c:pt>
                <c:pt idx="46">
                  <c:v>3.6354060271112647E-2</c:v>
                </c:pt>
                <c:pt idx="47">
                  <c:v>4.5379988512943843E-2</c:v>
                </c:pt>
                <c:pt idx="48">
                  <c:v>5.523328548968038E-2</c:v>
                </c:pt>
                <c:pt idx="49">
                  <c:v>6.8730051464283209E-2</c:v>
                </c:pt>
                <c:pt idx="50">
                  <c:v>9.1310450241663066E-2</c:v>
                </c:pt>
              </c:numCache>
            </c:numRef>
          </c:yVal>
          <c:smooth val="1"/>
          <c:extLst>
            <c:ext xmlns:c16="http://schemas.microsoft.com/office/drawing/2014/chart" uri="{C3380CC4-5D6E-409C-BE32-E72D297353CC}">
              <c16:uniqueId val="{00000000-B9D8-43BA-BA96-FC1D140D3CEE}"/>
            </c:ext>
          </c:extLst>
        </c:ser>
        <c:dLbls>
          <c:showLegendKey val="0"/>
          <c:showVal val="0"/>
          <c:showCatName val="0"/>
          <c:showSerName val="0"/>
          <c:showPercent val="0"/>
          <c:showBubbleSize val="0"/>
        </c:dLbls>
        <c:axId val="157719936"/>
        <c:axId val="157722496"/>
      </c:scatterChart>
      <c:scatterChart>
        <c:scatterStyle val="smoothMarker"/>
        <c:varyColors val="0"/>
        <c:ser>
          <c:idx val="1"/>
          <c:order val="1"/>
          <c:spPr>
            <a:ln w="12700">
              <a:solidFill>
                <a:srgbClr val="002060"/>
              </a:solidFill>
              <a:prstDash val="sysDash"/>
            </a:ln>
          </c:spPr>
          <c:marker>
            <c:symbol val="circle"/>
            <c:size val="4"/>
            <c:spPr>
              <a:noFill/>
              <a:ln>
                <a:solidFill>
                  <a:srgbClr val="0000FF"/>
                </a:solidFill>
                <a:prstDash val="solid"/>
              </a:ln>
            </c:spPr>
          </c:marker>
          <c:xVal>
            <c:numRef>
              <c:f>Distribution!$Y$12:$Y$158</c:f>
              <c:numCache>
                <c:formatCode>0.000</c:formatCode>
                <c:ptCount val="147"/>
                <c:pt idx="0">
                  <c:v>0</c:v>
                </c:pt>
                <c:pt idx="1">
                  <c:v>2.3004448812571354</c:v>
                </c:pt>
                <c:pt idx="2">
                  <c:v>4.3254298929241486</c:v>
                </c:pt>
                <c:pt idx="3">
                  <c:v>5.9982889695675112</c:v>
                </c:pt>
                <c:pt idx="4">
                  <c:v>7.2857926934375428</c:v>
                </c:pt>
                <c:pt idx="5">
                  <c:v>8.2150732792797498</c:v>
                </c:pt>
                <c:pt idx="6">
                  <c:v>8.852646873856429</c:v>
                </c:pt>
                <c:pt idx="7">
                  <c:v>9.2745251997257583</c:v>
                </c:pt>
                <c:pt idx="8">
                  <c:v>9.5472193221212365</c:v>
                </c:pt>
                <c:pt idx="9">
                  <c:v>9.7213898246991448</c:v>
                </c:pt>
                <c:pt idx="10">
                  <c:v>9.8327682426315732</c:v>
                </c:pt>
                <c:pt idx="11">
                  <c:v>9.9056407503667288</c:v>
                </c:pt>
                <c:pt idx="12">
                  <c:v>9.956512633652892</c:v>
                </c:pt>
                <c:pt idx="13">
                  <c:v>9.9971799951163121</c:v>
                </c:pt>
                <c:pt idx="14">
                  <c:v>10.037190483126324</c:v>
                </c:pt>
                <c:pt idx="15">
                  <c:v>10.085949620406609</c:v>
                </c:pt>
                <c:pt idx="16">
                  <c:v>10.154803957266267</c:v>
                </c:pt>
                <c:pt idx="17">
                  <c:v>10.259427917480934</c:v>
                </c:pt>
                <c:pt idx="18">
                  <c:v>10.422738817578647</c:v>
                </c:pt>
                <c:pt idx="19">
                  <c:v>10.678157336951699</c:v>
                </c:pt>
                <c:pt idx="20">
                  <c:v>11.071775054733735</c:v>
                </c:pt>
                <c:pt idx="21">
                  <c:v>11.659035268530715</c:v>
                </c:pt>
                <c:pt idx="22">
                  <c:v>12.487507292826194</c:v>
                </c:pt>
                <c:pt idx="23">
                  <c:v>13.560292513284367</c:v>
                </c:pt>
                <c:pt idx="24">
                  <c:v>14.799194350780454</c:v>
                </c:pt>
                <c:pt idx="25">
                  <c:v>16.054576211899985</c:v>
                </c:pt>
                <c:pt idx="26">
                  <c:v>17.173922529036645</c:v>
                </c:pt>
                <c:pt idx="27">
                  <c:v>18.068469061108772</c:v>
                </c:pt>
                <c:pt idx="28">
                  <c:v>18.725484058086295</c:v>
                </c:pt>
                <c:pt idx="29">
                  <c:v>19.179874857945833</c:v>
                </c:pt>
                <c:pt idx="30">
                  <c:v>19.48181740444852</c:v>
                </c:pt>
                <c:pt idx="31">
                  <c:v>19.677734184369911</c:v>
                </c:pt>
                <c:pt idx="32">
                  <c:v>19.803712518478278</c:v>
                </c:pt>
                <c:pt idx="33">
                  <c:v>19.885540132236201</c:v>
                </c:pt>
                <c:pt idx="34">
                  <c:v>19.941073826339561</c:v>
                </c:pt>
                <c:pt idx="35">
                  <c:v>19.982924718351569</c:v>
                </c:pt>
                <c:pt idx="36">
                  <c:v>20.020832466252614</c:v>
                </c:pt>
                <c:pt idx="37">
                  <c:v>20.063731157279108</c:v>
                </c:pt>
                <c:pt idx="38">
                  <c:v>20.121755062427837</c:v>
                </c:pt>
                <c:pt idx="39">
                  <c:v>20.208536063728388</c:v>
                </c:pt>
                <c:pt idx="40">
                  <c:v>20.344214436772745</c:v>
                </c:pt>
                <c:pt idx="41">
                  <c:v>20.55962798622204</c:v>
                </c:pt>
                <c:pt idx="42">
                  <c:v>20.902049214055296</c:v>
                </c:pt>
                <c:pt idx="43">
                  <c:v>21.442285725788679</c:v>
                </c:pt>
                <c:pt idx="44">
                  <c:v>22.281442677194718</c:v>
                </c:pt>
                <c:pt idx="45">
                  <c:v>23.553723619261291</c:v>
                </c:pt>
                <c:pt idx="46">
                  <c:v>25.425947584153619</c:v>
                </c:pt>
                <c:pt idx="47">
                  <c:v>28.122492051625159</c:v>
                </c:pt>
                <c:pt idx="48">
                  <c:v>32.065280988172162</c:v>
                </c:pt>
                <c:pt idx="49">
                  <c:v>38.31748273660196</c:v>
                </c:pt>
                <c:pt idx="50">
                  <c:v>49.999999998544808</c:v>
                </c:pt>
              </c:numCache>
            </c:numRef>
          </c:xVal>
          <c:yVal>
            <c:numRef>
              <c:f>Distribution!$Z$12:$Z$158</c:f>
              <c:numCache>
                <c:formatCode>0.000</c:formatCode>
                <c:ptCount val="147"/>
                <c:pt idx="0">
                  <c:v>1.8171072800722754</c:v>
                </c:pt>
                <c:pt idx="1">
                  <c:v>2.03204784726322</c:v>
                </c:pt>
                <c:pt idx="2">
                  <c:v>2.2461396194374883</c:v>
                </c:pt>
                <c:pt idx="3">
                  <c:v>2.4592837415154789</c:v>
                </c:pt>
                <c:pt idx="4">
                  <c:v>2.6715840969865385</c:v>
                </c:pt>
                <c:pt idx="5">
                  <c:v>2.8832299762264122</c:v>
                </c:pt>
                <c:pt idx="6">
                  <c:v>3.0944106420923969</c:v>
                </c:pt>
                <c:pt idx="7">
                  <c:v>3.3052786795679925</c:v>
                </c:pt>
                <c:pt idx="8">
                  <c:v>3.5159445293883027</c:v>
                </c:pt>
                <c:pt idx="9">
                  <c:v>3.7264837975794283</c:v>
                </c:pt>
                <c:pt idx="10">
                  <c:v>3.9369472311575628</c:v>
                </c:pt>
                <c:pt idx="11">
                  <c:v>4.1473695514894615</c:v>
                </c:pt>
                <c:pt idx="12">
                  <c:v>4.3577764259656462</c:v>
                </c:pt>
                <c:pt idx="13">
                  <c:v>4.568190022913047</c:v>
                </c:pt>
                <c:pt idx="14">
                  <c:v>4.7786339196049799</c:v>
                </c:pt>
                <c:pt idx="15">
                  <c:v>4.989138153184598</c:v>
                </c:pt>
                <c:pt idx="16">
                  <c:v>5.1997450596983432</c:v>
                </c:pt>
                <c:pt idx="17">
                  <c:v>5.4105160650546065</c:v>
                </c:pt>
                <c:pt idx="18">
                  <c:v>5.6215382068211683</c:v>
                </c:pt>
                <c:pt idx="19">
                  <c:v>5.8329258111339772</c:v>
                </c:pt>
                <c:pt idx="20">
                  <c:v>6.0448065155412518</c:v>
                </c:pt>
                <c:pt idx="21">
                  <c:v>6.2572748607294768</c:v>
                </c:pt>
                <c:pt idx="22">
                  <c:v>6.4703073210120445</c:v>
                </c:pt>
                <c:pt idx="23">
                  <c:v>6.6836852438660559</c:v>
                </c:pt>
                <c:pt idx="24">
                  <c:v>6.8970304591995308</c:v>
                </c:pt>
                <c:pt idx="25">
                  <c:v>7.1099804688999608</c:v>
                </c:pt>
                <c:pt idx="26">
                  <c:v>7.322349098093679</c:v>
                </c:pt>
                <c:pt idx="27">
                  <c:v>7.5341386806955644</c:v>
                </c:pt>
                <c:pt idx="28">
                  <c:v>7.7454546772478645</c:v>
                </c:pt>
                <c:pt idx="29">
                  <c:v>7.9564249462523851</c:v>
                </c:pt>
                <c:pt idx="30">
                  <c:v>8.1671594790759396</c:v>
                </c:pt>
                <c:pt idx="31">
                  <c:v>8.377740060160809</c:v>
                </c:pt>
                <c:pt idx="32">
                  <c:v>8.5882232426729104</c:v>
                </c:pt>
                <c:pt idx="33">
                  <c:v>8.7986468997393832</c:v>
                </c:pt>
                <c:pt idx="34">
                  <c:v>9.0090364657241615</c:v>
                </c:pt>
                <c:pt idx="35">
                  <c:v>9.2194099000282304</c:v>
                </c:pt>
                <c:pt idx="36">
                  <c:v>9.4297815209616029</c:v>
                </c:pt>
                <c:pt idx="37">
                  <c:v>9.6401651822701666</c:v>
                </c:pt>
                <c:pt idx="38">
                  <c:v>9.8505773086917063</c:v>
                </c:pt>
                <c:pt idx="39">
                  <c:v>10.061040246754805</c:v>
                </c:pt>
                <c:pt idx="40">
                  <c:v>10.271586190317612</c:v>
                </c:pt>
                <c:pt idx="41">
                  <c:v>10.482261360601155</c:v>
                </c:pt>
                <c:pt idx="42">
                  <c:v>10.693128606202979</c:v>
                </c:pt>
                <c:pt idx="43">
                  <c:v>10.904263374595613</c:v>
                </c:pt>
                <c:pt idx="44">
                  <c:v>11.115733453073027</c:v>
                </c:pt>
                <c:pt idx="45">
                  <c:v>11.327553158845967</c:v>
                </c:pt>
                <c:pt idx="46">
                  <c:v>11.539624057245398</c:v>
                </c:pt>
                <c:pt idx="47">
                  <c:v>11.751718173325493</c:v>
                </c:pt>
                <c:pt idx="48">
                  <c:v>11.963554366049292</c:v>
                </c:pt>
                <c:pt idx="49">
                  <c:v>12.174908797581793</c:v>
                </c:pt>
                <c:pt idx="50">
                  <c:v>12.385643935645515</c:v>
                </c:pt>
              </c:numCache>
            </c:numRef>
          </c:yVal>
          <c:smooth val="1"/>
          <c:extLst>
            <c:ext xmlns:c16="http://schemas.microsoft.com/office/drawing/2014/chart" uri="{C3380CC4-5D6E-409C-BE32-E72D297353CC}">
              <c16:uniqueId val="{00000001-B9D8-43BA-BA96-FC1D140D3CEE}"/>
            </c:ext>
          </c:extLst>
        </c:ser>
        <c:dLbls>
          <c:showLegendKey val="0"/>
          <c:showVal val="0"/>
          <c:showCatName val="0"/>
          <c:showSerName val="0"/>
          <c:showPercent val="0"/>
          <c:showBubbleSize val="0"/>
        </c:dLbls>
        <c:axId val="157730304"/>
        <c:axId val="157728768"/>
      </c:scatterChart>
      <c:valAx>
        <c:axId val="157719936"/>
        <c:scaling>
          <c:orientation val="minMax"/>
        </c:scaling>
        <c:delete val="0"/>
        <c:axPos val="b"/>
        <c:majorGridlines/>
        <c:title>
          <c:tx>
            <c:rich>
              <a:bodyPr/>
              <a:lstStyle/>
              <a:p>
                <a:pPr>
                  <a:defRPr sz="1200" b="1" i="0" u="none" strike="noStrike" baseline="0">
                    <a:solidFill>
                      <a:srgbClr val="000000"/>
                    </a:solidFill>
                    <a:latin typeface="Arial"/>
                    <a:ea typeface="Arial"/>
                    <a:cs typeface="Arial"/>
                  </a:defRPr>
                </a:pPr>
                <a:r>
                  <a:rPr lang="pt-BR"/>
                  <a:t>Volume (mL)</a:t>
                </a:r>
              </a:p>
            </c:rich>
          </c:tx>
          <c:layout>
            <c:manualLayout>
              <c:xMode val="edge"/>
              <c:yMode val="edge"/>
              <c:x val="0.46149066229107111"/>
              <c:y val="0.9387827568674334"/>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57722496"/>
        <c:crosses val="autoZero"/>
        <c:crossBetween val="midCat"/>
      </c:valAx>
      <c:valAx>
        <c:axId val="157722496"/>
        <c:scaling>
          <c:orientation val="minMax"/>
          <c:max val="0.5"/>
          <c:min val="-1.0000000000000005E-2"/>
        </c:scaling>
        <c:delete val="0"/>
        <c:axPos val="l"/>
        <c:majorGridlines>
          <c:spPr>
            <a:ln w="3175">
              <a:solidFill>
                <a:srgbClr val="000000"/>
              </a:solidFill>
              <a:prstDash val="solid"/>
            </a:ln>
          </c:spPr>
        </c:majorGridlines>
        <c:title>
          <c:tx>
            <c:rich>
              <a:bodyPr/>
              <a:lstStyle/>
              <a:p>
                <a:pPr>
                  <a:defRPr sz="1050" b="1" i="0" u="none" strike="noStrike" baseline="0">
                    <a:solidFill>
                      <a:srgbClr val="000000"/>
                    </a:solidFill>
                    <a:latin typeface="Arial"/>
                    <a:ea typeface="Arial"/>
                    <a:cs typeface="Arial"/>
                  </a:defRPr>
                </a:pPr>
                <a:r>
                  <a:rPr lang="pt-BR"/>
                  <a:t>buffer</a:t>
                </a:r>
                <a:r>
                  <a:rPr lang="pt-BR" baseline="0"/>
                  <a:t> capacity</a:t>
                </a:r>
                <a:endParaRPr lang="pt-BR"/>
              </a:p>
            </c:rich>
          </c:tx>
          <c:layout>
            <c:manualLayout>
              <c:xMode val="edge"/>
              <c:yMode val="edge"/>
              <c:x val="8.7978452234755058E-3"/>
              <c:y val="0.38141869700843339"/>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57719936"/>
        <c:crosses val="autoZero"/>
        <c:crossBetween val="midCat"/>
      </c:valAx>
      <c:valAx>
        <c:axId val="157728768"/>
        <c:scaling>
          <c:orientation val="minMax"/>
        </c:scaling>
        <c:delete val="0"/>
        <c:axPos val="r"/>
        <c:numFmt formatCode="0" sourceLinked="0"/>
        <c:majorTickMark val="out"/>
        <c:minorTickMark val="none"/>
        <c:tickLblPos val="nextTo"/>
        <c:crossAx val="157730304"/>
        <c:crosses val="max"/>
        <c:crossBetween val="midCat"/>
      </c:valAx>
      <c:valAx>
        <c:axId val="157730304"/>
        <c:scaling>
          <c:orientation val="minMax"/>
        </c:scaling>
        <c:delete val="1"/>
        <c:axPos val="b"/>
        <c:numFmt formatCode="0.000" sourceLinked="1"/>
        <c:majorTickMark val="out"/>
        <c:minorTickMark val="none"/>
        <c:tickLblPos val="nextTo"/>
        <c:crossAx val="157728768"/>
        <c:crosses val="autoZero"/>
        <c:crossBetween val="midCat"/>
      </c:valAx>
      <c:spPr>
        <a:noFill/>
        <a:ln w="12700">
          <a:solidFill>
            <a:schemeClr val="tx1"/>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0.98425196899999956" l="0.78740157499999996" r="0.78740157499999996" t="0.98425196899999956" header="0.49212598500001248" footer="0.49212598500001248"/>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pt-BR" sz="1200" baseline="0"/>
              <a:t>log buffer capacity</a:t>
            </a:r>
          </a:p>
        </c:rich>
      </c:tx>
      <c:layout>
        <c:manualLayout>
          <c:xMode val="edge"/>
          <c:yMode val="edge"/>
          <c:x val="0.10159156999468442"/>
          <c:y val="1.3054655966012981E-2"/>
        </c:manualLayout>
      </c:layout>
      <c:overlay val="0"/>
      <c:spPr>
        <a:noFill/>
        <a:ln w="25400">
          <a:noFill/>
        </a:ln>
      </c:spPr>
    </c:title>
    <c:autoTitleDeleted val="0"/>
    <c:plotArea>
      <c:layout>
        <c:manualLayout>
          <c:layoutTarget val="inner"/>
          <c:xMode val="edge"/>
          <c:yMode val="edge"/>
          <c:x val="0.10600773824186002"/>
          <c:y val="8.3550913838120244E-2"/>
          <c:w val="0.86318420624699665"/>
          <c:h val="0.76834824322610873"/>
        </c:manualLayout>
      </c:layout>
      <c:scatterChart>
        <c:scatterStyle val="smoothMarker"/>
        <c:varyColors val="0"/>
        <c:ser>
          <c:idx val="0"/>
          <c:order val="0"/>
          <c:tx>
            <c:v>log_buffer</c:v>
          </c:tx>
          <c:spPr>
            <a:ln w="38100">
              <a:solidFill>
                <a:srgbClr val="09007E"/>
              </a:solidFill>
              <a:prstDash val="solid"/>
            </a:ln>
          </c:spPr>
          <c:marker>
            <c:symbol val="none"/>
          </c:marker>
          <c:xVal>
            <c:numRef>
              <c:f>Distribution!$O$12:$O$135</c:f>
              <c:numCache>
                <c:formatCode>0.000</c:formatCode>
                <c:ptCount val="124"/>
                <c:pt idx="0">
                  <c:v>0</c:v>
                </c:pt>
                <c:pt idx="1">
                  <c:v>0.2</c:v>
                </c:pt>
                <c:pt idx="2">
                  <c:v>0.4</c:v>
                </c:pt>
                <c:pt idx="3">
                  <c:v>0.60000000000000009</c:v>
                </c:pt>
                <c:pt idx="4">
                  <c:v>0.8</c:v>
                </c:pt>
                <c:pt idx="5">
                  <c:v>1</c:v>
                </c:pt>
                <c:pt idx="6">
                  <c:v>1.2</c:v>
                </c:pt>
                <c:pt idx="7">
                  <c:v>1.4</c:v>
                </c:pt>
                <c:pt idx="8">
                  <c:v>1.5999999999999999</c:v>
                </c:pt>
                <c:pt idx="9">
                  <c:v>1.7999999999999998</c:v>
                </c:pt>
                <c:pt idx="10">
                  <c:v>1.9999999999999998</c:v>
                </c:pt>
                <c:pt idx="11">
                  <c:v>2.1999999999999997</c:v>
                </c:pt>
                <c:pt idx="12">
                  <c:v>2.4</c:v>
                </c:pt>
                <c:pt idx="13">
                  <c:v>2.6</c:v>
                </c:pt>
                <c:pt idx="14">
                  <c:v>2.8000000000000003</c:v>
                </c:pt>
                <c:pt idx="15">
                  <c:v>3.0000000000000004</c:v>
                </c:pt>
                <c:pt idx="16">
                  <c:v>3.2000000000000006</c:v>
                </c:pt>
                <c:pt idx="17">
                  <c:v>3.4000000000000008</c:v>
                </c:pt>
                <c:pt idx="18">
                  <c:v>3.600000000000001</c:v>
                </c:pt>
                <c:pt idx="19">
                  <c:v>3.8000000000000012</c:v>
                </c:pt>
                <c:pt idx="20">
                  <c:v>4.0000000000000009</c:v>
                </c:pt>
                <c:pt idx="21">
                  <c:v>4.2000000000000011</c:v>
                </c:pt>
                <c:pt idx="22">
                  <c:v>4.4000000000000012</c:v>
                </c:pt>
                <c:pt idx="23">
                  <c:v>4.6000000000000014</c:v>
                </c:pt>
                <c:pt idx="24">
                  <c:v>4.8000000000000016</c:v>
                </c:pt>
                <c:pt idx="25">
                  <c:v>5.0000000000000018</c:v>
                </c:pt>
                <c:pt idx="26">
                  <c:v>5.200000000000002</c:v>
                </c:pt>
                <c:pt idx="27">
                  <c:v>5.4000000000000021</c:v>
                </c:pt>
                <c:pt idx="28">
                  <c:v>5.6000000000000023</c:v>
                </c:pt>
                <c:pt idx="29">
                  <c:v>5.8000000000000025</c:v>
                </c:pt>
                <c:pt idx="30">
                  <c:v>6.0000000000000027</c:v>
                </c:pt>
                <c:pt idx="31">
                  <c:v>6.2000000000000028</c:v>
                </c:pt>
                <c:pt idx="32">
                  <c:v>6.400000000000003</c:v>
                </c:pt>
                <c:pt idx="33">
                  <c:v>6.6000000000000032</c:v>
                </c:pt>
                <c:pt idx="34">
                  <c:v>6.8000000000000034</c:v>
                </c:pt>
                <c:pt idx="35">
                  <c:v>7.0000000000000036</c:v>
                </c:pt>
                <c:pt idx="36">
                  <c:v>7.2000000000000037</c:v>
                </c:pt>
                <c:pt idx="37">
                  <c:v>7.4000000000000039</c:v>
                </c:pt>
                <c:pt idx="38">
                  <c:v>7.6000000000000041</c:v>
                </c:pt>
                <c:pt idx="39">
                  <c:v>7.8000000000000043</c:v>
                </c:pt>
                <c:pt idx="40">
                  <c:v>8.0000000000000036</c:v>
                </c:pt>
                <c:pt idx="41">
                  <c:v>8.2000000000000028</c:v>
                </c:pt>
                <c:pt idx="42">
                  <c:v>8.4000000000000021</c:v>
                </c:pt>
                <c:pt idx="43">
                  <c:v>8.6000000000000014</c:v>
                </c:pt>
                <c:pt idx="44">
                  <c:v>8.8000000000000007</c:v>
                </c:pt>
                <c:pt idx="45">
                  <c:v>9</c:v>
                </c:pt>
                <c:pt idx="46">
                  <c:v>9.1999999999999993</c:v>
                </c:pt>
                <c:pt idx="47">
                  <c:v>9.3999999999999986</c:v>
                </c:pt>
                <c:pt idx="48">
                  <c:v>9.5999999999999979</c:v>
                </c:pt>
                <c:pt idx="49">
                  <c:v>9.7999999999999972</c:v>
                </c:pt>
                <c:pt idx="50">
                  <c:v>9.9999999999999964</c:v>
                </c:pt>
                <c:pt idx="51">
                  <c:v>10.199999999999996</c:v>
                </c:pt>
                <c:pt idx="52">
                  <c:v>10.399999999999995</c:v>
                </c:pt>
                <c:pt idx="53">
                  <c:v>10.599999999999994</c:v>
                </c:pt>
                <c:pt idx="54">
                  <c:v>10.799999999999994</c:v>
                </c:pt>
                <c:pt idx="55">
                  <c:v>10.999999999999993</c:v>
                </c:pt>
                <c:pt idx="56">
                  <c:v>11.199999999999992</c:v>
                </c:pt>
                <c:pt idx="57">
                  <c:v>11.399999999999991</c:v>
                </c:pt>
                <c:pt idx="58">
                  <c:v>11.599999999999991</c:v>
                </c:pt>
                <c:pt idx="59">
                  <c:v>11.79999999999999</c:v>
                </c:pt>
                <c:pt idx="60">
                  <c:v>11.999999999999989</c:v>
                </c:pt>
                <c:pt idx="61">
                  <c:v>12.199999999999989</c:v>
                </c:pt>
                <c:pt idx="62">
                  <c:v>12.399999999999988</c:v>
                </c:pt>
                <c:pt idx="63">
                  <c:v>12.599999999999987</c:v>
                </c:pt>
                <c:pt idx="64">
                  <c:v>12.799999999999986</c:v>
                </c:pt>
                <c:pt idx="65">
                  <c:v>12.999999999999986</c:v>
                </c:pt>
                <c:pt idx="66">
                  <c:v>13.199999999999985</c:v>
                </c:pt>
                <c:pt idx="67">
                  <c:v>13.399999999999984</c:v>
                </c:pt>
                <c:pt idx="68">
                  <c:v>13.599999999999984</c:v>
                </c:pt>
                <c:pt idx="69">
                  <c:v>13.799999999999983</c:v>
                </c:pt>
                <c:pt idx="70">
                  <c:v>13.999999999999982</c:v>
                </c:pt>
              </c:numCache>
            </c:numRef>
          </c:xVal>
          <c:yVal>
            <c:numRef>
              <c:f>Distribution!$AU$12:$AU$135</c:f>
              <c:numCache>
                <c:formatCode>0.000</c:formatCode>
                <c:ptCount val="124"/>
                <c:pt idx="0">
                  <c:v>0.46938591477603636</c:v>
                </c:pt>
                <c:pt idx="1">
                  <c:v>0.26961238500444712</c:v>
                </c:pt>
                <c:pt idx="2">
                  <c:v>7.0167239170475265E-2</c:v>
                </c:pt>
                <c:pt idx="3">
                  <c:v>-0.12848827957092057</c:v>
                </c:pt>
                <c:pt idx="4">
                  <c:v>-0.32529632965330663</c:v>
                </c:pt>
                <c:pt idx="5">
                  <c:v>-0.51797427615036951</c:v>
                </c:pt>
                <c:pt idx="6">
                  <c:v>-0.70209459610867064</c:v>
                </c:pt>
                <c:pt idx="7">
                  <c:v>-0.87056790818603991</c:v>
                </c:pt>
                <c:pt idx="8">
                  <c:v>-1.0155749951149011</c:v>
                </c:pt>
                <c:pt idx="9">
                  <c:v>-1.1344844903939</c:v>
                </c:pt>
                <c:pt idx="10">
                  <c:v>-1.2352157616706074</c:v>
                </c:pt>
                <c:pt idx="11">
                  <c:v>-1.3331961200615821</c:v>
                </c:pt>
                <c:pt idx="12">
                  <c:v>-1.4423902567967499</c:v>
                </c:pt>
                <c:pt idx="13">
                  <c:v>-1.5698436547713912</c:v>
                </c:pt>
                <c:pt idx="14">
                  <c:v>-1.7161533802537337</c:v>
                </c:pt>
                <c:pt idx="15">
                  <c:v>-1.8783551422548281</c:v>
                </c:pt>
                <c:pt idx="16">
                  <c:v>-2.0523373321388125</c:v>
                </c:pt>
                <c:pt idx="17">
                  <c:v>-2.2339642921843161</c:v>
                </c:pt>
                <c:pt idx="18">
                  <c:v>-2.4190186495937334</c:v>
                </c:pt>
                <c:pt idx="19">
                  <c:v>-2.602011066457655</c:v>
                </c:pt>
                <c:pt idx="20">
                  <c:v>-2.7734891073952173</c:v>
                </c:pt>
                <c:pt idx="21">
                  <c:v>-2.9157917992722995</c:v>
                </c:pt>
                <c:pt idx="22">
                  <c:v>-3.0012329337855799</c:v>
                </c:pt>
                <c:pt idx="23">
                  <c:v>-3.0039917566003416</c:v>
                </c:pt>
                <c:pt idx="24">
                  <c:v>-2.9234092753952639</c:v>
                </c:pt>
                <c:pt idx="25">
                  <c:v>-2.7848632390709405</c:v>
                </c:pt>
                <c:pt idx="26">
                  <c:v>-2.6167402485529192</c:v>
                </c:pt>
                <c:pt idx="27">
                  <c:v>-2.4377122433103775</c:v>
                </c:pt>
                <c:pt idx="28">
                  <c:v>-2.2582727239015274</c:v>
                </c:pt>
                <c:pt idx="29">
                  <c:v>-2.0851406077953643</c:v>
                </c:pt>
                <c:pt idx="30">
                  <c:v>-1.9242039614601361</c:v>
                </c:pt>
                <c:pt idx="31">
                  <c:v>-1.7819895103405985</c:v>
                </c:pt>
                <c:pt idx="32">
                  <c:v>-1.6660747885651883</c:v>
                </c:pt>
                <c:pt idx="33">
                  <c:v>-1.5845131206156502</c:v>
                </c:pt>
                <c:pt idx="34">
                  <c:v>-1.544296487192647</c:v>
                </c:pt>
                <c:pt idx="35">
                  <c:v>-1.5493537132024715</c:v>
                </c:pt>
                <c:pt idx="36">
                  <c:v>-1.5991745986525807</c:v>
                </c:pt>
                <c:pt idx="37">
                  <c:v>-1.6890012149143372</c:v>
                </c:pt>
                <c:pt idx="38">
                  <c:v>-1.8114507740119825</c:v>
                </c:pt>
                <c:pt idx="39">
                  <c:v>-1.9585044483209444</c:v>
                </c:pt>
                <c:pt idx="40">
                  <c:v>-2.1228782054925031</c:v>
                </c:pt>
                <c:pt idx="41">
                  <c:v>-2.2984404699101217</c:v>
                </c:pt>
                <c:pt idx="42">
                  <c:v>-2.4797362340690454</c:v>
                </c:pt>
                <c:pt idx="43">
                  <c:v>-2.6605658648022894</c:v>
                </c:pt>
                <c:pt idx="44">
                  <c:v>-2.8311861884793958</c:v>
                </c:pt>
                <c:pt idx="45">
                  <c:v>-2.9739790102616657</c:v>
                </c:pt>
                <c:pt idx="46">
                  <c:v>-3.0612770144540971</c:v>
                </c:pt>
                <c:pt idx="47">
                  <c:v>-3.0664996486918232</c:v>
                </c:pt>
                <c:pt idx="48">
                  <c:v>-2.9875432687200183</c:v>
                </c:pt>
                <c:pt idx="49">
                  <c:v>-2.848954140590628</c:v>
                </c:pt>
                <c:pt idx="50">
                  <c:v>-2.6790487192959236</c:v>
                </c:pt>
                <c:pt idx="51">
                  <c:v>-2.4964012109174858</c:v>
                </c:pt>
                <c:pt idx="52">
                  <c:v>-2.3109868825663575</c:v>
                </c:pt>
                <c:pt idx="53">
                  <c:v>-2.1285028905812258</c:v>
                </c:pt>
                <c:pt idx="54">
                  <c:v>-1.9532553286606473</c:v>
                </c:pt>
                <c:pt idx="55">
                  <c:v>-1.789550898742132</c:v>
                </c:pt>
                <c:pt idx="56">
                  <c:v>-1.6420284861966383</c:v>
                </c:pt>
                <c:pt idx="57">
                  <c:v>-1.5149273665694651</c:v>
                </c:pt>
                <c:pt idx="58">
                  <c:v>-1.4100195592986766</c:v>
                </c:pt>
                <c:pt idx="59">
                  <c:v>-1.323366814773985</c:v>
                </c:pt>
                <c:pt idx="60">
                  <c:v>-1.2427526071662254</c:v>
                </c:pt>
                <c:pt idx="61">
                  <c:v>-1.149916814054246</c:v>
                </c:pt>
                <c:pt idx="62">
                  <c:v>-1.0297992226852899</c:v>
                </c:pt>
                <c:pt idx="63">
                  <c:v>-0.87930939925098861</c:v>
                </c:pt>
                <c:pt idx="64">
                  <c:v>-0.70562752849241495</c:v>
                </c:pt>
                <c:pt idx="65">
                  <c:v>-0.51816764175605601</c:v>
                </c:pt>
                <c:pt idx="66">
                  <c:v>-0.32373749581003769</c:v>
                </c:pt>
                <c:pt idx="67">
                  <c:v>-0.12610791499663515</c:v>
                </c:pt>
                <c:pt idx="68">
                  <c:v>7.2908541413623754E-2</c:v>
                </c:pt>
                <c:pt idx="69">
                  <c:v>0.27250629720940811</c:v>
                </c:pt>
                <c:pt idx="70">
                  <c:v>0.47234288272642883</c:v>
                </c:pt>
              </c:numCache>
            </c:numRef>
          </c:yVal>
          <c:smooth val="1"/>
          <c:extLst>
            <c:ext xmlns:c16="http://schemas.microsoft.com/office/drawing/2014/chart" uri="{C3380CC4-5D6E-409C-BE32-E72D297353CC}">
              <c16:uniqueId val="{00000000-730B-4CD5-93AA-D4A362C66407}"/>
            </c:ext>
          </c:extLst>
        </c:ser>
        <c:dLbls>
          <c:showLegendKey val="0"/>
          <c:showVal val="0"/>
          <c:showCatName val="0"/>
          <c:showSerName val="0"/>
          <c:showPercent val="0"/>
          <c:showBubbleSize val="0"/>
        </c:dLbls>
        <c:axId val="157767552"/>
        <c:axId val="157773824"/>
      </c:scatterChart>
      <c:valAx>
        <c:axId val="157767552"/>
        <c:scaling>
          <c:orientation val="minMax"/>
          <c:max val="14"/>
          <c:min val="0"/>
        </c:scaling>
        <c:delete val="0"/>
        <c:axPos val="b"/>
        <c:majorGridlines/>
        <c:title>
          <c:tx>
            <c:rich>
              <a:bodyPr/>
              <a:lstStyle/>
              <a:p>
                <a:pPr>
                  <a:defRPr sz="1200" b="1" i="0" u="none" strike="noStrike" baseline="0">
                    <a:solidFill>
                      <a:srgbClr val="000000"/>
                    </a:solidFill>
                    <a:latin typeface="Arial"/>
                    <a:ea typeface="Arial"/>
                    <a:cs typeface="Arial"/>
                  </a:defRPr>
                </a:pPr>
                <a:r>
                  <a:rPr lang="pt-BR"/>
                  <a:t>pH</a:t>
                </a:r>
              </a:p>
            </c:rich>
          </c:tx>
          <c:layout>
            <c:manualLayout>
              <c:xMode val="edge"/>
              <c:yMode val="edge"/>
              <c:x val="0.50506551386959064"/>
              <c:y val="0.93235643994113149"/>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57773824"/>
        <c:crossesAt val="-8"/>
        <c:crossBetween val="midCat"/>
        <c:majorUnit val="1"/>
        <c:minorUnit val="1"/>
      </c:valAx>
      <c:valAx>
        <c:axId val="157773824"/>
        <c:scaling>
          <c:orientation val="minMax"/>
        </c:scaling>
        <c:delete val="0"/>
        <c:axPos val="l"/>
        <c:majorGridlines>
          <c:spPr>
            <a:ln w="3175">
              <a:solidFill>
                <a:srgbClr val="000000"/>
              </a:solidFill>
              <a:prstDash val="solid"/>
            </a:ln>
          </c:spPr>
        </c:majorGridlines>
        <c:title>
          <c:tx>
            <c:rich>
              <a:bodyPr/>
              <a:lstStyle/>
              <a:p>
                <a:pPr>
                  <a:defRPr sz="1075" b="1" i="0" u="none" strike="noStrike" baseline="0">
                    <a:solidFill>
                      <a:srgbClr val="000000"/>
                    </a:solidFill>
                    <a:latin typeface="Arial"/>
                    <a:ea typeface="Arial"/>
                    <a:cs typeface="Arial"/>
                  </a:defRPr>
                </a:pPr>
                <a:r>
                  <a:rPr lang="pt-BR"/>
                  <a:t>log buffer</a:t>
                </a:r>
                <a:r>
                  <a:rPr lang="pt-BR" baseline="0"/>
                  <a:t> capacity</a:t>
                </a:r>
                <a:endParaRPr lang="pt-BR"/>
              </a:p>
            </c:rich>
          </c:tx>
          <c:layout>
            <c:manualLayout>
              <c:xMode val="edge"/>
              <c:yMode val="edge"/>
              <c:x val="7.2358602233545807E-3"/>
              <c:y val="0.376528515330943"/>
            </c:manualLayout>
          </c:layout>
          <c:overlay val="0"/>
          <c:spPr>
            <a:noFill/>
            <a:ln w="25400">
              <a:noFill/>
            </a:ln>
          </c:spPr>
        </c:title>
        <c:numFmt formatCode="0.00" sourceLinked="0"/>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57767552"/>
        <c:crosses val="autoZero"/>
        <c:crossBetween val="midCat"/>
      </c:valAx>
      <c:spPr>
        <a:noFill/>
        <a:ln w="12700">
          <a:solidFill>
            <a:schemeClr val="tx1"/>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0.98425196899999956" l="0.78740157499999996" r="0.78740157499999996" t="0.98425196899999956" header="0.49212598500001264" footer="0.49212598500001264"/>
    <c:pageSetup paperSize="9" orientation="landscape"/>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pt-BR" sz="1200" baseline="0"/>
              <a:t>log buffer capacity along a titration</a:t>
            </a:r>
          </a:p>
        </c:rich>
      </c:tx>
      <c:layout>
        <c:manualLayout>
          <c:xMode val="edge"/>
          <c:yMode val="edge"/>
          <c:x val="0.10881820467134741"/>
          <c:y val="9.5507577640305315E-3"/>
        </c:manualLayout>
      </c:layout>
      <c:overlay val="0"/>
      <c:spPr>
        <a:noFill/>
        <a:ln w="25400">
          <a:noFill/>
        </a:ln>
      </c:spPr>
    </c:title>
    <c:autoTitleDeleted val="0"/>
    <c:plotArea>
      <c:layout>
        <c:manualLayout>
          <c:layoutTarget val="inner"/>
          <c:xMode val="edge"/>
          <c:yMode val="edge"/>
          <c:x val="0.10530915371520309"/>
          <c:y val="7.5072355069758429E-2"/>
          <c:w val="0.83105218868983666"/>
          <c:h val="0.7930458642816951"/>
        </c:manualLayout>
      </c:layout>
      <c:scatterChart>
        <c:scatterStyle val="smoothMarker"/>
        <c:varyColors val="0"/>
        <c:ser>
          <c:idx val="0"/>
          <c:order val="0"/>
          <c:tx>
            <c:v>log_bufferVol</c:v>
          </c:tx>
          <c:spPr>
            <a:ln w="38100">
              <a:solidFill>
                <a:srgbClr val="09007E"/>
              </a:solidFill>
              <a:prstDash val="solid"/>
            </a:ln>
          </c:spPr>
          <c:marker>
            <c:symbol val="circle"/>
            <c:size val="5"/>
            <c:spPr>
              <a:solidFill>
                <a:srgbClr val="F4EE00"/>
              </a:solidFill>
              <a:ln>
                <a:solidFill>
                  <a:srgbClr val="FF0000"/>
                </a:solidFill>
                <a:prstDash val="solid"/>
              </a:ln>
            </c:spPr>
          </c:marker>
          <c:xVal>
            <c:numRef>
              <c:f>Distribution!$Y$12:$Y$135</c:f>
              <c:numCache>
                <c:formatCode>0.000</c:formatCode>
                <c:ptCount val="124"/>
                <c:pt idx="0">
                  <c:v>0</c:v>
                </c:pt>
                <c:pt idx="1">
                  <c:v>2.3004448812571354</c:v>
                </c:pt>
                <c:pt idx="2">
                  <c:v>4.3254298929241486</c:v>
                </c:pt>
                <c:pt idx="3">
                  <c:v>5.9982889695675112</c:v>
                </c:pt>
                <c:pt idx="4">
                  <c:v>7.2857926934375428</c:v>
                </c:pt>
                <c:pt idx="5">
                  <c:v>8.2150732792797498</c:v>
                </c:pt>
                <c:pt idx="6">
                  <c:v>8.852646873856429</c:v>
                </c:pt>
                <c:pt idx="7">
                  <c:v>9.2745251997257583</c:v>
                </c:pt>
                <c:pt idx="8">
                  <c:v>9.5472193221212365</c:v>
                </c:pt>
                <c:pt idx="9">
                  <c:v>9.7213898246991448</c:v>
                </c:pt>
                <c:pt idx="10">
                  <c:v>9.8327682426315732</c:v>
                </c:pt>
                <c:pt idx="11">
                  <c:v>9.9056407503667288</c:v>
                </c:pt>
                <c:pt idx="12">
                  <c:v>9.956512633652892</c:v>
                </c:pt>
                <c:pt idx="13">
                  <c:v>9.9971799951163121</c:v>
                </c:pt>
                <c:pt idx="14">
                  <c:v>10.037190483126324</c:v>
                </c:pt>
                <c:pt idx="15">
                  <c:v>10.085949620406609</c:v>
                </c:pt>
                <c:pt idx="16">
                  <c:v>10.154803957266267</c:v>
                </c:pt>
                <c:pt idx="17">
                  <c:v>10.259427917480934</c:v>
                </c:pt>
                <c:pt idx="18">
                  <c:v>10.422738817578647</c:v>
                </c:pt>
                <c:pt idx="19">
                  <c:v>10.678157336951699</c:v>
                </c:pt>
                <c:pt idx="20">
                  <c:v>11.071775054733735</c:v>
                </c:pt>
                <c:pt idx="21">
                  <c:v>11.659035268530715</c:v>
                </c:pt>
                <c:pt idx="22">
                  <c:v>12.487507292826194</c:v>
                </c:pt>
                <c:pt idx="23">
                  <c:v>13.560292513284367</c:v>
                </c:pt>
                <c:pt idx="24">
                  <c:v>14.799194350780454</c:v>
                </c:pt>
                <c:pt idx="25">
                  <c:v>16.054576211899985</c:v>
                </c:pt>
                <c:pt idx="26">
                  <c:v>17.173922529036645</c:v>
                </c:pt>
                <c:pt idx="27">
                  <c:v>18.068469061108772</c:v>
                </c:pt>
                <c:pt idx="28">
                  <c:v>18.725484058086295</c:v>
                </c:pt>
                <c:pt idx="29">
                  <c:v>19.179874857945833</c:v>
                </c:pt>
                <c:pt idx="30">
                  <c:v>19.48181740444852</c:v>
                </c:pt>
                <c:pt idx="31">
                  <c:v>19.677734184369911</c:v>
                </c:pt>
                <c:pt idx="32">
                  <c:v>19.803712518478278</c:v>
                </c:pt>
                <c:pt idx="33">
                  <c:v>19.885540132236201</c:v>
                </c:pt>
                <c:pt idx="34">
                  <c:v>19.941073826339561</c:v>
                </c:pt>
                <c:pt idx="35">
                  <c:v>19.982924718351569</c:v>
                </c:pt>
                <c:pt idx="36">
                  <c:v>20.020832466252614</c:v>
                </c:pt>
                <c:pt idx="37">
                  <c:v>20.063731157279108</c:v>
                </c:pt>
                <c:pt idx="38">
                  <c:v>20.121755062427837</c:v>
                </c:pt>
                <c:pt idx="39">
                  <c:v>20.208536063728388</c:v>
                </c:pt>
                <c:pt idx="40">
                  <c:v>20.344214436772745</c:v>
                </c:pt>
                <c:pt idx="41">
                  <c:v>20.55962798622204</c:v>
                </c:pt>
                <c:pt idx="42">
                  <c:v>20.902049214055296</c:v>
                </c:pt>
                <c:pt idx="43">
                  <c:v>21.442285725788679</c:v>
                </c:pt>
                <c:pt idx="44">
                  <c:v>22.281442677194718</c:v>
                </c:pt>
                <c:pt idx="45">
                  <c:v>23.553723619261291</c:v>
                </c:pt>
                <c:pt idx="46">
                  <c:v>25.425947584153619</c:v>
                </c:pt>
                <c:pt idx="47">
                  <c:v>28.122492051625159</c:v>
                </c:pt>
                <c:pt idx="48">
                  <c:v>32.065280988172162</c:v>
                </c:pt>
                <c:pt idx="49">
                  <c:v>38.31748273660196</c:v>
                </c:pt>
                <c:pt idx="50">
                  <c:v>49.999999998544808</c:v>
                </c:pt>
              </c:numCache>
            </c:numRef>
          </c:xVal>
          <c:yVal>
            <c:numRef>
              <c:f>Distribution!$BG$12:$BG$135</c:f>
              <c:numCache>
                <c:formatCode>0.000</c:formatCode>
                <c:ptCount val="124"/>
                <c:pt idx="0">
                  <c:v>-1.1436208496845741</c:v>
                </c:pt>
                <c:pt idx="1">
                  <c:v>-1.2506752794435696</c:v>
                </c:pt>
                <c:pt idx="2">
                  <c:v>-1.3570117780499349</c:v>
                </c:pt>
                <c:pt idx="3">
                  <c:v>-1.4781385053269342</c:v>
                </c:pt>
                <c:pt idx="4">
                  <c:v>-1.6201520390662025</c:v>
                </c:pt>
                <c:pt idx="5">
                  <c:v>-1.7819511974955422</c:v>
                </c:pt>
                <c:pt idx="6">
                  <c:v>-1.9592729120332253</c:v>
                </c:pt>
                <c:pt idx="7">
                  <c:v>-2.1472491141854091</c:v>
                </c:pt>
                <c:pt idx="8">
                  <c:v>-2.3411270090698828</c:v>
                </c:pt>
                <c:pt idx="9">
                  <c:v>-2.535454836656073</c:v>
                </c:pt>
                <c:pt idx="10">
                  <c:v>-2.721529336045116</c:v>
                </c:pt>
                <c:pt idx="11">
                  <c:v>-2.8825893151438562</c:v>
                </c:pt>
                <c:pt idx="12">
                  <c:v>-2.9894473669986659</c:v>
                </c:pt>
                <c:pt idx="13">
                  <c:v>-3.0095116427801258</c:v>
                </c:pt>
                <c:pt idx="14">
                  <c:v>-2.9353375942898112</c:v>
                </c:pt>
                <c:pt idx="15">
                  <c:v>-2.7933657992443965</c:v>
                </c:pt>
                <c:pt idx="16">
                  <c:v>-2.6169643933199338</c:v>
                </c:pt>
                <c:pt idx="17">
                  <c:v>-2.4282194152016459</c:v>
                </c:pt>
                <c:pt idx="18">
                  <c:v>-2.2392207387887497</c:v>
                </c:pt>
                <c:pt idx="19">
                  <c:v>-2.0576453412636426</c:v>
                </c:pt>
                <c:pt idx="20">
                  <c:v>-1.8904630263889404</c:v>
                </c:pt>
                <c:pt idx="21">
                  <c:v>-1.7457534560370065</c:v>
                </c:pt>
                <c:pt idx="22">
                  <c:v>-1.6330860899447812</c:v>
                </c:pt>
                <c:pt idx="23">
                  <c:v>-1.5623381345120178</c:v>
                </c:pt>
                <c:pt idx="24">
                  <c:v>-1.5410168605405417</c:v>
                </c:pt>
                <c:pt idx="25">
                  <c:v>-1.5714307604758215</c:v>
                </c:pt>
                <c:pt idx="26">
                  <c:v>-1.6498118549779257</c:v>
                </c:pt>
                <c:pt idx="27">
                  <c:v>-1.7680237947358548</c:v>
                </c:pt>
                <c:pt idx="28">
                  <c:v>-1.9163958790846263</c:v>
                </c:pt>
                <c:pt idx="29">
                  <c:v>-2.0859162149950841</c:v>
                </c:pt>
                <c:pt idx="30">
                  <c:v>-2.2690751579147572</c:v>
                </c:pt>
                <c:pt idx="31">
                  <c:v>-2.4594501560701336</c:v>
                </c:pt>
                <c:pt idx="32">
                  <c:v>-2.6500776004342632</c:v>
                </c:pt>
                <c:pt idx="33">
                  <c:v>-2.830099519782094</c:v>
                </c:pt>
                <c:pt idx="34">
                  <c:v>-2.9793566824538216</c:v>
                </c:pt>
                <c:pt idx="35">
                  <c:v>-3.0656677577472404</c:v>
                </c:pt>
                <c:pt idx="36">
                  <c:v>-3.0596903061435565</c:v>
                </c:pt>
                <c:pt idx="37">
                  <c:v>-2.9634934653100613</c:v>
                </c:pt>
                <c:pt idx="38">
                  <c:v>-2.808023735354801</c:v>
                </c:pt>
                <c:pt idx="39">
                  <c:v>-2.6240692173920874</c:v>
                </c:pt>
                <c:pt idx="40">
                  <c:v>-2.4300030419813896</c:v>
                </c:pt>
                <c:pt idx="41">
                  <c:v>-2.2353193327187371</c:v>
                </c:pt>
                <c:pt idx="42">
                  <c:v>-2.045746524748945</c:v>
                </c:pt>
                <c:pt idx="43">
                  <c:v>-1.8661845991374406</c:v>
                </c:pt>
                <c:pt idx="44">
                  <c:v>-1.7019134112771221</c:v>
                </c:pt>
                <c:pt idx="45">
                  <c:v>-1.5584107449663964</c:v>
                </c:pt>
                <c:pt idx="46">
                  <c:v>-1.4394377581419544</c:v>
                </c:pt>
                <c:pt idx="47">
                  <c:v>-1.3431269229396519</c:v>
                </c:pt>
                <c:pt idx="48">
                  <c:v>-1.2577909795135389</c:v>
                </c:pt>
                <c:pt idx="49">
                  <c:v>-1.1628458025969262</c:v>
                </c:pt>
                <c:pt idx="50">
                  <c:v>-1.0394727861778328</c:v>
                </c:pt>
              </c:numCache>
            </c:numRef>
          </c:yVal>
          <c:smooth val="1"/>
          <c:extLst>
            <c:ext xmlns:c16="http://schemas.microsoft.com/office/drawing/2014/chart" uri="{C3380CC4-5D6E-409C-BE32-E72D297353CC}">
              <c16:uniqueId val="{00000000-2961-44E6-9A4C-17C8570D337B}"/>
            </c:ext>
          </c:extLst>
        </c:ser>
        <c:dLbls>
          <c:showLegendKey val="0"/>
          <c:showVal val="0"/>
          <c:showCatName val="0"/>
          <c:showSerName val="0"/>
          <c:showPercent val="0"/>
          <c:showBubbleSize val="0"/>
        </c:dLbls>
        <c:axId val="157821184"/>
        <c:axId val="157823744"/>
      </c:scatterChart>
      <c:scatterChart>
        <c:scatterStyle val="smoothMarker"/>
        <c:varyColors val="0"/>
        <c:ser>
          <c:idx val="1"/>
          <c:order val="1"/>
          <c:spPr>
            <a:ln w="12700">
              <a:solidFill>
                <a:srgbClr val="002060"/>
              </a:solidFill>
              <a:prstDash val="sysDash"/>
            </a:ln>
          </c:spPr>
          <c:marker>
            <c:symbol val="circle"/>
            <c:size val="4"/>
            <c:spPr>
              <a:noFill/>
              <a:ln>
                <a:solidFill>
                  <a:srgbClr val="0000FF"/>
                </a:solidFill>
                <a:prstDash val="solid"/>
              </a:ln>
            </c:spPr>
          </c:marker>
          <c:xVal>
            <c:numRef>
              <c:f>Distribution!$Y$12:$Y$158</c:f>
              <c:numCache>
                <c:formatCode>0.000</c:formatCode>
                <c:ptCount val="147"/>
                <c:pt idx="0">
                  <c:v>0</c:v>
                </c:pt>
                <c:pt idx="1">
                  <c:v>2.3004448812571354</c:v>
                </c:pt>
                <c:pt idx="2">
                  <c:v>4.3254298929241486</c:v>
                </c:pt>
                <c:pt idx="3">
                  <c:v>5.9982889695675112</c:v>
                </c:pt>
                <c:pt idx="4">
                  <c:v>7.2857926934375428</c:v>
                </c:pt>
                <c:pt idx="5">
                  <c:v>8.2150732792797498</c:v>
                </c:pt>
                <c:pt idx="6">
                  <c:v>8.852646873856429</c:v>
                </c:pt>
                <c:pt idx="7">
                  <c:v>9.2745251997257583</c:v>
                </c:pt>
                <c:pt idx="8">
                  <c:v>9.5472193221212365</c:v>
                </c:pt>
                <c:pt idx="9">
                  <c:v>9.7213898246991448</c:v>
                </c:pt>
                <c:pt idx="10">
                  <c:v>9.8327682426315732</c:v>
                </c:pt>
                <c:pt idx="11">
                  <c:v>9.9056407503667288</c:v>
                </c:pt>
                <c:pt idx="12">
                  <c:v>9.956512633652892</c:v>
                </c:pt>
                <c:pt idx="13">
                  <c:v>9.9971799951163121</c:v>
                </c:pt>
                <c:pt idx="14">
                  <c:v>10.037190483126324</c:v>
                </c:pt>
                <c:pt idx="15">
                  <c:v>10.085949620406609</c:v>
                </c:pt>
                <c:pt idx="16">
                  <c:v>10.154803957266267</c:v>
                </c:pt>
                <c:pt idx="17">
                  <c:v>10.259427917480934</c:v>
                </c:pt>
                <c:pt idx="18">
                  <c:v>10.422738817578647</c:v>
                </c:pt>
                <c:pt idx="19">
                  <c:v>10.678157336951699</c:v>
                </c:pt>
                <c:pt idx="20">
                  <c:v>11.071775054733735</c:v>
                </c:pt>
                <c:pt idx="21">
                  <c:v>11.659035268530715</c:v>
                </c:pt>
                <c:pt idx="22">
                  <c:v>12.487507292826194</c:v>
                </c:pt>
                <c:pt idx="23">
                  <c:v>13.560292513284367</c:v>
                </c:pt>
                <c:pt idx="24">
                  <c:v>14.799194350780454</c:v>
                </c:pt>
                <c:pt idx="25">
                  <c:v>16.054576211899985</c:v>
                </c:pt>
                <c:pt idx="26">
                  <c:v>17.173922529036645</c:v>
                </c:pt>
                <c:pt idx="27">
                  <c:v>18.068469061108772</c:v>
                </c:pt>
                <c:pt idx="28">
                  <c:v>18.725484058086295</c:v>
                </c:pt>
                <c:pt idx="29">
                  <c:v>19.179874857945833</c:v>
                </c:pt>
                <c:pt idx="30">
                  <c:v>19.48181740444852</c:v>
                </c:pt>
                <c:pt idx="31">
                  <c:v>19.677734184369911</c:v>
                </c:pt>
                <c:pt idx="32">
                  <c:v>19.803712518478278</c:v>
                </c:pt>
                <c:pt idx="33">
                  <c:v>19.885540132236201</c:v>
                </c:pt>
                <c:pt idx="34">
                  <c:v>19.941073826339561</c:v>
                </c:pt>
                <c:pt idx="35">
                  <c:v>19.982924718351569</c:v>
                </c:pt>
                <c:pt idx="36">
                  <c:v>20.020832466252614</c:v>
                </c:pt>
                <c:pt idx="37">
                  <c:v>20.063731157279108</c:v>
                </c:pt>
                <c:pt idx="38">
                  <c:v>20.121755062427837</c:v>
                </c:pt>
                <c:pt idx="39">
                  <c:v>20.208536063728388</c:v>
                </c:pt>
                <c:pt idx="40">
                  <c:v>20.344214436772745</c:v>
                </c:pt>
                <c:pt idx="41">
                  <c:v>20.55962798622204</c:v>
                </c:pt>
                <c:pt idx="42">
                  <c:v>20.902049214055296</c:v>
                </c:pt>
                <c:pt idx="43">
                  <c:v>21.442285725788679</c:v>
                </c:pt>
                <c:pt idx="44">
                  <c:v>22.281442677194718</c:v>
                </c:pt>
                <c:pt idx="45">
                  <c:v>23.553723619261291</c:v>
                </c:pt>
                <c:pt idx="46">
                  <c:v>25.425947584153619</c:v>
                </c:pt>
                <c:pt idx="47">
                  <c:v>28.122492051625159</c:v>
                </c:pt>
                <c:pt idx="48">
                  <c:v>32.065280988172162</c:v>
                </c:pt>
                <c:pt idx="49">
                  <c:v>38.31748273660196</c:v>
                </c:pt>
                <c:pt idx="50">
                  <c:v>49.999999998544808</c:v>
                </c:pt>
              </c:numCache>
            </c:numRef>
          </c:xVal>
          <c:yVal>
            <c:numRef>
              <c:f>Distribution!$Z$12:$Z$158</c:f>
              <c:numCache>
                <c:formatCode>0.000</c:formatCode>
                <c:ptCount val="147"/>
                <c:pt idx="0">
                  <c:v>1.8171072800722754</c:v>
                </c:pt>
                <c:pt idx="1">
                  <c:v>2.03204784726322</c:v>
                </c:pt>
                <c:pt idx="2">
                  <c:v>2.2461396194374883</c:v>
                </c:pt>
                <c:pt idx="3">
                  <c:v>2.4592837415154789</c:v>
                </c:pt>
                <c:pt idx="4">
                  <c:v>2.6715840969865385</c:v>
                </c:pt>
                <c:pt idx="5">
                  <c:v>2.8832299762264122</c:v>
                </c:pt>
                <c:pt idx="6">
                  <c:v>3.0944106420923969</c:v>
                </c:pt>
                <c:pt idx="7">
                  <c:v>3.3052786795679925</c:v>
                </c:pt>
                <c:pt idx="8">
                  <c:v>3.5159445293883027</c:v>
                </c:pt>
                <c:pt idx="9">
                  <c:v>3.7264837975794283</c:v>
                </c:pt>
                <c:pt idx="10">
                  <c:v>3.9369472311575628</c:v>
                </c:pt>
                <c:pt idx="11">
                  <c:v>4.1473695514894615</c:v>
                </c:pt>
                <c:pt idx="12">
                  <c:v>4.3577764259656462</c:v>
                </c:pt>
                <c:pt idx="13">
                  <c:v>4.568190022913047</c:v>
                </c:pt>
                <c:pt idx="14">
                  <c:v>4.7786339196049799</c:v>
                </c:pt>
                <c:pt idx="15">
                  <c:v>4.989138153184598</c:v>
                </c:pt>
                <c:pt idx="16">
                  <c:v>5.1997450596983432</c:v>
                </c:pt>
                <c:pt idx="17">
                  <c:v>5.4105160650546065</c:v>
                </c:pt>
                <c:pt idx="18">
                  <c:v>5.6215382068211683</c:v>
                </c:pt>
                <c:pt idx="19">
                  <c:v>5.8329258111339772</c:v>
                </c:pt>
                <c:pt idx="20">
                  <c:v>6.0448065155412518</c:v>
                </c:pt>
                <c:pt idx="21">
                  <c:v>6.2572748607294768</c:v>
                </c:pt>
                <c:pt idx="22">
                  <c:v>6.4703073210120445</c:v>
                </c:pt>
                <c:pt idx="23">
                  <c:v>6.6836852438660559</c:v>
                </c:pt>
                <c:pt idx="24">
                  <c:v>6.8970304591995308</c:v>
                </c:pt>
                <c:pt idx="25">
                  <c:v>7.1099804688999608</c:v>
                </c:pt>
                <c:pt idx="26">
                  <c:v>7.322349098093679</c:v>
                </c:pt>
                <c:pt idx="27">
                  <c:v>7.5341386806955644</c:v>
                </c:pt>
                <c:pt idx="28">
                  <c:v>7.7454546772478645</c:v>
                </c:pt>
                <c:pt idx="29">
                  <c:v>7.9564249462523851</c:v>
                </c:pt>
                <c:pt idx="30">
                  <c:v>8.1671594790759396</c:v>
                </c:pt>
                <c:pt idx="31">
                  <c:v>8.377740060160809</c:v>
                </c:pt>
                <c:pt idx="32">
                  <c:v>8.5882232426729104</c:v>
                </c:pt>
                <c:pt idx="33">
                  <c:v>8.7986468997393832</c:v>
                </c:pt>
                <c:pt idx="34">
                  <c:v>9.0090364657241615</c:v>
                </c:pt>
                <c:pt idx="35">
                  <c:v>9.2194099000282304</c:v>
                </c:pt>
                <c:pt idx="36">
                  <c:v>9.4297815209616029</c:v>
                </c:pt>
                <c:pt idx="37">
                  <c:v>9.6401651822701666</c:v>
                </c:pt>
                <c:pt idx="38">
                  <c:v>9.8505773086917063</c:v>
                </c:pt>
                <c:pt idx="39">
                  <c:v>10.061040246754805</c:v>
                </c:pt>
                <c:pt idx="40">
                  <c:v>10.271586190317612</c:v>
                </c:pt>
                <c:pt idx="41">
                  <c:v>10.482261360601155</c:v>
                </c:pt>
                <c:pt idx="42">
                  <c:v>10.693128606202979</c:v>
                </c:pt>
                <c:pt idx="43">
                  <c:v>10.904263374595613</c:v>
                </c:pt>
                <c:pt idx="44">
                  <c:v>11.115733453073027</c:v>
                </c:pt>
                <c:pt idx="45">
                  <c:v>11.327553158845967</c:v>
                </c:pt>
                <c:pt idx="46">
                  <c:v>11.539624057245398</c:v>
                </c:pt>
                <c:pt idx="47">
                  <c:v>11.751718173325493</c:v>
                </c:pt>
                <c:pt idx="48">
                  <c:v>11.963554366049292</c:v>
                </c:pt>
                <c:pt idx="49">
                  <c:v>12.174908797581793</c:v>
                </c:pt>
                <c:pt idx="50">
                  <c:v>12.385643935645515</c:v>
                </c:pt>
              </c:numCache>
            </c:numRef>
          </c:yVal>
          <c:smooth val="1"/>
          <c:extLst>
            <c:ext xmlns:c16="http://schemas.microsoft.com/office/drawing/2014/chart" uri="{C3380CC4-5D6E-409C-BE32-E72D297353CC}">
              <c16:uniqueId val="{00000001-2961-44E6-9A4C-17C8570D337B}"/>
            </c:ext>
          </c:extLst>
        </c:ser>
        <c:dLbls>
          <c:showLegendKey val="0"/>
          <c:showVal val="0"/>
          <c:showCatName val="0"/>
          <c:showSerName val="0"/>
          <c:showPercent val="0"/>
          <c:showBubbleSize val="0"/>
        </c:dLbls>
        <c:axId val="157831552"/>
        <c:axId val="157825664"/>
      </c:scatterChart>
      <c:valAx>
        <c:axId val="157821184"/>
        <c:scaling>
          <c:orientation val="minMax"/>
        </c:scaling>
        <c:delete val="0"/>
        <c:axPos val="b"/>
        <c:majorGridlines/>
        <c:title>
          <c:tx>
            <c:rich>
              <a:bodyPr/>
              <a:lstStyle/>
              <a:p>
                <a:pPr>
                  <a:defRPr sz="1200" b="1" i="0" u="none" strike="noStrike" baseline="0">
                    <a:solidFill>
                      <a:srgbClr val="000000"/>
                    </a:solidFill>
                    <a:latin typeface="Arial"/>
                    <a:ea typeface="Arial"/>
                    <a:cs typeface="Arial"/>
                  </a:defRPr>
                </a:pPr>
                <a:r>
                  <a:rPr lang="pt-BR"/>
                  <a:t>Volume (mL)</a:t>
                </a:r>
              </a:p>
            </c:rich>
          </c:tx>
          <c:layout>
            <c:manualLayout>
              <c:xMode val="edge"/>
              <c:yMode val="edge"/>
              <c:x val="0.45442566406948576"/>
              <c:y val="0.93881483886679162"/>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57823744"/>
        <c:crossesAt val="-8"/>
        <c:crossBetween val="midCat"/>
      </c:valAx>
      <c:valAx>
        <c:axId val="157823744"/>
        <c:scaling>
          <c:orientation val="minMax"/>
          <c:max val="0.1"/>
          <c:min val="-4"/>
        </c:scaling>
        <c:delete val="0"/>
        <c:axPos val="l"/>
        <c:majorGridlines>
          <c:spPr>
            <a:ln w="3175">
              <a:solidFill>
                <a:srgbClr val="000000"/>
              </a:solidFill>
              <a:prstDash val="solid"/>
            </a:ln>
          </c:spPr>
        </c:majorGridlines>
        <c:title>
          <c:tx>
            <c:rich>
              <a:bodyPr/>
              <a:lstStyle/>
              <a:p>
                <a:pPr>
                  <a:defRPr sz="1050" b="1" i="0" u="none" strike="noStrike" baseline="0">
                    <a:solidFill>
                      <a:srgbClr val="000000"/>
                    </a:solidFill>
                    <a:latin typeface="Arial"/>
                    <a:ea typeface="Arial"/>
                    <a:cs typeface="Arial"/>
                  </a:defRPr>
                </a:pPr>
                <a:r>
                  <a:rPr lang="pt-BR"/>
                  <a:t>log buffer capacity</a:t>
                </a:r>
              </a:p>
            </c:rich>
          </c:tx>
          <c:layout>
            <c:manualLayout>
              <c:xMode val="edge"/>
              <c:yMode val="edge"/>
              <c:x val="8.7978727789916316E-3"/>
              <c:y val="0.38141867575832311"/>
            </c:manualLayout>
          </c:layout>
          <c:overlay val="0"/>
          <c:spPr>
            <a:noFill/>
            <a:ln w="25400">
              <a:noFill/>
            </a:ln>
          </c:spPr>
        </c:title>
        <c:numFmt formatCode="0.00" sourceLinked="0"/>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57821184"/>
        <c:crosses val="autoZero"/>
        <c:crossBetween val="midCat"/>
      </c:valAx>
      <c:valAx>
        <c:axId val="157825664"/>
        <c:scaling>
          <c:orientation val="minMax"/>
        </c:scaling>
        <c:delete val="0"/>
        <c:axPos val="r"/>
        <c:numFmt formatCode="0" sourceLinked="0"/>
        <c:majorTickMark val="out"/>
        <c:minorTickMark val="none"/>
        <c:tickLblPos val="nextTo"/>
        <c:crossAx val="157831552"/>
        <c:crosses val="max"/>
        <c:crossBetween val="midCat"/>
      </c:valAx>
      <c:valAx>
        <c:axId val="157831552"/>
        <c:scaling>
          <c:orientation val="minMax"/>
        </c:scaling>
        <c:delete val="1"/>
        <c:axPos val="b"/>
        <c:numFmt formatCode="0.000" sourceLinked="1"/>
        <c:majorTickMark val="out"/>
        <c:minorTickMark val="none"/>
        <c:tickLblPos val="nextTo"/>
        <c:crossAx val="157825664"/>
        <c:crosses val="autoZero"/>
        <c:crossBetween val="midCat"/>
      </c:valAx>
      <c:spPr>
        <a:noFill/>
        <a:ln w="12700">
          <a:solidFill>
            <a:schemeClr val="tx1"/>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0.98425196899999956" l="0.78740157499999996" r="0.78740157499999996" t="0.98425196899999956" header="0.49212598500001264" footer="0.49212598500001264"/>
    <c:pageSetup/>
  </c:printSettings>
  <c:userShapes r:id="rId1"/>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pt-BR"/>
              <a:t>Mean charge of species </a:t>
            </a:r>
            <a:r>
              <a:rPr lang="pt-BR" baseline="0"/>
              <a:t>HiB</a:t>
            </a:r>
            <a:endParaRPr lang="pt-BR"/>
          </a:p>
        </c:rich>
      </c:tx>
      <c:layout>
        <c:manualLayout>
          <c:xMode val="edge"/>
          <c:yMode val="edge"/>
          <c:x val="7.8100524119825432E-2"/>
          <c:y val="5.4957995348505926E-3"/>
        </c:manualLayout>
      </c:layout>
      <c:overlay val="0"/>
      <c:spPr>
        <a:noFill/>
        <a:ln w="25400">
          <a:noFill/>
        </a:ln>
      </c:spPr>
    </c:title>
    <c:autoTitleDeleted val="0"/>
    <c:plotArea>
      <c:layout>
        <c:manualLayout>
          <c:layoutTarget val="inner"/>
          <c:xMode val="edge"/>
          <c:yMode val="edge"/>
          <c:x val="8.393641970565674E-2"/>
          <c:y val="7.8553241700468457E-2"/>
          <c:w val="0.88422638458922442"/>
          <c:h val="0.7848420127717336"/>
        </c:manualLayout>
      </c:layout>
      <c:scatterChart>
        <c:scatterStyle val="smoothMarker"/>
        <c:varyColors val="0"/>
        <c:ser>
          <c:idx val="1"/>
          <c:order val="0"/>
          <c:tx>
            <c:v>"mean charge"</c:v>
          </c:tx>
          <c:marker>
            <c:symbol val="none"/>
          </c:marker>
          <c:xVal>
            <c:numRef>
              <c:f>Distribution!$O$12:$O$135</c:f>
              <c:numCache>
                <c:formatCode>0.000</c:formatCode>
                <c:ptCount val="124"/>
                <c:pt idx="0">
                  <c:v>0</c:v>
                </c:pt>
                <c:pt idx="1">
                  <c:v>0.2</c:v>
                </c:pt>
                <c:pt idx="2">
                  <c:v>0.4</c:v>
                </c:pt>
                <c:pt idx="3">
                  <c:v>0.60000000000000009</c:v>
                </c:pt>
                <c:pt idx="4">
                  <c:v>0.8</c:v>
                </c:pt>
                <c:pt idx="5">
                  <c:v>1</c:v>
                </c:pt>
                <c:pt idx="6">
                  <c:v>1.2</c:v>
                </c:pt>
                <c:pt idx="7">
                  <c:v>1.4</c:v>
                </c:pt>
                <c:pt idx="8">
                  <c:v>1.5999999999999999</c:v>
                </c:pt>
                <c:pt idx="9">
                  <c:v>1.7999999999999998</c:v>
                </c:pt>
                <c:pt idx="10">
                  <c:v>1.9999999999999998</c:v>
                </c:pt>
                <c:pt idx="11">
                  <c:v>2.1999999999999997</c:v>
                </c:pt>
                <c:pt idx="12">
                  <c:v>2.4</c:v>
                </c:pt>
                <c:pt idx="13">
                  <c:v>2.6</c:v>
                </c:pt>
                <c:pt idx="14">
                  <c:v>2.8000000000000003</c:v>
                </c:pt>
                <c:pt idx="15">
                  <c:v>3.0000000000000004</c:v>
                </c:pt>
                <c:pt idx="16">
                  <c:v>3.2000000000000006</c:v>
                </c:pt>
                <c:pt idx="17">
                  <c:v>3.4000000000000008</c:v>
                </c:pt>
                <c:pt idx="18">
                  <c:v>3.600000000000001</c:v>
                </c:pt>
                <c:pt idx="19">
                  <c:v>3.8000000000000012</c:v>
                </c:pt>
                <c:pt idx="20">
                  <c:v>4.0000000000000009</c:v>
                </c:pt>
                <c:pt idx="21">
                  <c:v>4.2000000000000011</c:v>
                </c:pt>
                <c:pt idx="22">
                  <c:v>4.4000000000000012</c:v>
                </c:pt>
                <c:pt idx="23">
                  <c:v>4.6000000000000014</c:v>
                </c:pt>
                <c:pt idx="24">
                  <c:v>4.8000000000000016</c:v>
                </c:pt>
                <c:pt idx="25">
                  <c:v>5.0000000000000018</c:v>
                </c:pt>
                <c:pt idx="26">
                  <c:v>5.200000000000002</c:v>
                </c:pt>
                <c:pt idx="27">
                  <c:v>5.4000000000000021</c:v>
                </c:pt>
                <c:pt idx="28">
                  <c:v>5.6000000000000023</c:v>
                </c:pt>
                <c:pt idx="29">
                  <c:v>5.8000000000000025</c:v>
                </c:pt>
                <c:pt idx="30">
                  <c:v>6.0000000000000027</c:v>
                </c:pt>
                <c:pt idx="31">
                  <c:v>6.2000000000000028</c:v>
                </c:pt>
                <c:pt idx="32">
                  <c:v>6.400000000000003</c:v>
                </c:pt>
                <c:pt idx="33">
                  <c:v>6.6000000000000032</c:v>
                </c:pt>
                <c:pt idx="34">
                  <c:v>6.8000000000000034</c:v>
                </c:pt>
                <c:pt idx="35">
                  <c:v>7.0000000000000036</c:v>
                </c:pt>
                <c:pt idx="36">
                  <c:v>7.2000000000000037</c:v>
                </c:pt>
                <c:pt idx="37">
                  <c:v>7.4000000000000039</c:v>
                </c:pt>
                <c:pt idx="38">
                  <c:v>7.6000000000000041</c:v>
                </c:pt>
                <c:pt idx="39">
                  <c:v>7.8000000000000043</c:v>
                </c:pt>
                <c:pt idx="40">
                  <c:v>8.0000000000000036</c:v>
                </c:pt>
                <c:pt idx="41">
                  <c:v>8.2000000000000028</c:v>
                </c:pt>
                <c:pt idx="42">
                  <c:v>8.4000000000000021</c:v>
                </c:pt>
                <c:pt idx="43">
                  <c:v>8.6000000000000014</c:v>
                </c:pt>
                <c:pt idx="44">
                  <c:v>8.8000000000000007</c:v>
                </c:pt>
                <c:pt idx="45">
                  <c:v>9</c:v>
                </c:pt>
                <c:pt idx="46">
                  <c:v>9.1999999999999993</c:v>
                </c:pt>
                <c:pt idx="47">
                  <c:v>9.3999999999999986</c:v>
                </c:pt>
                <c:pt idx="48">
                  <c:v>9.5999999999999979</c:v>
                </c:pt>
                <c:pt idx="49">
                  <c:v>9.7999999999999972</c:v>
                </c:pt>
                <c:pt idx="50">
                  <c:v>9.9999999999999964</c:v>
                </c:pt>
                <c:pt idx="51">
                  <c:v>10.199999999999996</c:v>
                </c:pt>
                <c:pt idx="52">
                  <c:v>10.399999999999995</c:v>
                </c:pt>
                <c:pt idx="53">
                  <c:v>10.599999999999994</c:v>
                </c:pt>
                <c:pt idx="54">
                  <c:v>10.799999999999994</c:v>
                </c:pt>
                <c:pt idx="55">
                  <c:v>10.999999999999993</c:v>
                </c:pt>
                <c:pt idx="56">
                  <c:v>11.199999999999992</c:v>
                </c:pt>
                <c:pt idx="57">
                  <c:v>11.399999999999991</c:v>
                </c:pt>
                <c:pt idx="58">
                  <c:v>11.599999999999991</c:v>
                </c:pt>
                <c:pt idx="59">
                  <c:v>11.79999999999999</c:v>
                </c:pt>
                <c:pt idx="60">
                  <c:v>11.999999999999989</c:v>
                </c:pt>
                <c:pt idx="61">
                  <c:v>12.199999999999989</c:v>
                </c:pt>
                <c:pt idx="62">
                  <c:v>12.399999999999988</c:v>
                </c:pt>
                <c:pt idx="63">
                  <c:v>12.599999999999987</c:v>
                </c:pt>
                <c:pt idx="64">
                  <c:v>12.799999999999986</c:v>
                </c:pt>
                <c:pt idx="65">
                  <c:v>12.999999999999986</c:v>
                </c:pt>
                <c:pt idx="66">
                  <c:v>13.199999999999985</c:v>
                </c:pt>
                <c:pt idx="67">
                  <c:v>13.399999999999984</c:v>
                </c:pt>
                <c:pt idx="68">
                  <c:v>13.599999999999984</c:v>
                </c:pt>
                <c:pt idx="69">
                  <c:v>13.799999999999983</c:v>
                </c:pt>
                <c:pt idx="70">
                  <c:v>13.999999999999982</c:v>
                </c:pt>
              </c:numCache>
            </c:numRef>
          </c:xVal>
          <c:yVal>
            <c:numRef>
              <c:f>Distribution!$BI$12:$BI$135</c:f>
              <c:numCache>
                <c:formatCode>0.000</c:formatCode>
                <c:ptCount val="124"/>
                <c:pt idx="0">
                  <c:v>-9.0174745709177273E-3</c:v>
                </c:pt>
                <c:pt idx="1">
                  <c:v>-1.4216753422537032E-2</c:v>
                </c:pt>
                <c:pt idx="2">
                  <c:v>-2.2346226050638851E-2</c:v>
                </c:pt>
                <c:pt idx="3">
                  <c:v>-3.4959469536831822E-2</c:v>
                </c:pt>
                <c:pt idx="4">
                  <c:v>-5.4296821824071806E-2</c:v>
                </c:pt>
                <c:pt idx="5">
                  <c:v>-8.3405953079285222E-2</c:v>
                </c:pt>
                <c:pt idx="6">
                  <c:v>-0.12604099697247539</c:v>
                </c:pt>
                <c:pt idx="7">
                  <c:v>-0.18604654362611495</c:v>
                </c:pt>
                <c:pt idx="8">
                  <c:v>-0.26592746760216857</c:v>
                </c:pt>
                <c:pt idx="9">
                  <c:v>-0.36473801183442767</c:v>
                </c:pt>
                <c:pt idx="10">
                  <c:v>-0.47643643671807157</c:v>
                </c:pt>
                <c:pt idx="11">
                  <c:v>-0.59054688058968141</c:v>
                </c:pt>
                <c:pt idx="12">
                  <c:v>-0.69568083665336422</c:v>
                </c:pt>
                <c:pt idx="13">
                  <c:v>-0.78372117468583991</c:v>
                </c:pt>
                <c:pt idx="14">
                  <c:v>-0.85174487942621413</c:v>
                </c:pt>
                <c:pt idx="15">
                  <c:v>-0.90111659842691649</c:v>
                </c:pt>
                <c:pt idx="16">
                  <c:v>-0.93536563244620785</c:v>
                </c:pt>
                <c:pt idx="17">
                  <c:v>-0.95841555546611135</c:v>
                </c:pt>
                <c:pt idx="18">
                  <c:v>-0.97366360797995144</c:v>
                </c:pt>
                <c:pt idx="19">
                  <c:v>-0.98371563637834925</c:v>
                </c:pt>
                <c:pt idx="20">
                  <c:v>-0.99045250023564391</c:v>
                </c:pt>
                <c:pt idx="21">
                  <c:v>-0.9952085372278745</c:v>
                </c:pt>
                <c:pt idx="22">
                  <c:v>-0.99896000673342078</c:v>
                </c:pt>
                <c:pt idx="23">
                  <c:v>-1.0024925028705809</c:v>
                </c:pt>
                <c:pt idx="24">
                  <c:v>-1.0065492465919026</c:v>
                </c:pt>
                <c:pt idx="25">
                  <c:v>-1.0119744202250034</c:v>
                </c:pt>
                <c:pt idx="26">
                  <c:v>-1.0198678955211371</c:v>
                </c:pt>
                <c:pt idx="27">
                  <c:v>-1.0317621687866017</c:v>
                </c:pt>
                <c:pt idx="28">
                  <c:v>-1.0498134496290155</c:v>
                </c:pt>
                <c:pt idx="29">
                  <c:v>-1.0769527137411472</c:v>
                </c:pt>
                <c:pt idx="30">
                  <c:v>-1.1168518269026828</c:v>
                </c:pt>
                <c:pt idx="31">
                  <c:v>-1.1734334618480828</c:v>
                </c:pt>
                <c:pt idx="32">
                  <c:v>-1.2496058102042058</c:v>
                </c:pt>
                <c:pt idx="33">
                  <c:v>-1.3452282650737608</c:v>
                </c:pt>
                <c:pt idx="34">
                  <c:v>-1.4552451163337907</c:v>
                </c:pt>
                <c:pt idx="35">
                  <c:v>-1.5698075442138806</c:v>
                </c:pt>
                <c:pt idx="36">
                  <c:v>-1.6773553992259786</c:v>
                </c:pt>
                <c:pt idx="37">
                  <c:v>-1.7689291110694032</c:v>
                </c:pt>
                <c:pt idx="38">
                  <c:v>-1.8406448358779557</c:v>
                </c:pt>
                <c:pt idx="39">
                  <c:v>-1.893224628827064</c:v>
                </c:pt>
                <c:pt idx="40">
                  <c:v>-1.9299528198471285</c:v>
                </c:pt>
                <c:pt idx="41">
                  <c:v>-1.9547712760045173</c:v>
                </c:pt>
                <c:pt idx="42">
                  <c:v>-1.9712043756441759</c:v>
                </c:pt>
                <c:pt idx="43">
                  <c:v>-1.9819974508804159</c:v>
                </c:pt>
                <c:pt idx="44">
                  <c:v>-1.9891408378203799</c:v>
                </c:pt>
                <c:pt idx="45">
                  <c:v>-1.9940356409949831</c:v>
                </c:pt>
                <c:pt idx="46">
                  <c:v>-1.9976801262097765</c:v>
                </c:pt>
                <c:pt idx="47">
                  <c:v>-2.0008353409396777</c:v>
                </c:pt>
                <c:pt idx="48">
                  <c:v>-2.0041669230481238</c:v>
                </c:pt>
                <c:pt idx="49">
                  <c:v>-2.0083750700630945</c:v>
                </c:pt>
                <c:pt idx="50">
                  <c:v>-2.0143289428778077</c:v>
                </c:pt>
                <c:pt idx="51">
                  <c:v>-2.0232203380908649</c:v>
                </c:pt>
                <c:pt idx="52">
                  <c:v>-2.0367425048063548</c:v>
                </c:pt>
                <c:pt idx="53">
                  <c:v>-2.0572745358198081</c:v>
                </c:pt>
                <c:pt idx="54">
                  <c:v>-2.0879933783944029</c:v>
                </c:pt>
                <c:pt idx="55">
                  <c:v>-2.1327298851988128</c:v>
                </c:pt>
                <c:pt idx="56">
                  <c:v>-2.1952635291505036</c:v>
                </c:pt>
                <c:pt idx="57">
                  <c:v>-2.2777811860435921</c:v>
                </c:pt>
                <c:pt idx="58">
                  <c:v>-2.3787379994561682</c:v>
                </c:pt>
                <c:pt idx="59">
                  <c:v>-2.4914112240309532</c:v>
                </c:pt>
                <c:pt idx="60">
                  <c:v>-2.6049598819180781</c:v>
                </c:pt>
                <c:pt idx="61">
                  <c:v>-2.708208777549165</c:v>
                </c:pt>
                <c:pt idx="62">
                  <c:v>-2.7936751036022529</c:v>
                </c:pt>
                <c:pt idx="63">
                  <c:v>-2.8590887290809723</c:v>
                </c:pt>
                <c:pt idx="64">
                  <c:v>-2.9062140439862274</c:v>
                </c:pt>
                <c:pt idx="65">
                  <c:v>-2.9387035840721487</c:v>
                </c:pt>
                <c:pt idx="66">
                  <c:v>-2.9604294734116028</c:v>
                </c:pt>
                <c:pt idx="67">
                  <c:v>-2.9746626883284399</c:v>
                </c:pt>
                <c:pt idx="68">
                  <c:v>-2.9838623447420352</c:v>
                </c:pt>
                <c:pt idx="69">
                  <c:v>-2.9897568262732803</c:v>
                </c:pt>
                <c:pt idx="70">
                  <c:v>-2.9935124709282128</c:v>
                </c:pt>
              </c:numCache>
            </c:numRef>
          </c:yVal>
          <c:smooth val="1"/>
          <c:extLst>
            <c:ext xmlns:c16="http://schemas.microsoft.com/office/drawing/2014/chart" uri="{C3380CC4-5D6E-409C-BE32-E72D297353CC}">
              <c16:uniqueId val="{00000000-E148-4C8D-B115-BFAEC007409E}"/>
            </c:ext>
          </c:extLst>
        </c:ser>
        <c:dLbls>
          <c:showLegendKey val="0"/>
          <c:showVal val="0"/>
          <c:showCatName val="0"/>
          <c:showSerName val="0"/>
          <c:showPercent val="0"/>
          <c:showBubbleSize val="0"/>
        </c:dLbls>
        <c:axId val="157958912"/>
        <c:axId val="157960832"/>
      </c:scatterChart>
      <c:valAx>
        <c:axId val="157958912"/>
        <c:scaling>
          <c:orientation val="minMax"/>
          <c:max val="14"/>
          <c:min val="0"/>
        </c:scaling>
        <c:delete val="0"/>
        <c:axPos val="b"/>
        <c:majorGridlines/>
        <c:title>
          <c:tx>
            <c:rich>
              <a:bodyPr/>
              <a:lstStyle/>
              <a:p>
                <a:pPr>
                  <a:defRPr sz="1200" b="1" i="0" u="none" strike="noStrike" baseline="0">
                    <a:solidFill>
                      <a:srgbClr val="000000"/>
                    </a:solidFill>
                    <a:latin typeface="Arial"/>
                    <a:ea typeface="Arial"/>
                    <a:cs typeface="Arial"/>
                  </a:defRPr>
                </a:pPr>
                <a:r>
                  <a:rPr lang="pt-BR"/>
                  <a:t>pH</a:t>
                </a:r>
              </a:p>
            </c:rich>
          </c:tx>
          <c:layout>
            <c:manualLayout>
              <c:xMode val="edge"/>
              <c:yMode val="edge"/>
              <c:x val="0.50506551386959064"/>
              <c:y val="0.93235636498981989"/>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57960832"/>
        <c:crossesAt val="-6"/>
        <c:crossBetween val="midCat"/>
        <c:majorUnit val="1"/>
        <c:minorUnit val="1"/>
      </c:valAx>
      <c:valAx>
        <c:axId val="157960832"/>
        <c:scaling>
          <c:orientation val="minMax"/>
        </c:scaling>
        <c:delete val="0"/>
        <c:axPos val="l"/>
        <c:majorGridlines>
          <c:spPr>
            <a:ln w="3175">
              <a:solidFill>
                <a:srgbClr val="000000"/>
              </a:solidFill>
              <a:prstDash val="solid"/>
            </a:ln>
          </c:spPr>
        </c:majorGridlines>
        <c:title>
          <c:tx>
            <c:rich>
              <a:bodyPr/>
              <a:lstStyle/>
              <a:p>
                <a:pPr>
                  <a:defRPr sz="1075" b="1" i="0" u="none" strike="noStrike" baseline="0">
                    <a:solidFill>
                      <a:srgbClr val="000000"/>
                    </a:solidFill>
                    <a:latin typeface="Arial"/>
                    <a:ea typeface="Arial"/>
                    <a:cs typeface="Arial"/>
                  </a:defRPr>
                </a:pPr>
                <a:r>
                  <a:rPr lang="en-US"/>
                  <a:t>charge</a:t>
                </a:r>
              </a:p>
            </c:rich>
          </c:tx>
          <c:layout>
            <c:manualLayout>
              <c:xMode val="edge"/>
              <c:yMode val="edge"/>
              <c:x val="7.2358602233545807E-3"/>
              <c:y val="0.37652863074268261"/>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57958912"/>
        <c:crosses val="autoZero"/>
        <c:crossBetween val="midCat"/>
      </c:valAx>
      <c:spPr>
        <a:noFill/>
        <a:ln w="12700">
          <a:solidFill>
            <a:schemeClr val="tx1"/>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0.98425196899999956" l="0.78740157499999996" r="0.78740157499999996" t="0.98425196899999956" header="0.49212598500001142" footer="0.49212598500001142"/>
    <c:pageSetup paperSize="9" orientation="landscape"/>
  </c:printSettings>
  <c:userShapes r:id="rId1"/>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pt-BR" sz="1200" b="1" i="0" baseline="0"/>
              <a:t>Mean charge of species HiB along a titration</a:t>
            </a:r>
          </a:p>
        </c:rich>
      </c:tx>
      <c:layout>
        <c:manualLayout>
          <c:xMode val="edge"/>
          <c:yMode val="edge"/>
          <c:x val="8.0323607043028239E-2"/>
          <c:y val="8.8793386808992195E-3"/>
        </c:manualLayout>
      </c:layout>
      <c:overlay val="0"/>
      <c:spPr>
        <a:noFill/>
        <a:ln w="25400">
          <a:noFill/>
        </a:ln>
      </c:spPr>
    </c:title>
    <c:autoTitleDeleted val="0"/>
    <c:plotArea>
      <c:layout>
        <c:manualLayout>
          <c:layoutTarget val="inner"/>
          <c:xMode val="edge"/>
          <c:yMode val="edge"/>
          <c:x val="8.171212556670375E-2"/>
          <c:y val="7.6438476983894083E-2"/>
          <c:w val="0.84777844959954296"/>
          <c:h val="0.77750704068975485"/>
        </c:manualLayout>
      </c:layout>
      <c:scatterChart>
        <c:scatterStyle val="smoothMarker"/>
        <c:varyColors val="0"/>
        <c:ser>
          <c:idx val="2"/>
          <c:order val="1"/>
          <c:tx>
            <c:v>"mean charge"</c:v>
          </c:tx>
          <c:xVal>
            <c:numRef>
              <c:f>Distribution!$Y$12:$Y$135</c:f>
              <c:numCache>
                <c:formatCode>0.000</c:formatCode>
                <c:ptCount val="124"/>
                <c:pt idx="0">
                  <c:v>0</c:v>
                </c:pt>
                <c:pt idx="1">
                  <c:v>2.3004448812571354</c:v>
                </c:pt>
                <c:pt idx="2">
                  <c:v>4.3254298929241486</c:v>
                </c:pt>
                <c:pt idx="3">
                  <c:v>5.9982889695675112</c:v>
                </c:pt>
                <c:pt idx="4">
                  <c:v>7.2857926934375428</c:v>
                </c:pt>
                <c:pt idx="5">
                  <c:v>8.2150732792797498</c:v>
                </c:pt>
                <c:pt idx="6">
                  <c:v>8.852646873856429</c:v>
                </c:pt>
                <c:pt idx="7">
                  <c:v>9.2745251997257583</c:v>
                </c:pt>
                <c:pt idx="8">
                  <c:v>9.5472193221212365</c:v>
                </c:pt>
                <c:pt idx="9">
                  <c:v>9.7213898246991448</c:v>
                </c:pt>
                <c:pt idx="10">
                  <c:v>9.8327682426315732</c:v>
                </c:pt>
                <c:pt idx="11">
                  <c:v>9.9056407503667288</c:v>
                </c:pt>
                <c:pt idx="12">
                  <c:v>9.956512633652892</c:v>
                </c:pt>
                <c:pt idx="13">
                  <c:v>9.9971799951163121</c:v>
                </c:pt>
                <c:pt idx="14">
                  <c:v>10.037190483126324</c:v>
                </c:pt>
                <c:pt idx="15">
                  <c:v>10.085949620406609</c:v>
                </c:pt>
                <c:pt idx="16">
                  <c:v>10.154803957266267</c:v>
                </c:pt>
                <c:pt idx="17">
                  <c:v>10.259427917480934</c:v>
                </c:pt>
                <c:pt idx="18">
                  <c:v>10.422738817578647</c:v>
                </c:pt>
                <c:pt idx="19">
                  <c:v>10.678157336951699</c:v>
                </c:pt>
                <c:pt idx="20">
                  <c:v>11.071775054733735</c:v>
                </c:pt>
                <c:pt idx="21">
                  <c:v>11.659035268530715</c:v>
                </c:pt>
                <c:pt idx="22">
                  <c:v>12.487507292826194</c:v>
                </c:pt>
                <c:pt idx="23">
                  <c:v>13.560292513284367</c:v>
                </c:pt>
                <c:pt idx="24">
                  <c:v>14.799194350780454</c:v>
                </c:pt>
                <c:pt idx="25">
                  <c:v>16.054576211899985</c:v>
                </c:pt>
                <c:pt idx="26">
                  <c:v>17.173922529036645</c:v>
                </c:pt>
                <c:pt idx="27">
                  <c:v>18.068469061108772</c:v>
                </c:pt>
                <c:pt idx="28">
                  <c:v>18.725484058086295</c:v>
                </c:pt>
                <c:pt idx="29">
                  <c:v>19.179874857945833</c:v>
                </c:pt>
                <c:pt idx="30">
                  <c:v>19.48181740444852</c:v>
                </c:pt>
                <c:pt idx="31">
                  <c:v>19.677734184369911</c:v>
                </c:pt>
                <c:pt idx="32">
                  <c:v>19.803712518478278</c:v>
                </c:pt>
                <c:pt idx="33">
                  <c:v>19.885540132236201</c:v>
                </c:pt>
                <c:pt idx="34">
                  <c:v>19.941073826339561</c:v>
                </c:pt>
                <c:pt idx="35">
                  <c:v>19.982924718351569</c:v>
                </c:pt>
                <c:pt idx="36">
                  <c:v>20.020832466252614</c:v>
                </c:pt>
                <c:pt idx="37">
                  <c:v>20.063731157279108</c:v>
                </c:pt>
                <c:pt idx="38">
                  <c:v>20.121755062427837</c:v>
                </c:pt>
                <c:pt idx="39">
                  <c:v>20.208536063728388</c:v>
                </c:pt>
                <c:pt idx="40">
                  <c:v>20.344214436772745</c:v>
                </c:pt>
                <c:pt idx="41">
                  <c:v>20.55962798622204</c:v>
                </c:pt>
                <c:pt idx="42">
                  <c:v>20.902049214055296</c:v>
                </c:pt>
                <c:pt idx="43">
                  <c:v>21.442285725788679</c:v>
                </c:pt>
                <c:pt idx="44">
                  <c:v>22.281442677194718</c:v>
                </c:pt>
                <c:pt idx="45">
                  <c:v>23.553723619261291</c:v>
                </c:pt>
                <c:pt idx="46">
                  <c:v>25.425947584153619</c:v>
                </c:pt>
                <c:pt idx="47">
                  <c:v>28.122492051625159</c:v>
                </c:pt>
                <c:pt idx="48">
                  <c:v>32.065280988172162</c:v>
                </c:pt>
                <c:pt idx="49">
                  <c:v>38.31748273660196</c:v>
                </c:pt>
                <c:pt idx="50">
                  <c:v>49.999999998544808</c:v>
                </c:pt>
              </c:numCache>
            </c:numRef>
          </c:xVal>
          <c:yVal>
            <c:numRef>
              <c:f>Distribution!$BK$12:$BK$135</c:f>
              <c:numCache>
                <c:formatCode>0.000</c:formatCode>
                <c:ptCount val="124"/>
                <c:pt idx="0">
                  <c:v>-0.37391301133244292</c:v>
                </c:pt>
                <c:pt idx="1">
                  <c:v>-0.4948683592017149</c:v>
                </c:pt>
                <c:pt idx="2">
                  <c:v>-0.61597030662931118</c:v>
                </c:pt>
                <c:pt idx="3">
                  <c:v>-0.7237927135016089</c:v>
                </c:pt>
                <c:pt idx="4">
                  <c:v>-0.81036857530334805</c:v>
                </c:pt>
                <c:pt idx="5">
                  <c:v>-0.87438027888772574</c:v>
                </c:pt>
                <c:pt idx="6">
                  <c:v>-0.91892303753894522</c:v>
                </c:pt>
                <c:pt idx="7">
                  <c:v>-0.94866172924590186</c:v>
                </c:pt>
                <c:pt idx="8">
                  <c:v>-0.96802033414066058</c:v>
                </c:pt>
                <c:pt idx="9">
                  <c:v>-0.9804918729375145</c:v>
                </c:pt>
                <c:pt idx="10">
                  <c:v>-0.98859674896261129</c:v>
                </c:pt>
                <c:pt idx="11">
                  <c:v>-0.9940895876525575</c:v>
                </c:pt>
                <c:pt idx="12">
                  <c:v>-0.99821106540758953</c:v>
                </c:pt>
                <c:pt idx="13">
                  <c:v>-1.0019152570549938</c:v>
                </c:pt>
                <c:pt idx="14">
                  <c:v>-1.0060669896537604</c:v>
                </c:pt>
                <c:pt idx="15">
                  <c:v>-1.0116278824331622</c:v>
                </c:pt>
                <c:pt idx="16">
                  <c:v>-1.0198556707552331</c:v>
                </c:pt>
                <c:pt idx="17">
                  <c:v>-1.0325358119764143</c:v>
                </c:pt>
                <c:pt idx="18">
                  <c:v>-1.0522398334053855</c:v>
                </c:pt>
                <c:pt idx="19">
                  <c:v>-1.0825377647971928</c:v>
                </c:pt>
                <c:pt idx="20">
                  <c:v>-1.1279464794620833</c:v>
                </c:pt>
                <c:pt idx="21">
                  <c:v>-1.1931747962015158</c:v>
                </c:pt>
                <c:pt idx="22">
                  <c:v>-1.2811476799550343</c:v>
                </c:pt>
                <c:pt idx="23">
                  <c:v>-1.3899891261314063</c:v>
                </c:pt>
                <c:pt idx="24">
                  <c:v>-1.5109844356361444</c:v>
                </c:pt>
                <c:pt idx="25">
                  <c:v>-1.6304937964537254</c:v>
                </c:pt>
                <c:pt idx="26">
                  <c:v>-1.7356388366590303</c:v>
                </c:pt>
                <c:pt idx="27">
                  <c:v>-1.8192508467174384</c:v>
                </c:pt>
                <c:pt idx="28">
                  <c:v>-1.8806198109823795</c:v>
                </c:pt>
                <c:pt idx="29">
                  <c:v>-1.9230999228448273</c:v>
                </c:pt>
                <c:pt idx="30">
                  <c:v>-1.951356347296537</c:v>
                </c:pt>
                <c:pt idx="31">
                  <c:v>-1.9696975983293872</c:v>
                </c:pt>
                <c:pt idx="32">
                  <c:v>-1.9814793357882594</c:v>
                </c:pt>
                <c:pt idx="33">
                  <c:v>-1.989101377187642</c:v>
                </c:pt>
                <c:pt idx="34">
                  <c:v>-1.9942209148412748</c:v>
                </c:pt>
                <c:pt idx="35">
                  <c:v>-1.9979968064529769</c:v>
                </c:pt>
                <c:pt idx="36">
                  <c:v>-2.0013042802921563</c:v>
                </c:pt>
                <c:pt idx="37">
                  <c:v>-2.0049171119436524</c:v>
                </c:pt>
                <c:pt idx="38">
                  <c:v>-2.0096756535626916</c:v>
                </c:pt>
                <c:pt idx="39">
                  <c:v>-2.0166645631489963</c:v>
                </c:pt>
                <c:pt idx="40">
                  <c:v>-2.0274208418973383</c:v>
                </c:pt>
                <c:pt idx="41">
                  <c:v>-2.0441761398899687</c:v>
                </c:pt>
                <c:pt idx="42">
                  <c:v>-2.0700890915850128</c:v>
                </c:pt>
                <c:pt idx="43">
                  <c:v>-2.109312133277923</c:v>
                </c:pt>
                <c:pt idx="44">
                  <c:v>-2.1665456963090577</c:v>
                </c:pt>
                <c:pt idx="45">
                  <c:v>-2.2455753962286442</c:v>
                </c:pt>
                <c:pt idx="46">
                  <c:v>-2.3466166514578504</c:v>
                </c:pt>
                <c:pt idx="47">
                  <c:v>-2.4636797371974097</c:v>
                </c:pt>
                <c:pt idx="48">
                  <c:v>-2.5847378025608325</c:v>
                </c:pt>
                <c:pt idx="49">
                  <c:v>-2.6961275667281694</c:v>
                </c:pt>
                <c:pt idx="50">
                  <c:v>-2.788209406614512</c:v>
                </c:pt>
              </c:numCache>
            </c:numRef>
          </c:yVal>
          <c:smooth val="1"/>
          <c:extLst>
            <c:ext xmlns:c16="http://schemas.microsoft.com/office/drawing/2014/chart" uri="{C3380CC4-5D6E-409C-BE32-E72D297353CC}">
              <c16:uniqueId val="{00000001-E954-4273-A498-20EFEE7F55A0}"/>
            </c:ext>
          </c:extLst>
        </c:ser>
        <c:dLbls>
          <c:showLegendKey val="0"/>
          <c:showVal val="0"/>
          <c:showCatName val="0"/>
          <c:showSerName val="0"/>
          <c:showPercent val="0"/>
          <c:showBubbleSize val="0"/>
        </c:dLbls>
        <c:axId val="158004352"/>
        <c:axId val="158006656"/>
      </c:scatterChart>
      <c:scatterChart>
        <c:scatterStyle val="smoothMarker"/>
        <c:varyColors val="0"/>
        <c:ser>
          <c:idx val="1"/>
          <c:order val="0"/>
          <c:spPr>
            <a:ln w="12700">
              <a:solidFill>
                <a:srgbClr val="0000FF"/>
              </a:solidFill>
              <a:prstDash val="sysDash"/>
            </a:ln>
          </c:spPr>
          <c:marker>
            <c:symbol val="circle"/>
            <c:size val="4"/>
            <c:spPr>
              <a:noFill/>
              <a:ln>
                <a:solidFill>
                  <a:srgbClr val="0000FF"/>
                </a:solidFill>
                <a:prstDash val="solid"/>
              </a:ln>
            </c:spPr>
          </c:marker>
          <c:xVal>
            <c:numRef>
              <c:f>Distribution!$Y$12:$Y$158</c:f>
              <c:numCache>
                <c:formatCode>0.000</c:formatCode>
                <c:ptCount val="147"/>
                <c:pt idx="0">
                  <c:v>0</c:v>
                </c:pt>
                <c:pt idx="1">
                  <c:v>2.3004448812571354</c:v>
                </c:pt>
                <c:pt idx="2">
                  <c:v>4.3254298929241486</c:v>
                </c:pt>
                <c:pt idx="3">
                  <c:v>5.9982889695675112</c:v>
                </c:pt>
                <c:pt idx="4">
                  <c:v>7.2857926934375428</c:v>
                </c:pt>
                <c:pt idx="5">
                  <c:v>8.2150732792797498</c:v>
                </c:pt>
                <c:pt idx="6">
                  <c:v>8.852646873856429</c:v>
                </c:pt>
                <c:pt idx="7">
                  <c:v>9.2745251997257583</c:v>
                </c:pt>
                <c:pt idx="8">
                  <c:v>9.5472193221212365</c:v>
                </c:pt>
                <c:pt idx="9">
                  <c:v>9.7213898246991448</c:v>
                </c:pt>
                <c:pt idx="10">
                  <c:v>9.8327682426315732</c:v>
                </c:pt>
                <c:pt idx="11">
                  <c:v>9.9056407503667288</c:v>
                </c:pt>
                <c:pt idx="12">
                  <c:v>9.956512633652892</c:v>
                </c:pt>
                <c:pt idx="13">
                  <c:v>9.9971799951163121</c:v>
                </c:pt>
                <c:pt idx="14">
                  <c:v>10.037190483126324</c:v>
                </c:pt>
                <c:pt idx="15">
                  <c:v>10.085949620406609</c:v>
                </c:pt>
                <c:pt idx="16">
                  <c:v>10.154803957266267</c:v>
                </c:pt>
                <c:pt idx="17">
                  <c:v>10.259427917480934</c:v>
                </c:pt>
                <c:pt idx="18">
                  <c:v>10.422738817578647</c:v>
                </c:pt>
                <c:pt idx="19">
                  <c:v>10.678157336951699</c:v>
                </c:pt>
                <c:pt idx="20">
                  <c:v>11.071775054733735</c:v>
                </c:pt>
                <c:pt idx="21">
                  <c:v>11.659035268530715</c:v>
                </c:pt>
                <c:pt idx="22">
                  <c:v>12.487507292826194</c:v>
                </c:pt>
                <c:pt idx="23">
                  <c:v>13.560292513284367</c:v>
                </c:pt>
                <c:pt idx="24">
                  <c:v>14.799194350780454</c:v>
                </c:pt>
                <c:pt idx="25">
                  <c:v>16.054576211899985</c:v>
                </c:pt>
                <c:pt idx="26">
                  <c:v>17.173922529036645</c:v>
                </c:pt>
                <c:pt idx="27">
                  <c:v>18.068469061108772</c:v>
                </c:pt>
                <c:pt idx="28">
                  <c:v>18.725484058086295</c:v>
                </c:pt>
                <c:pt idx="29">
                  <c:v>19.179874857945833</c:v>
                </c:pt>
                <c:pt idx="30">
                  <c:v>19.48181740444852</c:v>
                </c:pt>
                <c:pt idx="31">
                  <c:v>19.677734184369911</c:v>
                </c:pt>
                <c:pt idx="32">
                  <c:v>19.803712518478278</c:v>
                </c:pt>
                <c:pt idx="33">
                  <c:v>19.885540132236201</c:v>
                </c:pt>
                <c:pt idx="34">
                  <c:v>19.941073826339561</c:v>
                </c:pt>
                <c:pt idx="35">
                  <c:v>19.982924718351569</c:v>
                </c:pt>
                <c:pt idx="36">
                  <c:v>20.020832466252614</c:v>
                </c:pt>
                <c:pt idx="37">
                  <c:v>20.063731157279108</c:v>
                </c:pt>
                <c:pt idx="38">
                  <c:v>20.121755062427837</c:v>
                </c:pt>
                <c:pt idx="39">
                  <c:v>20.208536063728388</c:v>
                </c:pt>
                <c:pt idx="40">
                  <c:v>20.344214436772745</c:v>
                </c:pt>
                <c:pt idx="41">
                  <c:v>20.55962798622204</c:v>
                </c:pt>
                <c:pt idx="42">
                  <c:v>20.902049214055296</c:v>
                </c:pt>
                <c:pt idx="43">
                  <c:v>21.442285725788679</c:v>
                </c:pt>
                <c:pt idx="44">
                  <c:v>22.281442677194718</c:v>
                </c:pt>
                <c:pt idx="45">
                  <c:v>23.553723619261291</c:v>
                </c:pt>
                <c:pt idx="46">
                  <c:v>25.425947584153619</c:v>
                </c:pt>
                <c:pt idx="47">
                  <c:v>28.122492051625159</c:v>
                </c:pt>
                <c:pt idx="48">
                  <c:v>32.065280988172162</c:v>
                </c:pt>
                <c:pt idx="49">
                  <c:v>38.31748273660196</c:v>
                </c:pt>
                <c:pt idx="50">
                  <c:v>49.999999998544808</c:v>
                </c:pt>
              </c:numCache>
            </c:numRef>
          </c:xVal>
          <c:yVal>
            <c:numRef>
              <c:f>Distribution!$Z$12:$Z$158</c:f>
              <c:numCache>
                <c:formatCode>0.000</c:formatCode>
                <c:ptCount val="147"/>
                <c:pt idx="0">
                  <c:v>1.8171072800722754</c:v>
                </c:pt>
                <c:pt idx="1">
                  <c:v>2.03204784726322</c:v>
                </c:pt>
                <c:pt idx="2">
                  <c:v>2.2461396194374883</c:v>
                </c:pt>
                <c:pt idx="3">
                  <c:v>2.4592837415154789</c:v>
                </c:pt>
                <c:pt idx="4">
                  <c:v>2.6715840969865385</c:v>
                </c:pt>
                <c:pt idx="5">
                  <c:v>2.8832299762264122</c:v>
                </c:pt>
                <c:pt idx="6">
                  <c:v>3.0944106420923969</c:v>
                </c:pt>
                <c:pt idx="7">
                  <c:v>3.3052786795679925</c:v>
                </c:pt>
                <c:pt idx="8">
                  <c:v>3.5159445293883027</c:v>
                </c:pt>
                <c:pt idx="9">
                  <c:v>3.7264837975794283</c:v>
                </c:pt>
                <c:pt idx="10">
                  <c:v>3.9369472311575628</c:v>
                </c:pt>
                <c:pt idx="11">
                  <c:v>4.1473695514894615</c:v>
                </c:pt>
                <c:pt idx="12">
                  <c:v>4.3577764259656462</c:v>
                </c:pt>
                <c:pt idx="13">
                  <c:v>4.568190022913047</c:v>
                </c:pt>
                <c:pt idx="14">
                  <c:v>4.7786339196049799</c:v>
                </c:pt>
                <c:pt idx="15">
                  <c:v>4.989138153184598</c:v>
                </c:pt>
                <c:pt idx="16">
                  <c:v>5.1997450596983432</c:v>
                </c:pt>
                <c:pt idx="17">
                  <c:v>5.4105160650546065</c:v>
                </c:pt>
                <c:pt idx="18">
                  <c:v>5.6215382068211683</c:v>
                </c:pt>
                <c:pt idx="19">
                  <c:v>5.8329258111339772</c:v>
                </c:pt>
                <c:pt idx="20">
                  <c:v>6.0448065155412518</c:v>
                </c:pt>
                <c:pt idx="21">
                  <c:v>6.2572748607294768</c:v>
                </c:pt>
                <c:pt idx="22">
                  <c:v>6.4703073210120445</c:v>
                </c:pt>
                <c:pt idx="23">
                  <c:v>6.6836852438660559</c:v>
                </c:pt>
                <c:pt idx="24">
                  <c:v>6.8970304591995308</c:v>
                </c:pt>
                <c:pt idx="25">
                  <c:v>7.1099804688999608</c:v>
                </c:pt>
                <c:pt idx="26">
                  <c:v>7.322349098093679</c:v>
                </c:pt>
                <c:pt idx="27">
                  <c:v>7.5341386806955644</c:v>
                </c:pt>
                <c:pt idx="28">
                  <c:v>7.7454546772478645</c:v>
                </c:pt>
                <c:pt idx="29">
                  <c:v>7.9564249462523851</c:v>
                </c:pt>
                <c:pt idx="30">
                  <c:v>8.1671594790759396</c:v>
                </c:pt>
                <c:pt idx="31">
                  <c:v>8.377740060160809</c:v>
                </c:pt>
                <c:pt idx="32">
                  <c:v>8.5882232426729104</c:v>
                </c:pt>
                <c:pt idx="33">
                  <c:v>8.7986468997393832</c:v>
                </c:pt>
                <c:pt idx="34">
                  <c:v>9.0090364657241615</c:v>
                </c:pt>
                <c:pt idx="35">
                  <c:v>9.2194099000282304</c:v>
                </c:pt>
                <c:pt idx="36">
                  <c:v>9.4297815209616029</c:v>
                </c:pt>
                <c:pt idx="37">
                  <c:v>9.6401651822701666</c:v>
                </c:pt>
                <c:pt idx="38">
                  <c:v>9.8505773086917063</c:v>
                </c:pt>
                <c:pt idx="39">
                  <c:v>10.061040246754805</c:v>
                </c:pt>
                <c:pt idx="40">
                  <c:v>10.271586190317612</c:v>
                </c:pt>
                <c:pt idx="41">
                  <c:v>10.482261360601155</c:v>
                </c:pt>
                <c:pt idx="42">
                  <c:v>10.693128606202979</c:v>
                </c:pt>
                <c:pt idx="43">
                  <c:v>10.904263374595613</c:v>
                </c:pt>
                <c:pt idx="44">
                  <c:v>11.115733453073027</c:v>
                </c:pt>
                <c:pt idx="45">
                  <c:v>11.327553158845967</c:v>
                </c:pt>
                <c:pt idx="46">
                  <c:v>11.539624057245398</c:v>
                </c:pt>
                <c:pt idx="47">
                  <c:v>11.751718173325493</c:v>
                </c:pt>
                <c:pt idx="48">
                  <c:v>11.963554366049292</c:v>
                </c:pt>
                <c:pt idx="49">
                  <c:v>12.174908797581793</c:v>
                </c:pt>
                <c:pt idx="50">
                  <c:v>12.385643935645515</c:v>
                </c:pt>
              </c:numCache>
            </c:numRef>
          </c:yVal>
          <c:smooth val="1"/>
          <c:extLst>
            <c:ext xmlns:c16="http://schemas.microsoft.com/office/drawing/2014/chart" uri="{C3380CC4-5D6E-409C-BE32-E72D297353CC}">
              <c16:uniqueId val="{00000000-E954-4273-A498-20EFEE7F55A0}"/>
            </c:ext>
          </c:extLst>
        </c:ser>
        <c:dLbls>
          <c:showLegendKey val="0"/>
          <c:showVal val="0"/>
          <c:showCatName val="0"/>
          <c:showSerName val="0"/>
          <c:showPercent val="0"/>
          <c:showBubbleSize val="0"/>
        </c:dLbls>
        <c:axId val="158018560"/>
        <c:axId val="158017024"/>
      </c:scatterChart>
      <c:valAx>
        <c:axId val="158004352"/>
        <c:scaling>
          <c:orientation val="minMax"/>
        </c:scaling>
        <c:delete val="0"/>
        <c:axPos val="b"/>
        <c:majorGridlines/>
        <c:title>
          <c:tx>
            <c:rich>
              <a:bodyPr/>
              <a:lstStyle/>
              <a:p>
                <a:pPr>
                  <a:defRPr sz="1200" b="1" i="0" u="none" strike="noStrike" baseline="0">
                    <a:solidFill>
                      <a:srgbClr val="000000"/>
                    </a:solidFill>
                    <a:latin typeface="Arial"/>
                    <a:ea typeface="Arial"/>
                    <a:cs typeface="Arial"/>
                  </a:defRPr>
                </a:pPr>
                <a:r>
                  <a:rPr lang="pt-BR"/>
                  <a:t>Volume (mL)</a:t>
                </a:r>
              </a:p>
            </c:rich>
          </c:tx>
          <c:layout>
            <c:manualLayout>
              <c:xMode val="edge"/>
              <c:yMode val="edge"/>
              <c:x val="0.45492112314086391"/>
              <c:y val="0.93235652112828959"/>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58006656"/>
        <c:crossesAt val="-6"/>
        <c:crossBetween val="midCat"/>
      </c:valAx>
      <c:valAx>
        <c:axId val="158006656"/>
        <c:scaling>
          <c:orientation val="minMax"/>
        </c:scaling>
        <c:delete val="0"/>
        <c:axPos val="l"/>
        <c:majorGridlines>
          <c:spPr>
            <a:ln w="3175">
              <a:solidFill>
                <a:srgbClr val="000000"/>
              </a:solidFill>
              <a:prstDash val="solid"/>
            </a:ln>
          </c:spPr>
        </c:majorGridlines>
        <c:title>
          <c:tx>
            <c:rich>
              <a:bodyPr/>
              <a:lstStyle/>
              <a:p>
                <a:pPr>
                  <a:defRPr sz="1050" b="1" i="0" u="none" strike="noStrike" baseline="0">
                    <a:solidFill>
                      <a:srgbClr val="000000"/>
                    </a:solidFill>
                    <a:latin typeface="Arial"/>
                    <a:ea typeface="Arial"/>
                    <a:cs typeface="Arial"/>
                  </a:defRPr>
                </a:pPr>
                <a:r>
                  <a:rPr lang="pt-BR"/>
                  <a:t>charge</a:t>
                </a:r>
              </a:p>
            </c:rich>
          </c:tx>
          <c:layout>
            <c:manualLayout>
              <c:xMode val="edge"/>
              <c:yMode val="edge"/>
              <c:x val="1.0564031058617959E-2"/>
              <c:y val="0.38141860004726658"/>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58004352"/>
        <c:crosses val="autoZero"/>
        <c:crossBetween val="midCat"/>
      </c:valAx>
      <c:valAx>
        <c:axId val="158017024"/>
        <c:scaling>
          <c:orientation val="minMax"/>
        </c:scaling>
        <c:delete val="0"/>
        <c:axPos val="r"/>
        <c:numFmt formatCode="0" sourceLinked="0"/>
        <c:majorTickMark val="out"/>
        <c:minorTickMark val="none"/>
        <c:tickLblPos val="nextTo"/>
        <c:crossAx val="158018560"/>
        <c:crosses val="max"/>
        <c:crossBetween val="midCat"/>
      </c:valAx>
      <c:valAx>
        <c:axId val="158018560"/>
        <c:scaling>
          <c:orientation val="minMax"/>
        </c:scaling>
        <c:delete val="1"/>
        <c:axPos val="b"/>
        <c:numFmt formatCode="0.000" sourceLinked="1"/>
        <c:majorTickMark val="out"/>
        <c:minorTickMark val="none"/>
        <c:tickLblPos val="nextTo"/>
        <c:crossAx val="158017024"/>
        <c:crosses val="autoZero"/>
        <c:crossBetween val="midCat"/>
      </c:valAx>
      <c:spPr>
        <a:noFill/>
        <a:ln w="12700">
          <a:solidFill>
            <a:schemeClr val="tx1"/>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0.98425196899999956" l="0.78740157499999996" r="0.78740157499999996" t="0.98425196899999956" header="0.49212598500001142" footer="0.49212598500001142"/>
    <c:pageSetup/>
  </c:printSettings>
  <c:userShapes r:id="rId1"/>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2284643026247717E-2"/>
          <c:y val="7.5000091552848702E-2"/>
          <c:w val="0.88008225573789656"/>
          <c:h val="0.81041424425376918"/>
        </c:manualLayout>
      </c:layout>
      <c:scatterChart>
        <c:scatterStyle val="smoothMarker"/>
        <c:varyColors val="0"/>
        <c:ser>
          <c:idx val="1"/>
          <c:order val="0"/>
          <c:tx>
            <c:v>1st derivatives</c:v>
          </c:tx>
          <c:spPr>
            <a:ln w="25400">
              <a:solidFill>
                <a:srgbClr val="FF0000"/>
              </a:solidFill>
              <a:prstDash val="solid"/>
            </a:ln>
          </c:spPr>
          <c:marker>
            <c:symbol val="none"/>
          </c:marker>
          <c:xVal>
            <c:numRef>
              <c:f>Evaluation!$T$6:$T$306</c:f>
              <c:numCache>
                <c:formatCode>0.0000</c:formatCode>
                <c:ptCount val="301"/>
                <c:pt idx="0">
                  <c:v>0</c:v>
                </c:pt>
                <c:pt idx="1">
                  <c:v>0.16666666666181604</c:v>
                </c:pt>
                <c:pt idx="2">
                  <c:v>0.33333333332363208</c:v>
                </c:pt>
                <c:pt idx="3">
                  <c:v>0.49999999998544808</c:v>
                </c:pt>
                <c:pt idx="4">
                  <c:v>0.66666666664726415</c:v>
                </c:pt>
                <c:pt idx="5">
                  <c:v>0.83333333330908022</c:v>
                </c:pt>
                <c:pt idx="6">
                  <c:v>0.99999999997089617</c:v>
                </c:pt>
                <c:pt idx="7">
                  <c:v>1.1666666666327123</c:v>
                </c:pt>
                <c:pt idx="8">
                  <c:v>1.3333333332945283</c:v>
                </c:pt>
                <c:pt idx="9">
                  <c:v>1.4999999999563443</c:v>
                </c:pt>
                <c:pt idx="10">
                  <c:v>1.6666666666181604</c:v>
                </c:pt>
                <c:pt idx="11">
                  <c:v>1.8333333332799764</c:v>
                </c:pt>
                <c:pt idx="12">
                  <c:v>1.9999999999417923</c:v>
                </c:pt>
                <c:pt idx="13">
                  <c:v>2.1666666666036085</c:v>
                </c:pt>
                <c:pt idx="14">
                  <c:v>2.3333333332654247</c:v>
                </c:pt>
                <c:pt idx="15">
                  <c:v>2.4999999999272404</c:v>
                </c:pt>
                <c:pt idx="16">
                  <c:v>2.6666666665890566</c:v>
                </c:pt>
                <c:pt idx="17">
                  <c:v>2.8333333332508728</c:v>
                </c:pt>
                <c:pt idx="18">
                  <c:v>2.9999999999126885</c:v>
                </c:pt>
                <c:pt idx="19">
                  <c:v>3.1666666665745047</c:v>
                </c:pt>
                <c:pt idx="20">
                  <c:v>3.3333333332363209</c:v>
                </c:pt>
                <c:pt idx="21">
                  <c:v>3.4999999998981366</c:v>
                </c:pt>
                <c:pt idx="22">
                  <c:v>3.6666666665599528</c:v>
                </c:pt>
                <c:pt idx="23">
                  <c:v>3.8333333332217689</c:v>
                </c:pt>
                <c:pt idx="24">
                  <c:v>3.9999999998835847</c:v>
                </c:pt>
                <c:pt idx="25">
                  <c:v>4.1666666665454013</c:v>
                </c:pt>
                <c:pt idx="26">
                  <c:v>4.333333333207217</c:v>
                </c:pt>
                <c:pt idx="27">
                  <c:v>4.4999999998690328</c:v>
                </c:pt>
                <c:pt idx="28">
                  <c:v>4.6666666665308494</c:v>
                </c:pt>
                <c:pt idx="29">
                  <c:v>4.8333333331926651</c:v>
                </c:pt>
                <c:pt idx="30">
                  <c:v>4.9999999998544808</c:v>
                </c:pt>
                <c:pt idx="31">
                  <c:v>5.1666666665162975</c:v>
                </c:pt>
                <c:pt idx="32">
                  <c:v>5.3333333331781132</c:v>
                </c:pt>
                <c:pt idx="33">
                  <c:v>5.4999999998399289</c:v>
                </c:pt>
                <c:pt idx="34">
                  <c:v>5.6666666665017456</c:v>
                </c:pt>
                <c:pt idx="35">
                  <c:v>5.8333333331635613</c:v>
                </c:pt>
                <c:pt idx="36">
                  <c:v>5.999999999825377</c:v>
                </c:pt>
                <c:pt idx="37">
                  <c:v>6.1666666664871936</c:v>
                </c:pt>
                <c:pt idx="38">
                  <c:v>6.3333333331490094</c:v>
                </c:pt>
                <c:pt idx="39">
                  <c:v>6.4999999998108251</c:v>
                </c:pt>
                <c:pt idx="40">
                  <c:v>6.6666666664726417</c:v>
                </c:pt>
                <c:pt idx="41">
                  <c:v>6.8333333331344575</c:v>
                </c:pt>
                <c:pt idx="42">
                  <c:v>6.9999999997962732</c:v>
                </c:pt>
                <c:pt idx="43">
                  <c:v>7.1666666664580898</c:v>
                </c:pt>
                <c:pt idx="44">
                  <c:v>7.3333333331199055</c:v>
                </c:pt>
                <c:pt idx="45">
                  <c:v>7.4999999997817213</c:v>
                </c:pt>
                <c:pt idx="46">
                  <c:v>7.6666666664435379</c:v>
                </c:pt>
                <c:pt idx="47">
                  <c:v>7.8333333331053536</c:v>
                </c:pt>
                <c:pt idx="48">
                  <c:v>7.9999999997671694</c:v>
                </c:pt>
                <c:pt idx="49">
                  <c:v>8.166666666428986</c:v>
                </c:pt>
                <c:pt idx="50">
                  <c:v>8.3333333330908026</c:v>
                </c:pt>
                <c:pt idx="51">
                  <c:v>8.4999999997526174</c:v>
                </c:pt>
                <c:pt idx="52">
                  <c:v>8.6666666664144341</c:v>
                </c:pt>
                <c:pt idx="53">
                  <c:v>8.8333333330762507</c:v>
                </c:pt>
                <c:pt idx="54">
                  <c:v>8.9999999997380655</c:v>
                </c:pt>
                <c:pt idx="55">
                  <c:v>9.1666666663998821</c:v>
                </c:pt>
                <c:pt idx="56">
                  <c:v>9.3333333330616988</c:v>
                </c:pt>
                <c:pt idx="57">
                  <c:v>9.4999999997235136</c:v>
                </c:pt>
                <c:pt idx="58">
                  <c:v>9.6666666663853302</c:v>
                </c:pt>
                <c:pt idx="59">
                  <c:v>9.8333333330471469</c:v>
                </c:pt>
                <c:pt idx="60">
                  <c:v>9.9999999997089617</c:v>
                </c:pt>
                <c:pt idx="61">
                  <c:v>10.166666666370778</c:v>
                </c:pt>
                <c:pt idx="62">
                  <c:v>10.333333333032595</c:v>
                </c:pt>
                <c:pt idx="63">
                  <c:v>10.49999999969441</c:v>
                </c:pt>
                <c:pt idx="64">
                  <c:v>10.666666666356226</c:v>
                </c:pt>
                <c:pt idx="65">
                  <c:v>10.833333333018043</c:v>
                </c:pt>
                <c:pt idx="66">
                  <c:v>10.999999999679858</c:v>
                </c:pt>
                <c:pt idx="67">
                  <c:v>11.166666666341674</c:v>
                </c:pt>
                <c:pt idx="68">
                  <c:v>11.333333333003491</c:v>
                </c:pt>
                <c:pt idx="69">
                  <c:v>11.499999999665306</c:v>
                </c:pt>
                <c:pt idx="70">
                  <c:v>11.666666666327123</c:v>
                </c:pt>
                <c:pt idx="71">
                  <c:v>11.833333332988939</c:v>
                </c:pt>
                <c:pt idx="72">
                  <c:v>11.999999999650754</c:v>
                </c:pt>
                <c:pt idx="73">
                  <c:v>12.166666666312571</c:v>
                </c:pt>
                <c:pt idx="74">
                  <c:v>12.333333332974387</c:v>
                </c:pt>
                <c:pt idx="75">
                  <c:v>12.499999999636202</c:v>
                </c:pt>
                <c:pt idx="76">
                  <c:v>12.666666666298019</c:v>
                </c:pt>
                <c:pt idx="77">
                  <c:v>12.833333332959835</c:v>
                </c:pt>
                <c:pt idx="78">
                  <c:v>12.99999999962165</c:v>
                </c:pt>
                <c:pt idx="79">
                  <c:v>13.166666666283467</c:v>
                </c:pt>
                <c:pt idx="80">
                  <c:v>13.333333332945283</c:v>
                </c:pt>
                <c:pt idx="81">
                  <c:v>13.499999999607098</c:v>
                </c:pt>
                <c:pt idx="82">
                  <c:v>13.666666666268915</c:v>
                </c:pt>
                <c:pt idx="83">
                  <c:v>13.833333332930732</c:v>
                </c:pt>
                <c:pt idx="84">
                  <c:v>13.999999999592546</c:v>
                </c:pt>
                <c:pt idx="85">
                  <c:v>14.166666666254363</c:v>
                </c:pt>
                <c:pt idx="86">
                  <c:v>14.33333333291618</c:v>
                </c:pt>
                <c:pt idx="87">
                  <c:v>14.499999999577994</c:v>
                </c:pt>
                <c:pt idx="88">
                  <c:v>14.666666666239811</c:v>
                </c:pt>
                <c:pt idx="89">
                  <c:v>14.833333332901628</c:v>
                </c:pt>
                <c:pt idx="90">
                  <c:v>14.999999999563443</c:v>
                </c:pt>
                <c:pt idx="91">
                  <c:v>15.166666666225259</c:v>
                </c:pt>
                <c:pt idx="92">
                  <c:v>15.333333332887076</c:v>
                </c:pt>
                <c:pt idx="93">
                  <c:v>15.499999999548891</c:v>
                </c:pt>
                <c:pt idx="94">
                  <c:v>15.666666666210707</c:v>
                </c:pt>
                <c:pt idx="95">
                  <c:v>15.833333332872524</c:v>
                </c:pt>
                <c:pt idx="96">
                  <c:v>15.999999999534339</c:v>
                </c:pt>
                <c:pt idx="97">
                  <c:v>16.166666666196157</c:v>
                </c:pt>
                <c:pt idx="98">
                  <c:v>16.333333332857972</c:v>
                </c:pt>
                <c:pt idx="99">
                  <c:v>16.499999999519787</c:v>
                </c:pt>
                <c:pt idx="100">
                  <c:v>16.666666666181605</c:v>
                </c:pt>
                <c:pt idx="101">
                  <c:v>16.83333333284342</c:v>
                </c:pt>
                <c:pt idx="102">
                  <c:v>16.999999999505235</c:v>
                </c:pt>
                <c:pt idx="103">
                  <c:v>17.166666666167053</c:v>
                </c:pt>
                <c:pt idx="104">
                  <c:v>17.333333332828868</c:v>
                </c:pt>
                <c:pt idx="105">
                  <c:v>17.499999999490683</c:v>
                </c:pt>
                <c:pt idx="106">
                  <c:v>17.666666666152501</c:v>
                </c:pt>
                <c:pt idx="107">
                  <c:v>17.833333332814316</c:v>
                </c:pt>
                <c:pt idx="108">
                  <c:v>17.999999999476131</c:v>
                </c:pt>
                <c:pt idx="109">
                  <c:v>18.166666666137949</c:v>
                </c:pt>
                <c:pt idx="110">
                  <c:v>18.333333332799764</c:v>
                </c:pt>
                <c:pt idx="111">
                  <c:v>18.499999999461579</c:v>
                </c:pt>
                <c:pt idx="112">
                  <c:v>18.666666666123398</c:v>
                </c:pt>
                <c:pt idx="113">
                  <c:v>18.833333332785212</c:v>
                </c:pt>
                <c:pt idx="114">
                  <c:v>18.999999999447027</c:v>
                </c:pt>
                <c:pt idx="115">
                  <c:v>19.166666666108846</c:v>
                </c:pt>
                <c:pt idx="116">
                  <c:v>19.33333333277066</c:v>
                </c:pt>
                <c:pt idx="117">
                  <c:v>19.499999999432475</c:v>
                </c:pt>
                <c:pt idx="118">
                  <c:v>19.666666666094294</c:v>
                </c:pt>
                <c:pt idx="119">
                  <c:v>19.833333332756109</c:v>
                </c:pt>
                <c:pt idx="120">
                  <c:v>19.999999999417923</c:v>
                </c:pt>
                <c:pt idx="121">
                  <c:v>20.166666666079742</c:v>
                </c:pt>
                <c:pt idx="122">
                  <c:v>20.333333332741557</c:v>
                </c:pt>
                <c:pt idx="123">
                  <c:v>20.499999999403371</c:v>
                </c:pt>
                <c:pt idx="124">
                  <c:v>20.66666666606519</c:v>
                </c:pt>
                <c:pt idx="125">
                  <c:v>20.833333332727005</c:v>
                </c:pt>
                <c:pt idx="126">
                  <c:v>20.99999999938882</c:v>
                </c:pt>
                <c:pt idx="127">
                  <c:v>21.166666666050638</c:v>
                </c:pt>
                <c:pt idx="128">
                  <c:v>21.333333332712453</c:v>
                </c:pt>
                <c:pt idx="129">
                  <c:v>21.499999999374268</c:v>
                </c:pt>
                <c:pt idx="130">
                  <c:v>21.666666666036086</c:v>
                </c:pt>
                <c:pt idx="131">
                  <c:v>21.833333332697901</c:v>
                </c:pt>
                <c:pt idx="132">
                  <c:v>21.999999999359716</c:v>
                </c:pt>
                <c:pt idx="133">
                  <c:v>22.166666666021534</c:v>
                </c:pt>
                <c:pt idx="134">
                  <c:v>22.333333332683349</c:v>
                </c:pt>
                <c:pt idx="135">
                  <c:v>22.499999999345164</c:v>
                </c:pt>
                <c:pt idx="136">
                  <c:v>22.666666666006982</c:v>
                </c:pt>
                <c:pt idx="137">
                  <c:v>22.833333332668797</c:v>
                </c:pt>
                <c:pt idx="138">
                  <c:v>22.999999999330612</c:v>
                </c:pt>
                <c:pt idx="139">
                  <c:v>23.16666666599243</c:v>
                </c:pt>
                <c:pt idx="140">
                  <c:v>23.333333332654245</c:v>
                </c:pt>
                <c:pt idx="141">
                  <c:v>23.49999999931606</c:v>
                </c:pt>
                <c:pt idx="142">
                  <c:v>23.666666665977878</c:v>
                </c:pt>
                <c:pt idx="143">
                  <c:v>23.833333332639693</c:v>
                </c:pt>
                <c:pt idx="144">
                  <c:v>23.999999999301508</c:v>
                </c:pt>
                <c:pt idx="145">
                  <c:v>24.166666665963326</c:v>
                </c:pt>
                <c:pt idx="146">
                  <c:v>24.333333332625141</c:v>
                </c:pt>
                <c:pt idx="147">
                  <c:v>24.499999999286956</c:v>
                </c:pt>
                <c:pt idx="148">
                  <c:v>24.666666665948775</c:v>
                </c:pt>
                <c:pt idx="149">
                  <c:v>24.833333332610589</c:v>
                </c:pt>
                <c:pt idx="150">
                  <c:v>24.999999999272404</c:v>
                </c:pt>
                <c:pt idx="151">
                  <c:v>25.166666665934223</c:v>
                </c:pt>
                <c:pt idx="152">
                  <c:v>25.333333332596037</c:v>
                </c:pt>
                <c:pt idx="153">
                  <c:v>25.499999999257852</c:v>
                </c:pt>
                <c:pt idx="154">
                  <c:v>25.666666665919671</c:v>
                </c:pt>
                <c:pt idx="155">
                  <c:v>25.833333332581486</c:v>
                </c:pt>
                <c:pt idx="156">
                  <c:v>25.9999999992433</c:v>
                </c:pt>
                <c:pt idx="157">
                  <c:v>26.166666665905119</c:v>
                </c:pt>
                <c:pt idx="158">
                  <c:v>26.333333332566934</c:v>
                </c:pt>
                <c:pt idx="159">
                  <c:v>26.499999999228748</c:v>
                </c:pt>
                <c:pt idx="160">
                  <c:v>26.666666665890567</c:v>
                </c:pt>
                <c:pt idx="161">
                  <c:v>26.833333332552382</c:v>
                </c:pt>
                <c:pt idx="162">
                  <c:v>26.999999999214197</c:v>
                </c:pt>
                <c:pt idx="163">
                  <c:v>27.166666665876015</c:v>
                </c:pt>
                <c:pt idx="164">
                  <c:v>27.33333333253783</c:v>
                </c:pt>
                <c:pt idx="165">
                  <c:v>27.499999999199645</c:v>
                </c:pt>
                <c:pt idx="166">
                  <c:v>27.666666665861463</c:v>
                </c:pt>
                <c:pt idx="167">
                  <c:v>27.833333332523278</c:v>
                </c:pt>
                <c:pt idx="168">
                  <c:v>27.999999999185093</c:v>
                </c:pt>
                <c:pt idx="169">
                  <c:v>28.166666665846911</c:v>
                </c:pt>
                <c:pt idx="170">
                  <c:v>28.333333332508726</c:v>
                </c:pt>
                <c:pt idx="171">
                  <c:v>28.499999999170541</c:v>
                </c:pt>
                <c:pt idx="172">
                  <c:v>28.666666665832359</c:v>
                </c:pt>
                <c:pt idx="173">
                  <c:v>28.833333332494174</c:v>
                </c:pt>
                <c:pt idx="174">
                  <c:v>28.999999999155989</c:v>
                </c:pt>
                <c:pt idx="175">
                  <c:v>29.166666665817807</c:v>
                </c:pt>
                <c:pt idx="176">
                  <c:v>29.333333332479622</c:v>
                </c:pt>
                <c:pt idx="177">
                  <c:v>29.499999999141437</c:v>
                </c:pt>
                <c:pt idx="178">
                  <c:v>29.666666665803255</c:v>
                </c:pt>
                <c:pt idx="179">
                  <c:v>29.83333333246507</c:v>
                </c:pt>
                <c:pt idx="180">
                  <c:v>29.999999999126885</c:v>
                </c:pt>
                <c:pt idx="181">
                  <c:v>30.166666665788703</c:v>
                </c:pt>
                <c:pt idx="182">
                  <c:v>30.333333332450518</c:v>
                </c:pt>
                <c:pt idx="183">
                  <c:v>30.499999999112333</c:v>
                </c:pt>
                <c:pt idx="184">
                  <c:v>30.666666665774152</c:v>
                </c:pt>
                <c:pt idx="185">
                  <c:v>30.833333332435966</c:v>
                </c:pt>
                <c:pt idx="186">
                  <c:v>30.999999999097781</c:v>
                </c:pt>
                <c:pt idx="187">
                  <c:v>31.1666666657596</c:v>
                </c:pt>
                <c:pt idx="188">
                  <c:v>31.333333332421414</c:v>
                </c:pt>
                <c:pt idx="189">
                  <c:v>31.499999999083229</c:v>
                </c:pt>
                <c:pt idx="190">
                  <c:v>31.666666665745048</c:v>
                </c:pt>
                <c:pt idx="191">
                  <c:v>31.833333332406863</c:v>
                </c:pt>
                <c:pt idx="192">
                  <c:v>31.999999999068677</c:v>
                </c:pt>
                <c:pt idx="193">
                  <c:v>32.166666665730496</c:v>
                </c:pt>
                <c:pt idx="194">
                  <c:v>32.333333332392314</c:v>
                </c:pt>
                <c:pt idx="195">
                  <c:v>32.499999999054126</c:v>
                </c:pt>
                <c:pt idx="196">
                  <c:v>32.666666665715944</c:v>
                </c:pt>
                <c:pt idx="197">
                  <c:v>32.833333332377762</c:v>
                </c:pt>
                <c:pt idx="198">
                  <c:v>32.999999999039574</c:v>
                </c:pt>
                <c:pt idx="199">
                  <c:v>33.166666665701392</c:v>
                </c:pt>
                <c:pt idx="200">
                  <c:v>33.33333333236321</c:v>
                </c:pt>
                <c:pt idx="201">
                  <c:v>33.499999999025022</c:v>
                </c:pt>
                <c:pt idx="202">
                  <c:v>33.66666666568684</c:v>
                </c:pt>
                <c:pt idx="203">
                  <c:v>33.833333332348658</c:v>
                </c:pt>
                <c:pt idx="204">
                  <c:v>33.99999999901047</c:v>
                </c:pt>
                <c:pt idx="205">
                  <c:v>34.166666665672288</c:v>
                </c:pt>
                <c:pt idx="206">
                  <c:v>34.333333332334107</c:v>
                </c:pt>
                <c:pt idx="207">
                  <c:v>34.499999998995918</c:v>
                </c:pt>
                <c:pt idx="208">
                  <c:v>34.666666665657736</c:v>
                </c:pt>
                <c:pt idx="209">
                  <c:v>34.833333332319555</c:v>
                </c:pt>
                <c:pt idx="210">
                  <c:v>34.999999998981366</c:v>
                </c:pt>
                <c:pt idx="211">
                  <c:v>35.166666665643184</c:v>
                </c:pt>
                <c:pt idx="212">
                  <c:v>35.333333332305003</c:v>
                </c:pt>
                <c:pt idx="213">
                  <c:v>35.499999998966814</c:v>
                </c:pt>
                <c:pt idx="214">
                  <c:v>35.666666665628632</c:v>
                </c:pt>
                <c:pt idx="215">
                  <c:v>35.833333332290451</c:v>
                </c:pt>
                <c:pt idx="216">
                  <c:v>35.999999998952262</c:v>
                </c:pt>
                <c:pt idx="217">
                  <c:v>36.166666665614081</c:v>
                </c:pt>
                <c:pt idx="218">
                  <c:v>36.333333332275899</c:v>
                </c:pt>
                <c:pt idx="219">
                  <c:v>36.49999999893771</c:v>
                </c:pt>
                <c:pt idx="220">
                  <c:v>36.666666665599529</c:v>
                </c:pt>
                <c:pt idx="221">
                  <c:v>36.833333332261347</c:v>
                </c:pt>
                <c:pt idx="222">
                  <c:v>36.999999998923158</c:v>
                </c:pt>
                <c:pt idx="223">
                  <c:v>37.166666665584977</c:v>
                </c:pt>
                <c:pt idx="224">
                  <c:v>37.333333332246795</c:v>
                </c:pt>
                <c:pt idx="225">
                  <c:v>37.499999998908606</c:v>
                </c:pt>
                <c:pt idx="226">
                  <c:v>37.666666665570425</c:v>
                </c:pt>
                <c:pt idx="227">
                  <c:v>37.833333332232243</c:v>
                </c:pt>
                <c:pt idx="228">
                  <c:v>37.999999998894054</c:v>
                </c:pt>
                <c:pt idx="229">
                  <c:v>38.166666665555873</c:v>
                </c:pt>
                <c:pt idx="230">
                  <c:v>38.333333332217691</c:v>
                </c:pt>
                <c:pt idx="231">
                  <c:v>38.499999998879503</c:v>
                </c:pt>
                <c:pt idx="232">
                  <c:v>38.666666665541321</c:v>
                </c:pt>
                <c:pt idx="233">
                  <c:v>38.833333332203139</c:v>
                </c:pt>
                <c:pt idx="234">
                  <c:v>38.999999998864951</c:v>
                </c:pt>
                <c:pt idx="235">
                  <c:v>39.166666665526769</c:v>
                </c:pt>
                <c:pt idx="236">
                  <c:v>39.333333332188587</c:v>
                </c:pt>
                <c:pt idx="237">
                  <c:v>39.499999998850399</c:v>
                </c:pt>
                <c:pt idx="238">
                  <c:v>39.666666665512217</c:v>
                </c:pt>
                <c:pt idx="239">
                  <c:v>39.833333332174035</c:v>
                </c:pt>
                <c:pt idx="240">
                  <c:v>39.999999998835847</c:v>
                </c:pt>
                <c:pt idx="241">
                  <c:v>40.166666665497665</c:v>
                </c:pt>
                <c:pt idx="242">
                  <c:v>40.333333332159484</c:v>
                </c:pt>
                <c:pt idx="243">
                  <c:v>40.499999998821295</c:v>
                </c:pt>
                <c:pt idx="244">
                  <c:v>40.666666665483113</c:v>
                </c:pt>
                <c:pt idx="245">
                  <c:v>40.833333332144932</c:v>
                </c:pt>
                <c:pt idx="246">
                  <c:v>40.999999998806743</c:v>
                </c:pt>
                <c:pt idx="247">
                  <c:v>41.166666665468561</c:v>
                </c:pt>
                <c:pt idx="248">
                  <c:v>41.33333333213038</c:v>
                </c:pt>
                <c:pt idx="249">
                  <c:v>41.499999998792191</c:v>
                </c:pt>
                <c:pt idx="250">
                  <c:v>41.666666665454009</c:v>
                </c:pt>
                <c:pt idx="251">
                  <c:v>41.833333332115828</c:v>
                </c:pt>
                <c:pt idx="252">
                  <c:v>41.999999998777639</c:v>
                </c:pt>
                <c:pt idx="253">
                  <c:v>42.166666665439458</c:v>
                </c:pt>
                <c:pt idx="254">
                  <c:v>42.333333332101276</c:v>
                </c:pt>
                <c:pt idx="255">
                  <c:v>42.499999998763087</c:v>
                </c:pt>
                <c:pt idx="256">
                  <c:v>42.666666665424906</c:v>
                </c:pt>
                <c:pt idx="257">
                  <c:v>42.833333332086724</c:v>
                </c:pt>
                <c:pt idx="258">
                  <c:v>42.999999998748535</c:v>
                </c:pt>
                <c:pt idx="259">
                  <c:v>43.166666665410354</c:v>
                </c:pt>
                <c:pt idx="260">
                  <c:v>43.333333332072172</c:v>
                </c:pt>
                <c:pt idx="261">
                  <c:v>43.499999998733983</c:v>
                </c:pt>
                <c:pt idx="262">
                  <c:v>43.666666665395802</c:v>
                </c:pt>
                <c:pt idx="263">
                  <c:v>43.83333333205762</c:v>
                </c:pt>
                <c:pt idx="264">
                  <c:v>43.999999998719431</c:v>
                </c:pt>
                <c:pt idx="265">
                  <c:v>44.16666666538125</c:v>
                </c:pt>
                <c:pt idx="266">
                  <c:v>44.333333332043068</c:v>
                </c:pt>
                <c:pt idx="267">
                  <c:v>44.49999999870488</c:v>
                </c:pt>
                <c:pt idx="268">
                  <c:v>44.666666665366698</c:v>
                </c:pt>
                <c:pt idx="269">
                  <c:v>44.833333332028516</c:v>
                </c:pt>
                <c:pt idx="270">
                  <c:v>44.999999998690328</c:v>
                </c:pt>
                <c:pt idx="271">
                  <c:v>45.166666665352146</c:v>
                </c:pt>
                <c:pt idx="272">
                  <c:v>45.333333332013964</c:v>
                </c:pt>
                <c:pt idx="273">
                  <c:v>45.499999998675776</c:v>
                </c:pt>
                <c:pt idx="274">
                  <c:v>45.666666665337594</c:v>
                </c:pt>
                <c:pt idx="275">
                  <c:v>45.833333331999413</c:v>
                </c:pt>
                <c:pt idx="276">
                  <c:v>45.999999998661224</c:v>
                </c:pt>
                <c:pt idx="277">
                  <c:v>46.166666665323042</c:v>
                </c:pt>
                <c:pt idx="278">
                  <c:v>46.333333331984861</c:v>
                </c:pt>
                <c:pt idx="279">
                  <c:v>46.499999998646672</c:v>
                </c:pt>
                <c:pt idx="280">
                  <c:v>46.66666666530849</c:v>
                </c:pt>
                <c:pt idx="281">
                  <c:v>46.833333331970309</c:v>
                </c:pt>
                <c:pt idx="282">
                  <c:v>46.99999999863212</c:v>
                </c:pt>
                <c:pt idx="283">
                  <c:v>47.166666665293938</c:v>
                </c:pt>
                <c:pt idx="284">
                  <c:v>47.333333331955757</c:v>
                </c:pt>
                <c:pt idx="285">
                  <c:v>47.499999998617568</c:v>
                </c:pt>
                <c:pt idx="286">
                  <c:v>47.666666665279386</c:v>
                </c:pt>
                <c:pt idx="287">
                  <c:v>47.833333331941205</c:v>
                </c:pt>
                <c:pt idx="288">
                  <c:v>47.999999998603016</c:v>
                </c:pt>
                <c:pt idx="289">
                  <c:v>48.166666665264835</c:v>
                </c:pt>
                <c:pt idx="290">
                  <c:v>48.333333331926653</c:v>
                </c:pt>
                <c:pt idx="291">
                  <c:v>48.499999998588464</c:v>
                </c:pt>
                <c:pt idx="292">
                  <c:v>48.666666665250283</c:v>
                </c:pt>
                <c:pt idx="293">
                  <c:v>48.833333331912101</c:v>
                </c:pt>
                <c:pt idx="294">
                  <c:v>48.999999998573912</c:v>
                </c:pt>
                <c:pt idx="295">
                  <c:v>49.166666665235731</c:v>
                </c:pt>
                <c:pt idx="296">
                  <c:v>49.333333331897549</c:v>
                </c:pt>
                <c:pt idx="297">
                  <c:v>49.49999999855936</c:v>
                </c:pt>
                <c:pt idx="298">
                  <c:v>49.666666665221179</c:v>
                </c:pt>
                <c:pt idx="299">
                  <c:v>49.833333331882997</c:v>
                </c:pt>
                <c:pt idx="300">
                  <c:v>49.999999998544808</c:v>
                </c:pt>
              </c:numCache>
            </c:numRef>
          </c:xVal>
          <c:yVal>
            <c:numRef>
              <c:f>Evaluation!$V$6:$V$306</c:f>
              <c:numCache>
                <c:formatCode>0.0000</c:formatCode>
                <c:ptCount val="301"/>
                <c:pt idx="0">
                  <c:v>4.438840152905367E-2</c:v>
                </c:pt>
                <c:pt idx="1">
                  <c:v>4.4577872352090181E-2</c:v>
                </c:pt>
                <c:pt idx="2">
                  <c:v>4.514590626534639E-2</c:v>
                </c:pt>
                <c:pt idx="3">
                  <c:v>4.6092503263493213E-2</c:v>
                </c:pt>
                <c:pt idx="4">
                  <c:v>4.7417663346530657E-2</c:v>
                </c:pt>
                <c:pt idx="5">
                  <c:v>4.9121386519787792E-2</c:v>
                </c:pt>
                <c:pt idx="6">
                  <c:v>5.1203672775271013E-2</c:v>
                </c:pt>
                <c:pt idx="7">
                  <c:v>5.3664522120973918E-2</c:v>
                </c:pt>
                <c:pt idx="8">
                  <c:v>5.650393455156745E-2</c:v>
                </c:pt>
                <c:pt idx="9">
                  <c:v>5.9721910067051596E-2</c:v>
                </c:pt>
                <c:pt idx="10">
                  <c:v>6.3318448672755434E-2</c:v>
                </c:pt>
                <c:pt idx="11">
                  <c:v>6.7293550363349885E-2</c:v>
                </c:pt>
                <c:pt idx="12">
                  <c:v>7.1647215138834958E-2</c:v>
                </c:pt>
                <c:pt idx="13">
                  <c:v>7.63750338648196E-2</c:v>
                </c:pt>
                <c:pt idx="14">
                  <c:v>8.1181752189660866E-2</c:v>
                </c:pt>
                <c:pt idx="15">
                  <c:v>8.5888771766575181E-2</c:v>
                </c:pt>
                <c:pt idx="16">
                  <c:v>9.0496092603556164E-2</c:v>
                </c:pt>
                <c:pt idx="17">
                  <c:v>9.5003714697939279E-2</c:v>
                </c:pt>
                <c:pt idx="18">
                  <c:v>9.9411638049724527E-2</c:v>
                </c:pt>
                <c:pt idx="19">
                  <c:v>0.10371986265624737</c:v>
                </c:pt>
                <c:pt idx="20">
                  <c:v>0.10792838852017235</c:v>
                </c:pt>
                <c:pt idx="21">
                  <c:v>0.11203721564149946</c:v>
                </c:pt>
                <c:pt idx="22">
                  <c:v>0.1160463440202287</c:v>
                </c:pt>
                <c:pt idx="23">
                  <c:v>0.11995577365636007</c:v>
                </c:pt>
                <c:pt idx="24">
                  <c:v>0.12376550454722904</c:v>
                </c:pt>
                <c:pt idx="25">
                  <c:v>0.12653836520839193</c:v>
                </c:pt>
                <c:pt idx="26">
                  <c:v>0.12722246958689071</c:v>
                </c:pt>
                <c:pt idx="27">
                  <c:v>0.12581695317426056</c:v>
                </c:pt>
                <c:pt idx="28">
                  <c:v>0.12232181596783695</c:v>
                </c:pt>
                <c:pt idx="29">
                  <c:v>0.11673705796761988</c:v>
                </c:pt>
                <c:pt idx="30">
                  <c:v>0.10906267917627388</c:v>
                </c:pt>
                <c:pt idx="31">
                  <c:v>9.9298679593798955E-2</c:v>
                </c:pt>
                <c:pt idx="32">
                  <c:v>8.7445059212201484E-2</c:v>
                </c:pt>
                <c:pt idx="33">
                  <c:v>7.3501818042139622E-2</c:v>
                </c:pt>
                <c:pt idx="34">
                  <c:v>6.0245811080305356E-2</c:v>
                </c:pt>
                <c:pt idx="35">
                  <c:v>5.3920100447483715E-2</c:v>
                </c:pt>
                <c:pt idx="36">
                  <c:v>5.4759681287026005E-2</c:v>
                </c:pt>
                <c:pt idx="37">
                  <c:v>6.2764553601596745E-2</c:v>
                </c:pt>
                <c:pt idx="38">
                  <c:v>7.7934717393860486E-2</c:v>
                </c:pt>
                <c:pt idx="39">
                  <c:v>0.10027017265848816</c:v>
                </c:pt>
                <c:pt idx="40">
                  <c:v>0.12977091939814428</c:v>
                </c:pt>
                <c:pt idx="41">
                  <c:v>0.16444787681136983</c:v>
                </c:pt>
                <c:pt idx="42">
                  <c:v>0.19363480334919192</c:v>
                </c:pt>
                <c:pt idx="43">
                  <c:v>0.21574983461475986</c:v>
                </c:pt>
                <c:pt idx="44">
                  <c:v>0.23079297060807366</c:v>
                </c:pt>
                <c:pt idx="45">
                  <c:v>0.23876421133179784</c:v>
                </c:pt>
                <c:pt idx="46">
                  <c:v>0.23966491348468583</c:v>
                </c:pt>
                <c:pt idx="47">
                  <c:v>0.2380976011647124</c:v>
                </c:pt>
                <c:pt idx="48">
                  <c:v>0.23835811535094331</c:v>
                </c:pt>
                <c:pt idx="49">
                  <c:v>0.2404464560380494</c:v>
                </c:pt>
                <c:pt idx="50">
                  <c:v>0.24436262323668889</c:v>
                </c:pt>
                <c:pt idx="51">
                  <c:v>0.26222237110182117</c:v>
                </c:pt>
                <c:pt idx="52">
                  <c:v>0.30942692318371035</c:v>
                </c:pt>
                <c:pt idx="53">
                  <c:v>0.38603015286811038</c:v>
                </c:pt>
                <c:pt idx="54">
                  <c:v>0.4933681237508184</c:v>
                </c:pt>
                <c:pt idx="55">
                  <c:v>0.63291077901771609</c:v>
                </c:pt>
                <c:pt idx="56">
                  <c:v>0.82271991488532481</c:v>
                </c:pt>
                <c:pt idx="57">
                  <c:v>1.0913088884059261</c:v>
                </c:pt>
                <c:pt idx="58">
                  <c:v>1.405575552038181</c:v>
                </c:pt>
                <c:pt idx="59">
                  <c:v>1.6731273266693101</c:v>
                </c:pt>
                <c:pt idx="60">
                  <c:v>1.8099075978839589</c:v>
                </c:pt>
                <c:pt idx="61">
                  <c:v>1.7207090287477769</c:v>
                </c:pt>
                <c:pt idx="62">
                  <c:v>1.4049640901383833</c:v>
                </c:pt>
                <c:pt idx="63">
                  <c:v>1.0951869747247818</c:v>
                </c:pt>
                <c:pt idx="64">
                  <c:v>0.83729180375463508</c:v>
                </c:pt>
                <c:pt idx="65">
                  <c:v>0.64081250218439401</c:v>
                </c:pt>
                <c:pt idx="66">
                  <c:v>0.50510178926237537</c:v>
                </c:pt>
                <c:pt idx="67">
                  <c:v>0.40445466534433649</c:v>
                </c:pt>
                <c:pt idx="68">
                  <c:v>0.33357192116139561</c:v>
                </c:pt>
                <c:pt idx="69">
                  <c:v>0.28390931925708351</c:v>
                </c:pt>
                <c:pt idx="70">
                  <c:v>0.24769290078917938</c:v>
                </c:pt>
                <c:pt idx="71">
                  <c:v>0.22492266576301234</c:v>
                </c:pt>
                <c:pt idx="72">
                  <c:v>0.21263479886798783</c:v>
                </c:pt>
                <c:pt idx="73">
                  <c:v>0.20063420144518171</c:v>
                </c:pt>
                <c:pt idx="74">
                  <c:v>0.18806401114282997</c:v>
                </c:pt>
                <c:pt idx="75">
                  <c:v>0.17492422796626164</c:v>
                </c:pt>
                <c:pt idx="76">
                  <c:v>0.16121665757509859</c:v>
                </c:pt>
                <c:pt idx="77">
                  <c:v>0.14873917370727863</c:v>
                </c:pt>
                <c:pt idx="78">
                  <c:v>0.13907404830831385</c:v>
                </c:pt>
                <c:pt idx="79">
                  <c:v>0.13222128138353337</c:v>
                </c:pt>
                <c:pt idx="80">
                  <c:v>0.12818087292227906</c:v>
                </c:pt>
                <c:pt idx="81">
                  <c:v>0.12695282292987994</c:v>
                </c:pt>
                <c:pt idx="82">
                  <c:v>0.12853713140100698</c:v>
                </c:pt>
                <c:pt idx="83">
                  <c:v>0.13194062595929115</c:v>
                </c:pt>
                <c:pt idx="84">
                  <c:v>0.13563143332579516</c:v>
                </c:pt>
                <c:pt idx="85">
                  <c:v>0.13959243356305087</c:v>
                </c:pt>
                <c:pt idx="86">
                  <c:v>0.14382362667105822</c:v>
                </c:pt>
                <c:pt idx="87">
                  <c:v>0.14832501264981726</c:v>
                </c:pt>
                <c:pt idx="88">
                  <c:v>0.153096591499328</c:v>
                </c:pt>
                <c:pt idx="89">
                  <c:v>0.15813836321426131</c:v>
                </c:pt>
                <c:pt idx="90">
                  <c:v>0.16345009566563454</c:v>
                </c:pt>
                <c:pt idx="91">
                  <c:v>0.16748543118215775</c:v>
                </c:pt>
                <c:pt idx="92">
                  <c:v>0.16877217084634771</c:v>
                </c:pt>
                <c:pt idx="93">
                  <c:v>0.16731031464754623</c:v>
                </c:pt>
                <c:pt idx="94">
                  <c:v>0.16309986259108239</c:v>
                </c:pt>
                <c:pt idx="95">
                  <c:v>0.15614081467162713</c:v>
                </c:pt>
                <c:pt idx="96">
                  <c:v>0.14643317088918045</c:v>
                </c:pt>
                <c:pt idx="97">
                  <c:v>0.1339769312490714</c:v>
                </c:pt>
                <c:pt idx="98">
                  <c:v>0.11877209575130002</c:v>
                </c:pt>
                <c:pt idx="99">
                  <c:v>0.1008186643905372</c:v>
                </c:pt>
                <c:pt idx="100">
                  <c:v>8.0712231029029594E-2</c:v>
                </c:pt>
                <c:pt idx="101">
                  <c:v>6.2848761023967567E-2</c:v>
                </c:pt>
                <c:pt idx="102">
                  <c:v>4.8117538888072096E-2</c:v>
                </c:pt>
                <c:pt idx="103">
                  <c:v>3.6518564632001323E-2</c:v>
                </c:pt>
                <c:pt idx="104">
                  <c:v>2.8051838255755256E-2</c:v>
                </c:pt>
                <c:pt idx="105">
                  <c:v>2.2717359748675746E-2</c:v>
                </c:pt>
                <c:pt idx="106">
                  <c:v>2.051512912675001E-2</c:v>
                </c:pt>
                <c:pt idx="107">
                  <c:v>2.1445146384648971E-2</c:v>
                </c:pt>
                <c:pt idx="108">
                  <c:v>2.5507411517043565E-2</c:v>
                </c:pt>
                <c:pt idx="109">
                  <c:v>3.2701924523933786E-2</c:v>
                </c:pt>
                <c:pt idx="110">
                  <c:v>4.3028685415977784E-2</c:v>
                </c:pt>
                <c:pt idx="111">
                  <c:v>5.5804103531745655E-2</c:v>
                </c:pt>
                <c:pt idx="112">
                  <c:v>6.7766500018802633E-2</c:v>
                </c:pt>
                <c:pt idx="113">
                  <c:v>7.8491702777025552E-2</c:v>
                </c:pt>
                <c:pt idx="114">
                  <c:v>8.7979711811743494E-2</c:v>
                </c:pt>
                <c:pt idx="115">
                  <c:v>9.6230527128285517E-2</c:v>
                </c:pt>
                <c:pt idx="116">
                  <c:v>0.10324414872132257</c:v>
                </c:pt>
                <c:pt idx="117">
                  <c:v>0.10902057659085462</c:v>
                </c:pt>
                <c:pt idx="118">
                  <c:v>0.11355981074221076</c:v>
                </c:pt>
                <c:pt idx="119">
                  <c:v>0.11686185116473286</c:v>
                </c:pt>
                <c:pt idx="120">
                  <c:v>0.11892669786907903</c:v>
                </c:pt>
                <c:pt idx="121">
                  <c:v>0.11975435084459116</c:v>
                </c:pt>
                <c:pt idx="122">
                  <c:v>0.11934484985146436</c:v>
                </c:pt>
                <c:pt idx="123">
                  <c:v>0.11775728164119195</c:v>
                </c:pt>
                <c:pt idx="124">
                  <c:v>0.11504487506976505</c:v>
                </c:pt>
                <c:pt idx="125">
                  <c:v>0.11120763012652549</c:v>
                </c:pt>
                <c:pt idx="126">
                  <c:v>0.10624554682213144</c:v>
                </c:pt>
                <c:pt idx="127">
                  <c:v>0.10015862515125383</c:v>
                </c:pt>
                <c:pt idx="128">
                  <c:v>9.2946865119221719E-2</c:v>
                </c:pt>
                <c:pt idx="129">
                  <c:v>8.461026672070604E-2</c:v>
                </c:pt>
                <c:pt idx="130">
                  <c:v>7.5148829955706792E-2</c:v>
                </c:pt>
                <c:pt idx="131">
                  <c:v>6.4562554829553045E-2</c:v>
                </c:pt>
                <c:pt idx="132">
                  <c:v>5.285144133691573E-2</c:v>
                </c:pt>
                <c:pt idx="133">
                  <c:v>4.0015489483123917E-2</c:v>
                </c:pt>
                <c:pt idx="134">
                  <c:v>2.7419718651076938E-2</c:v>
                </c:pt>
                <c:pt idx="135">
                  <c:v>1.9009383513178067E-2</c:v>
                </c:pt>
                <c:pt idx="136">
                  <c:v>1.5033349392450478E-2</c:v>
                </c:pt>
                <c:pt idx="137">
                  <c:v>1.5491616304881385E-2</c:v>
                </c:pt>
                <c:pt idx="138">
                  <c:v>2.0384184245141719E-2</c:v>
                </c:pt>
                <c:pt idx="139">
                  <c:v>2.9711053207902408E-2</c:v>
                </c:pt>
                <c:pt idx="140">
                  <c:v>4.3472223193163455E-2</c:v>
                </c:pt>
                <c:pt idx="141">
                  <c:v>6.1667694200924855E-2</c:v>
                </c:pt>
                <c:pt idx="142">
                  <c:v>8.4297466241844754E-2</c:v>
                </c:pt>
                <c:pt idx="143">
                  <c:v>0.111361539305265</c:v>
                </c:pt>
                <c:pt idx="144">
                  <c:v>0.14214801707326952</c:v>
                </c:pt>
                <c:pt idx="145">
                  <c:v>0.1682985061282192</c:v>
                </c:pt>
                <c:pt idx="146">
                  <c:v>0.1874043683064571</c:v>
                </c:pt>
                <c:pt idx="147">
                  <c:v>0.19946560361331228</c:v>
                </c:pt>
                <c:pt idx="148">
                  <c:v>0.20448221204878475</c:v>
                </c:pt>
                <c:pt idx="149">
                  <c:v>0.20245419360754546</c:v>
                </c:pt>
                <c:pt idx="150">
                  <c:v>0.1933815483002525</c:v>
                </c:pt>
                <c:pt idx="151">
                  <c:v>0.17726427611091872</c:v>
                </c:pt>
                <c:pt idx="152">
                  <c:v>0.15410237705553129</c:v>
                </c:pt>
                <c:pt idx="153">
                  <c:v>0.12575507696876606</c:v>
                </c:pt>
                <c:pt idx="154">
                  <c:v>0.10403769790504311</c:v>
                </c:pt>
                <c:pt idx="155">
                  <c:v>9.1033711318451602E-2</c:v>
                </c:pt>
                <c:pt idx="156">
                  <c:v>8.67431171983334E-2</c:v>
                </c:pt>
                <c:pt idx="157">
                  <c:v>9.1165915550017573E-2</c:v>
                </c:pt>
                <c:pt idx="158">
                  <c:v>0.10430210636817505</c:v>
                </c:pt>
                <c:pt idx="159">
                  <c:v>0.12615168965813492</c:v>
                </c:pt>
                <c:pt idx="160">
                  <c:v>0.1560222500095354</c:v>
                </c:pt>
                <c:pt idx="161">
                  <c:v>0.18222573144297197</c:v>
                </c:pt>
                <c:pt idx="162">
                  <c:v>0.20057629258347418</c:v>
                </c:pt>
                <c:pt idx="163">
                  <c:v>0.2110739334363711</c:v>
                </c:pt>
                <c:pt idx="164">
                  <c:v>0.21371865400166276</c:v>
                </c:pt>
                <c:pt idx="165">
                  <c:v>0.20851045427934917</c:v>
                </c:pt>
                <c:pt idx="166">
                  <c:v>0.19820119339941178</c:v>
                </c:pt>
                <c:pt idx="167">
                  <c:v>0.19090637631813898</c:v>
                </c:pt>
                <c:pt idx="168">
                  <c:v>0.18715653211754521</c:v>
                </c:pt>
                <c:pt idx="169">
                  <c:v>0.18695166078164327</c:v>
                </c:pt>
                <c:pt idx="170">
                  <c:v>0.19395199220038553</c:v>
                </c:pt>
                <c:pt idx="171">
                  <c:v>0.23122287557837556</c:v>
                </c:pt>
                <c:pt idx="172">
                  <c:v>0.30279859922181812</c:v>
                </c:pt>
                <c:pt idx="173">
                  <c:v>0.4081000678203251</c:v>
                </c:pt>
                <c:pt idx="174">
                  <c:v>0.54177053780235751</c:v>
                </c:pt>
                <c:pt idx="175">
                  <c:v>0.7029249762302866</c:v>
                </c:pt>
                <c:pt idx="176">
                  <c:v>0.90980494447540072</c:v>
                </c:pt>
                <c:pt idx="177">
                  <c:v>1.173630053122616</c:v>
                </c:pt>
                <c:pt idx="178">
                  <c:v>1.4869333399018845</c:v>
                </c:pt>
                <c:pt idx="179">
                  <c:v>1.7410741538706376</c:v>
                </c:pt>
                <c:pt idx="180">
                  <c:v>1.8860715306788145</c:v>
                </c:pt>
                <c:pt idx="181">
                  <c:v>1.7587843729544086</c:v>
                </c:pt>
                <c:pt idx="182">
                  <c:v>1.4629190269629937</c:v>
                </c:pt>
                <c:pt idx="183">
                  <c:v>1.127611491189517</c:v>
                </c:pt>
                <c:pt idx="184">
                  <c:v>0.84025482556130038</c:v>
                </c:pt>
                <c:pt idx="185">
                  <c:v>0.58889184507586445</c:v>
                </c:pt>
                <c:pt idx="186">
                  <c:v>0.42523677922006986</c:v>
                </c:pt>
                <c:pt idx="187">
                  <c:v>0.36214371223396807</c:v>
                </c:pt>
                <c:pt idx="188">
                  <c:v>0.32462843519333029</c:v>
                </c:pt>
                <c:pt idx="189">
                  <c:v>0.2816251862835879</c:v>
                </c:pt>
                <c:pt idx="190">
                  <c:v>0.23370962776395224</c:v>
                </c:pt>
                <c:pt idx="191">
                  <c:v>0.19059318224478736</c:v>
                </c:pt>
                <c:pt idx="192">
                  <c:v>0.15575267388810204</c:v>
                </c:pt>
                <c:pt idx="193">
                  <c:v>0.12918810270455447</c:v>
                </c:pt>
                <c:pt idx="194">
                  <c:v>0.11086572214192432</c:v>
                </c:pt>
                <c:pt idx="195">
                  <c:v>9.8232893608968364E-2</c:v>
                </c:pt>
                <c:pt idx="196">
                  <c:v>8.9697807807932864E-2</c:v>
                </c:pt>
                <c:pt idx="197">
                  <c:v>8.5260464738817807E-2</c:v>
                </c:pt>
                <c:pt idx="198">
                  <c:v>8.4920864422939488E-2</c:v>
                </c:pt>
                <c:pt idx="199">
                  <c:v>8.8679006838981625E-2</c:v>
                </c:pt>
                <c:pt idx="200">
                  <c:v>9.6324721332724614E-2</c:v>
                </c:pt>
                <c:pt idx="201">
                  <c:v>0.10520770647510552</c:v>
                </c:pt>
                <c:pt idx="202">
                  <c:v>0.11452798500833059</c:v>
                </c:pt>
                <c:pt idx="203">
                  <c:v>0.12428555692174166</c:v>
                </c:pt>
                <c:pt idx="204">
                  <c:v>0.13448042224731316</c:v>
                </c:pt>
                <c:pt idx="205">
                  <c:v>0.14511258096372884</c:v>
                </c:pt>
                <c:pt idx="206">
                  <c:v>0.15618203307098866</c:v>
                </c:pt>
                <c:pt idx="207">
                  <c:v>0.16768877857975079</c:v>
                </c:pt>
                <c:pt idx="208">
                  <c:v>0.17928424304070023</c:v>
                </c:pt>
                <c:pt idx="209">
                  <c:v>0.18811037834091235</c:v>
                </c:pt>
                <c:pt idx="210">
                  <c:v>0.19353517076433999</c:v>
                </c:pt>
                <c:pt idx="211">
                  <c:v>0.19555862030032503</c:v>
                </c:pt>
                <c:pt idx="212">
                  <c:v>0.19418072699150002</c:v>
                </c:pt>
                <c:pt idx="213">
                  <c:v>0.18940149078457427</c:v>
                </c:pt>
                <c:pt idx="214">
                  <c:v>0.18122091171152219</c:v>
                </c:pt>
                <c:pt idx="215">
                  <c:v>0.16963898975102751</c:v>
                </c:pt>
                <c:pt idx="216">
                  <c:v>0.15465572493506463</c:v>
                </c:pt>
                <c:pt idx="217">
                  <c:v>0.13627111724231727</c:v>
                </c:pt>
                <c:pt idx="218">
                  <c:v>0.11448516666212732</c:v>
                </c:pt>
                <c:pt idx="219">
                  <c:v>9.1433982713159251E-2</c:v>
                </c:pt>
                <c:pt idx="220">
                  <c:v>7.0864023920266972E-2</c:v>
                </c:pt>
                <c:pt idx="221">
                  <c:v>5.2844760057385906E-2</c:v>
                </c:pt>
                <c:pt idx="222">
                  <c:v>3.7376191124516053E-2</c:v>
                </c:pt>
                <c:pt idx="223">
                  <c:v>2.4458317110999279E-2</c:v>
                </c:pt>
                <c:pt idx="224">
                  <c:v>1.4091138048810002E-2</c:v>
                </c:pt>
                <c:pt idx="225">
                  <c:v>6.2746539059737993E-3</c:v>
                </c:pt>
                <c:pt idx="226">
                  <c:v>1.0088647038069517E-3</c:v>
                </c:pt>
                <c:pt idx="227">
                  <c:v>-1.70622956834868E-3</c:v>
                </c:pt>
                <c:pt idx="228">
                  <c:v>-1.8706289104930963E-3</c:v>
                </c:pt>
                <c:pt idx="229">
                  <c:v>5.1566667737370272E-4</c:v>
                </c:pt>
                <c:pt idx="230">
                  <c:v>5.4526571952517172E-3</c:v>
                </c:pt>
                <c:pt idx="231">
                  <c:v>1.2940342653799088E-2</c:v>
                </c:pt>
                <c:pt idx="232">
                  <c:v>2.2972723787930929E-2</c:v>
                </c:pt>
                <c:pt idx="233">
                  <c:v>3.3587128141033221E-2</c:v>
                </c:pt>
                <c:pt idx="234">
                  <c:v>4.3214911810288525E-2</c:v>
                </c:pt>
                <c:pt idx="235">
                  <c:v>5.1856074795696837E-2</c:v>
                </c:pt>
                <c:pt idx="236">
                  <c:v>5.9510617097258169E-2</c:v>
                </c:pt>
                <c:pt idx="237">
                  <c:v>6.6178538714972507E-2</c:v>
                </c:pt>
                <c:pt idx="238">
                  <c:v>7.1859839659497993E-2</c:v>
                </c:pt>
                <c:pt idx="239">
                  <c:v>7.6554519909518365E-2</c:v>
                </c:pt>
                <c:pt idx="240">
                  <c:v>8.0262579475691737E-2</c:v>
                </c:pt>
                <c:pt idx="241">
                  <c:v>8.2984018368676263E-2</c:v>
                </c:pt>
                <c:pt idx="242">
                  <c:v>8.4718836567155675E-2</c:v>
                </c:pt>
                <c:pt idx="243">
                  <c:v>8.5467034081788087E-2</c:v>
                </c:pt>
                <c:pt idx="244">
                  <c:v>8.5228610923231654E-2</c:v>
                </c:pt>
                <c:pt idx="245">
                  <c:v>8.4003567070170079E-2</c:v>
                </c:pt>
                <c:pt idx="246">
                  <c:v>8.1791902533261532E-2</c:v>
                </c:pt>
                <c:pt idx="247">
                  <c:v>7.8593617323164139E-2</c:v>
                </c:pt>
                <c:pt idx="248">
                  <c:v>7.4408711418561618E-2</c:v>
                </c:pt>
                <c:pt idx="249">
                  <c:v>6.9237184840770238E-2</c:v>
                </c:pt>
                <c:pt idx="250">
                  <c:v>6.3243520832820685E-2</c:v>
                </c:pt>
                <c:pt idx="251">
                  <c:v>5.7443612449754426E-2</c:v>
                </c:pt>
                <c:pt idx="252">
                  <c:v>5.2011701315372527E-2</c:v>
                </c:pt>
                <c:pt idx="253">
                  <c:v>4.694778741901684E-2</c:v>
                </c:pt>
                <c:pt idx="254">
                  <c:v>4.2251870782003653E-2</c:v>
                </c:pt>
                <c:pt idx="255">
                  <c:v>3.7923951372358544E-2</c:v>
                </c:pt>
                <c:pt idx="256">
                  <c:v>3.3964029222055929E-2</c:v>
                </c:pt>
                <c:pt idx="257">
                  <c:v>3.0372104309779529E-2</c:v>
                </c:pt>
                <c:pt idx="258">
                  <c:v>2.7148176635529341E-2</c:v>
                </c:pt>
                <c:pt idx="259">
                  <c:v>2.4292246209963512E-2</c:v>
                </c:pt>
                <c:pt idx="260">
                  <c:v>2.1804313033082039E-2</c:v>
                </c:pt>
                <c:pt idx="261">
                  <c:v>1.9684377083568641E-2</c:v>
                </c:pt>
                <c:pt idx="262">
                  <c:v>1.793243839339774E-2</c:v>
                </c:pt>
                <c:pt idx="263">
                  <c:v>1.6548496951911192E-2</c:v>
                </c:pt>
                <c:pt idx="264">
                  <c:v>1.5532552748450862E-2</c:v>
                </c:pt>
                <c:pt idx="265">
                  <c:v>1.4884605783016746E-2</c:v>
                </c:pt>
                <c:pt idx="266">
                  <c:v>1.4604656066266986E-2</c:v>
                </c:pt>
                <c:pt idx="267">
                  <c:v>1.4692703587543442E-2</c:v>
                </c:pt>
                <c:pt idx="268">
                  <c:v>1.5148748368162395E-2</c:v>
                </c:pt>
                <c:pt idx="269">
                  <c:v>1.5972790386807562E-2</c:v>
                </c:pt>
                <c:pt idx="270">
                  <c:v>1.7164829643478943E-2</c:v>
                </c:pt>
                <c:pt idx="271">
                  <c:v>1.8724866148834684E-2</c:v>
                </c:pt>
                <c:pt idx="272">
                  <c:v>2.0626547073621892E-2</c:v>
                </c:pt>
                <c:pt idx="273">
                  <c:v>2.2551639148761432E-2</c:v>
                </c:pt>
                <c:pt idx="274">
                  <c:v>2.4406726613790182E-2</c:v>
                </c:pt>
                <c:pt idx="275">
                  <c:v>2.6191809447391856E-2</c:v>
                </c:pt>
                <c:pt idx="276">
                  <c:v>2.7906887649566458E-2</c:v>
                </c:pt>
                <c:pt idx="277">
                  <c:v>2.9551961241630269E-2</c:v>
                </c:pt>
                <c:pt idx="278">
                  <c:v>3.1127030202267005E-2</c:v>
                </c:pt>
                <c:pt idx="279">
                  <c:v>3.2632094552792951E-2</c:v>
                </c:pt>
                <c:pt idx="280">
                  <c:v>3.4067154282549965E-2</c:v>
                </c:pt>
                <c:pt idx="281">
                  <c:v>3.5432209391538051E-2</c:v>
                </c:pt>
                <c:pt idx="282">
                  <c:v>3.6727259879757203E-2</c:v>
                </c:pt>
                <c:pt idx="283">
                  <c:v>3.7952305736549279E-2</c:v>
                </c:pt>
                <c:pt idx="284">
                  <c:v>3.9107346983230561E-2</c:v>
                </c:pt>
                <c:pt idx="285">
                  <c:v>4.0192383609142915E-2</c:v>
                </c:pt>
                <c:pt idx="286">
                  <c:v>4.1207415614286341E-2</c:v>
                </c:pt>
                <c:pt idx="287">
                  <c:v>4.2152442988002685E-2</c:v>
                </c:pt>
                <c:pt idx="288">
                  <c:v>4.3027465740950108E-2</c:v>
                </c:pt>
                <c:pt idx="289">
                  <c:v>4.3832483894444871E-2</c:v>
                </c:pt>
                <c:pt idx="290">
                  <c:v>4.4567497405854424E-2</c:v>
                </c:pt>
                <c:pt idx="291">
                  <c:v>4.5232506296495043E-2</c:v>
                </c:pt>
                <c:pt idx="292">
                  <c:v>4.5827510577024874E-2</c:v>
                </c:pt>
                <c:pt idx="293">
                  <c:v>4.6352510236785771E-2</c:v>
                </c:pt>
                <c:pt idx="294">
                  <c:v>4.6807505265119592E-2</c:v>
                </c:pt>
                <c:pt idx="295">
                  <c:v>4.7192495672684485E-2</c:v>
                </c:pt>
                <c:pt idx="296">
                  <c:v>4.7507481470138585E-2</c:v>
                </c:pt>
                <c:pt idx="297">
                  <c:v>4.775246264682375E-2</c:v>
                </c:pt>
                <c:pt idx="298">
                  <c:v>4.7927439192081846E-2</c:v>
                </c:pt>
                <c:pt idx="299">
                  <c:v>4.8032411127229155E-2</c:v>
                </c:pt>
                <c:pt idx="300">
                  <c:v>4.8067378430949381E-2</c:v>
                </c:pt>
              </c:numCache>
            </c:numRef>
          </c:yVal>
          <c:smooth val="1"/>
          <c:extLst>
            <c:ext xmlns:c16="http://schemas.microsoft.com/office/drawing/2014/chart" uri="{C3380CC4-5D6E-409C-BE32-E72D297353CC}">
              <c16:uniqueId val="{00000000-FD10-4265-B871-C25570BB45C6}"/>
            </c:ext>
          </c:extLst>
        </c:ser>
        <c:ser>
          <c:idx val="0"/>
          <c:order val="1"/>
          <c:tx>
            <c:v>2nd derivative</c:v>
          </c:tx>
          <c:spPr>
            <a:ln w="25400">
              <a:solidFill>
                <a:srgbClr val="09007E"/>
              </a:solidFill>
              <a:prstDash val="solid"/>
            </a:ln>
          </c:spPr>
          <c:marker>
            <c:symbol val="none"/>
          </c:marker>
          <c:xVal>
            <c:numRef>
              <c:f>Evaluation!$T$6:$T$306</c:f>
              <c:numCache>
                <c:formatCode>0.0000</c:formatCode>
                <c:ptCount val="301"/>
                <c:pt idx="0">
                  <c:v>0</c:v>
                </c:pt>
                <c:pt idx="1">
                  <c:v>0.16666666666181604</c:v>
                </c:pt>
                <c:pt idx="2">
                  <c:v>0.33333333332363208</c:v>
                </c:pt>
                <c:pt idx="3">
                  <c:v>0.49999999998544808</c:v>
                </c:pt>
                <c:pt idx="4">
                  <c:v>0.66666666664726415</c:v>
                </c:pt>
                <c:pt idx="5">
                  <c:v>0.83333333330908022</c:v>
                </c:pt>
                <c:pt idx="6">
                  <c:v>0.99999999997089617</c:v>
                </c:pt>
                <c:pt idx="7">
                  <c:v>1.1666666666327123</c:v>
                </c:pt>
                <c:pt idx="8">
                  <c:v>1.3333333332945283</c:v>
                </c:pt>
                <c:pt idx="9">
                  <c:v>1.4999999999563443</c:v>
                </c:pt>
                <c:pt idx="10">
                  <c:v>1.6666666666181604</c:v>
                </c:pt>
                <c:pt idx="11">
                  <c:v>1.8333333332799764</c:v>
                </c:pt>
                <c:pt idx="12">
                  <c:v>1.9999999999417923</c:v>
                </c:pt>
                <c:pt idx="13">
                  <c:v>2.1666666666036085</c:v>
                </c:pt>
                <c:pt idx="14">
                  <c:v>2.3333333332654247</c:v>
                </c:pt>
                <c:pt idx="15">
                  <c:v>2.4999999999272404</c:v>
                </c:pt>
                <c:pt idx="16">
                  <c:v>2.6666666665890566</c:v>
                </c:pt>
                <c:pt idx="17">
                  <c:v>2.8333333332508728</c:v>
                </c:pt>
                <c:pt idx="18">
                  <c:v>2.9999999999126885</c:v>
                </c:pt>
                <c:pt idx="19">
                  <c:v>3.1666666665745047</c:v>
                </c:pt>
                <c:pt idx="20">
                  <c:v>3.3333333332363209</c:v>
                </c:pt>
                <c:pt idx="21">
                  <c:v>3.4999999998981366</c:v>
                </c:pt>
                <c:pt idx="22">
                  <c:v>3.6666666665599528</c:v>
                </c:pt>
                <c:pt idx="23">
                  <c:v>3.8333333332217689</c:v>
                </c:pt>
                <c:pt idx="24">
                  <c:v>3.9999999998835847</c:v>
                </c:pt>
                <c:pt idx="25">
                  <c:v>4.1666666665454013</c:v>
                </c:pt>
                <c:pt idx="26">
                  <c:v>4.333333333207217</c:v>
                </c:pt>
                <c:pt idx="27">
                  <c:v>4.4999999998690328</c:v>
                </c:pt>
                <c:pt idx="28">
                  <c:v>4.6666666665308494</c:v>
                </c:pt>
                <c:pt idx="29">
                  <c:v>4.8333333331926651</c:v>
                </c:pt>
                <c:pt idx="30">
                  <c:v>4.9999999998544808</c:v>
                </c:pt>
                <c:pt idx="31">
                  <c:v>5.1666666665162975</c:v>
                </c:pt>
                <c:pt idx="32">
                  <c:v>5.3333333331781132</c:v>
                </c:pt>
                <c:pt idx="33">
                  <c:v>5.4999999998399289</c:v>
                </c:pt>
                <c:pt idx="34">
                  <c:v>5.6666666665017456</c:v>
                </c:pt>
                <c:pt idx="35">
                  <c:v>5.8333333331635613</c:v>
                </c:pt>
                <c:pt idx="36">
                  <c:v>5.999999999825377</c:v>
                </c:pt>
                <c:pt idx="37">
                  <c:v>6.1666666664871936</c:v>
                </c:pt>
                <c:pt idx="38">
                  <c:v>6.3333333331490094</c:v>
                </c:pt>
                <c:pt idx="39">
                  <c:v>6.4999999998108251</c:v>
                </c:pt>
                <c:pt idx="40">
                  <c:v>6.6666666664726417</c:v>
                </c:pt>
                <c:pt idx="41">
                  <c:v>6.8333333331344575</c:v>
                </c:pt>
                <c:pt idx="42">
                  <c:v>6.9999999997962732</c:v>
                </c:pt>
                <c:pt idx="43">
                  <c:v>7.1666666664580898</c:v>
                </c:pt>
                <c:pt idx="44">
                  <c:v>7.3333333331199055</c:v>
                </c:pt>
                <c:pt idx="45">
                  <c:v>7.4999999997817213</c:v>
                </c:pt>
                <c:pt idx="46">
                  <c:v>7.6666666664435379</c:v>
                </c:pt>
                <c:pt idx="47">
                  <c:v>7.8333333331053536</c:v>
                </c:pt>
                <c:pt idx="48">
                  <c:v>7.9999999997671694</c:v>
                </c:pt>
                <c:pt idx="49">
                  <c:v>8.166666666428986</c:v>
                </c:pt>
                <c:pt idx="50">
                  <c:v>8.3333333330908026</c:v>
                </c:pt>
                <c:pt idx="51">
                  <c:v>8.4999999997526174</c:v>
                </c:pt>
                <c:pt idx="52">
                  <c:v>8.6666666664144341</c:v>
                </c:pt>
                <c:pt idx="53">
                  <c:v>8.8333333330762507</c:v>
                </c:pt>
                <c:pt idx="54">
                  <c:v>8.9999999997380655</c:v>
                </c:pt>
                <c:pt idx="55">
                  <c:v>9.1666666663998821</c:v>
                </c:pt>
                <c:pt idx="56">
                  <c:v>9.3333333330616988</c:v>
                </c:pt>
                <c:pt idx="57">
                  <c:v>9.4999999997235136</c:v>
                </c:pt>
                <c:pt idx="58">
                  <c:v>9.6666666663853302</c:v>
                </c:pt>
                <c:pt idx="59">
                  <c:v>9.8333333330471469</c:v>
                </c:pt>
                <c:pt idx="60">
                  <c:v>9.9999999997089617</c:v>
                </c:pt>
                <c:pt idx="61">
                  <c:v>10.166666666370778</c:v>
                </c:pt>
                <c:pt idx="62">
                  <c:v>10.333333333032595</c:v>
                </c:pt>
                <c:pt idx="63">
                  <c:v>10.49999999969441</c:v>
                </c:pt>
                <c:pt idx="64">
                  <c:v>10.666666666356226</c:v>
                </c:pt>
                <c:pt idx="65">
                  <c:v>10.833333333018043</c:v>
                </c:pt>
                <c:pt idx="66">
                  <c:v>10.999999999679858</c:v>
                </c:pt>
                <c:pt idx="67">
                  <c:v>11.166666666341674</c:v>
                </c:pt>
                <c:pt idx="68">
                  <c:v>11.333333333003491</c:v>
                </c:pt>
                <c:pt idx="69">
                  <c:v>11.499999999665306</c:v>
                </c:pt>
                <c:pt idx="70">
                  <c:v>11.666666666327123</c:v>
                </c:pt>
                <c:pt idx="71">
                  <c:v>11.833333332988939</c:v>
                </c:pt>
                <c:pt idx="72">
                  <c:v>11.999999999650754</c:v>
                </c:pt>
                <c:pt idx="73">
                  <c:v>12.166666666312571</c:v>
                </c:pt>
                <c:pt idx="74">
                  <c:v>12.333333332974387</c:v>
                </c:pt>
                <c:pt idx="75">
                  <c:v>12.499999999636202</c:v>
                </c:pt>
                <c:pt idx="76">
                  <c:v>12.666666666298019</c:v>
                </c:pt>
                <c:pt idx="77">
                  <c:v>12.833333332959835</c:v>
                </c:pt>
                <c:pt idx="78">
                  <c:v>12.99999999962165</c:v>
                </c:pt>
                <c:pt idx="79">
                  <c:v>13.166666666283467</c:v>
                </c:pt>
                <c:pt idx="80">
                  <c:v>13.333333332945283</c:v>
                </c:pt>
                <c:pt idx="81">
                  <c:v>13.499999999607098</c:v>
                </c:pt>
                <c:pt idx="82">
                  <c:v>13.666666666268915</c:v>
                </c:pt>
                <c:pt idx="83">
                  <c:v>13.833333332930732</c:v>
                </c:pt>
                <c:pt idx="84">
                  <c:v>13.999999999592546</c:v>
                </c:pt>
                <c:pt idx="85">
                  <c:v>14.166666666254363</c:v>
                </c:pt>
                <c:pt idx="86">
                  <c:v>14.33333333291618</c:v>
                </c:pt>
                <c:pt idx="87">
                  <c:v>14.499999999577994</c:v>
                </c:pt>
                <c:pt idx="88">
                  <c:v>14.666666666239811</c:v>
                </c:pt>
                <c:pt idx="89">
                  <c:v>14.833333332901628</c:v>
                </c:pt>
                <c:pt idx="90">
                  <c:v>14.999999999563443</c:v>
                </c:pt>
                <c:pt idx="91">
                  <c:v>15.166666666225259</c:v>
                </c:pt>
                <c:pt idx="92">
                  <c:v>15.333333332887076</c:v>
                </c:pt>
                <c:pt idx="93">
                  <c:v>15.499999999548891</c:v>
                </c:pt>
                <c:pt idx="94">
                  <c:v>15.666666666210707</c:v>
                </c:pt>
                <c:pt idx="95">
                  <c:v>15.833333332872524</c:v>
                </c:pt>
                <c:pt idx="96">
                  <c:v>15.999999999534339</c:v>
                </c:pt>
                <c:pt idx="97">
                  <c:v>16.166666666196157</c:v>
                </c:pt>
                <c:pt idx="98">
                  <c:v>16.333333332857972</c:v>
                </c:pt>
                <c:pt idx="99">
                  <c:v>16.499999999519787</c:v>
                </c:pt>
                <c:pt idx="100">
                  <c:v>16.666666666181605</c:v>
                </c:pt>
                <c:pt idx="101">
                  <c:v>16.83333333284342</c:v>
                </c:pt>
                <c:pt idx="102">
                  <c:v>16.999999999505235</c:v>
                </c:pt>
                <c:pt idx="103">
                  <c:v>17.166666666167053</c:v>
                </c:pt>
                <c:pt idx="104">
                  <c:v>17.333333332828868</c:v>
                </c:pt>
                <c:pt idx="105">
                  <c:v>17.499999999490683</c:v>
                </c:pt>
                <c:pt idx="106">
                  <c:v>17.666666666152501</c:v>
                </c:pt>
                <c:pt idx="107">
                  <c:v>17.833333332814316</c:v>
                </c:pt>
                <c:pt idx="108">
                  <c:v>17.999999999476131</c:v>
                </c:pt>
                <c:pt idx="109">
                  <c:v>18.166666666137949</c:v>
                </c:pt>
                <c:pt idx="110">
                  <c:v>18.333333332799764</c:v>
                </c:pt>
                <c:pt idx="111">
                  <c:v>18.499999999461579</c:v>
                </c:pt>
                <c:pt idx="112">
                  <c:v>18.666666666123398</c:v>
                </c:pt>
                <c:pt idx="113">
                  <c:v>18.833333332785212</c:v>
                </c:pt>
                <c:pt idx="114">
                  <c:v>18.999999999447027</c:v>
                </c:pt>
                <c:pt idx="115">
                  <c:v>19.166666666108846</c:v>
                </c:pt>
                <c:pt idx="116">
                  <c:v>19.33333333277066</c:v>
                </c:pt>
                <c:pt idx="117">
                  <c:v>19.499999999432475</c:v>
                </c:pt>
                <c:pt idx="118">
                  <c:v>19.666666666094294</c:v>
                </c:pt>
                <c:pt idx="119">
                  <c:v>19.833333332756109</c:v>
                </c:pt>
                <c:pt idx="120">
                  <c:v>19.999999999417923</c:v>
                </c:pt>
                <c:pt idx="121">
                  <c:v>20.166666666079742</c:v>
                </c:pt>
                <c:pt idx="122">
                  <c:v>20.333333332741557</c:v>
                </c:pt>
                <c:pt idx="123">
                  <c:v>20.499999999403371</c:v>
                </c:pt>
                <c:pt idx="124">
                  <c:v>20.66666666606519</c:v>
                </c:pt>
                <c:pt idx="125">
                  <c:v>20.833333332727005</c:v>
                </c:pt>
                <c:pt idx="126">
                  <c:v>20.99999999938882</c:v>
                </c:pt>
                <c:pt idx="127">
                  <c:v>21.166666666050638</c:v>
                </c:pt>
                <c:pt idx="128">
                  <c:v>21.333333332712453</c:v>
                </c:pt>
                <c:pt idx="129">
                  <c:v>21.499999999374268</c:v>
                </c:pt>
                <c:pt idx="130">
                  <c:v>21.666666666036086</c:v>
                </c:pt>
                <c:pt idx="131">
                  <c:v>21.833333332697901</c:v>
                </c:pt>
                <c:pt idx="132">
                  <c:v>21.999999999359716</c:v>
                </c:pt>
                <c:pt idx="133">
                  <c:v>22.166666666021534</c:v>
                </c:pt>
                <c:pt idx="134">
                  <c:v>22.333333332683349</c:v>
                </c:pt>
                <c:pt idx="135">
                  <c:v>22.499999999345164</c:v>
                </c:pt>
                <c:pt idx="136">
                  <c:v>22.666666666006982</c:v>
                </c:pt>
                <c:pt idx="137">
                  <c:v>22.833333332668797</c:v>
                </c:pt>
                <c:pt idx="138">
                  <c:v>22.999999999330612</c:v>
                </c:pt>
                <c:pt idx="139">
                  <c:v>23.16666666599243</c:v>
                </c:pt>
                <c:pt idx="140">
                  <c:v>23.333333332654245</c:v>
                </c:pt>
                <c:pt idx="141">
                  <c:v>23.49999999931606</c:v>
                </c:pt>
                <c:pt idx="142">
                  <c:v>23.666666665977878</c:v>
                </c:pt>
                <c:pt idx="143">
                  <c:v>23.833333332639693</c:v>
                </c:pt>
                <c:pt idx="144">
                  <c:v>23.999999999301508</c:v>
                </c:pt>
                <c:pt idx="145">
                  <c:v>24.166666665963326</c:v>
                </c:pt>
                <c:pt idx="146">
                  <c:v>24.333333332625141</c:v>
                </c:pt>
                <c:pt idx="147">
                  <c:v>24.499999999286956</c:v>
                </c:pt>
                <c:pt idx="148">
                  <c:v>24.666666665948775</c:v>
                </c:pt>
                <c:pt idx="149">
                  <c:v>24.833333332610589</c:v>
                </c:pt>
                <c:pt idx="150">
                  <c:v>24.999999999272404</c:v>
                </c:pt>
                <c:pt idx="151">
                  <c:v>25.166666665934223</c:v>
                </c:pt>
                <c:pt idx="152">
                  <c:v>25.333333332596037</c:v>
                </c:pt>
                <c:pt idx="153">
                  <c:v>25.499999999257852</c:v>
                </c:pt>
                <c:pt idx="154">
                  <c:v>25.666666665919671</c:v>
                </c:pt>
                <c:pt idx="155">
                  <c:v>25.833333332581486</c:v>
                </c:pt>
                <c:pt idx="156">
                  <c:v>25.9999999992433</c:v>
                </c:pt>
                <c:pt idx="157">
                  <c:v>26.166666665905119</c:v>
                </c:pt>
                <c:pt idx="158">
                  <c:v>26.333333332566934</c:v>
                </c:pt>
                <c:pt idx="159">
                  <c:v>26.499999999228748</c:v>
                </c:pt>
                <c:pt idx="160">
                  <c:v>26.666666665890567</c:v>
                </c:pt>
                <c:pt idx="161">
                  <c:v>26.833333332552382</c:v>
                </c:pt>
                <c:pt idx="162">
                  <c:v>26.999999999214197</c:v>
                </c:pt>
                <c:pt idx="163">
                  <c:v>27.166666665876015</c:v>
                </c:pt>
                <c:pt idx="164">
                  <c:v>27.33333333253783</c:v>
                </c:pt>
                <c:pt idx="165">
                  <c:v>27.499999999199645</c:v>
                </c:pt>
                <c:pt idx="166">
                  <c:v>27.666666665861463</c:v>
                </c:pt>
                <c:pt idx="167">
                  <c:v>27.833333332523278</c:v>
                </c:pt>
                <c:pt idx="168">
                  <c:v>27.999999999185093</c:v>
                </c:pt>
                <c:pt idx="169">
                  <c:v>28.166666665846911</c:v>
                </c:pt>
                <c:pt idx="170">
                  <c:v>28.333333332508726</c:v>
                </c:pt>
                <c:pt idx="171">
                  <c:v>28.499999999170541</c:v>
                </c:pt>
                <c:pt idx="172">
                  <c:v>28.666666665832359</c:v>
                </c:pt>
                <c:pt idx="173">
                  <c:v>28.833333332494174</c:v>
                </c:pt>
                <c:pt idx="174">
                  <c:v>28.999999999155989</c:v>
                </c:pt>
                <c:pt idx="175">
                  <c:v>29.166666665817807</c:v>
                </c:pt>
                <c:pt idx="176">
                  <c:v>29.333333332479622</c:v>
                </c:pt>
                <c:pt idx="177">
                  <c:v>29.499999999141437</c:v>
                </c:pt>
                <c:pt idx="178">
                  <c:v>29.666666665803255</c:v>
                </c:pt>
                <c:pt idx="179">
                  <c:v>29.83333333246507</c:v>
                </c:pt>
                <c:pt idx="180">
                  <c:v>29.999999999126885</c:v>
                </c:pt>
                <c:pt idx="181">
                  <c:v>30.166666665788703</c:v>
                </c:pt>
                <c:pt idx="182">
                  <c:v>30.333333332450518</c:v>
                </c:pt>
                <c:pt idx="183">
                  <c:v>30.499999999112333</c:v>
                </c:pt>
                <c:pt idx="184">
                  <c:v>30.666666665774152</c:v>
                </c:pt>
                <c:pt idx="185">
                  <c:v>30.833333332435966</c:v>
                </c:pt>
                <c:pt idx="186">
                  <c:v>30.999999999097781</c:v>
                </c:pt>
                <c:pt idx="187">
                  <c:v>31.1666666657596</c:v>
                </c:pt>
                <c:pt idx="188">
                  <c:v>31.333333332421414</c:v>
                </c:pt>
                <c:pt idx="189">
                  <c:v>31.499999999083229</c:v>
                </c:pt>
                <c:pt idx="190">
                  <c:v>31.666666665745048</c:v>
                </c:pt>
                <c:pt idx="191">
                  <c:v>31.833333332406863</c:v>
                </c:pt>
                <c:pt idx="192">
                  <c:v>31.999999999068677</c:v>
                </c:pt>
                <c:pt idx="193">
                  <c:v>32.166666665730496</c:v>
                </c:pt>
                <c:pt idx="194">
                  <c:v>32.333333332392314</c:v>
                </c:pt>
                <c:pt idx="195">
                  <c:v>32.499999999054126</c:v>
                </c:pt>
                <c:pt idx="196">
                  <c:v>32.666666665715944</c:v>
                </c:pt>
                <c:pt idx="197">
                  <c:v>32.833333332377762</c:v>
                </c:pt>
                <c:pt idx="198">
                  <c:v>32.999999999039574</c:v>
                </c:pt>
                <c:pt idx="199">
                  <c:v>33.166666665701392</c:v>
                </c:pt>
                <c:pt idx="200">
                  <c:v>33.33333333236321</c:v>
                </c:pt>
                <c:pt idx="201">
                  <c:v>33.499999999025022</c:v>
                </c:pt>
                <c:pt idx="202">
                  <c:v>33.66666666568684</c:v>
                </c:pt>
                <c:pt idx="203">
                  <c:v>33.833333332348658</c:v>
                </c:pt>
                <c:pt idx="204">
                  <c:v>33.99999999901047</c:v>
                </c:pt>
                <c:pt idx="205">
                  <c:v>34.166666665672288</c:v>
                </c:pt>
                <c:pt idx="206">
                  <c:v>34.333333332334107</c:v>
                </c:pt>
                <c:pt idx="207">
                  <c:v>34.499999998995918</c:v>
                </c:pt>
                <c:pt idx="208">
                  <c:v>34.666666665657736</c:v>
                </c:pt>
                <c:pt idx="209">
                  <c:v>34.833333332319555</c:v>
                </c:pt>
                <c:pt idx="210">
                  <c:v>34.999999998981366</c:v>
                </c:pt>
                <c:pt idx="211">
                  <c:v>35.166666665643184</c:v>
                </c:pt>
                <c:pt idx="212">
                  <c:v>35.333333332305003</c:v>
                </c:pt>
                <c:pt idx="213">
                  <c:v>35.499999998966814</c:v>
                </c:pt>
                <c:pt idx="214">
                  <c:v>35.666666665628632</c:v>
                </c:pt>
                <c:pt idx="215">
                  <c:v>35.833333332290451</c:v>
                </c:pt>
                <c:pt idx="216">
                  <c:v>35.999999998952262</c:v>
                </c:pt>
                <c:pt idx="217">
                  <c:v>36.166666665614081</c:v>
                </c:pt>
                <c:pt idx="218">
                  <c:v>36.333333332275899</c:v>
                </c:pt>
                <c:pt idx="219">
                  <c:v>36.49999999893771</c:v>
                </c:pt>
                <c:pt idx="220">
                  <c:v>36.666666665599529</c:v>
                </c:pt>
                <c:pt idx="221">
                  <c:v>36.833333332261347</c:v>
                </c:pt>
                <c:pt idx="222">
                  <c:v>36.999999998923158</c:v>
                </c:pt>
                <c:pt idx="223">
                  <c:v>37.166666665584977</c:v>
                </c:pt>
                <c:pt idx="224">
                  <c:v>37.333333332246795</c:v>
                </c:pt>
                <c:pt idx="225">
                  <c:v>37.499999998908606</c:v>
                </c:pt>
                <c:pt idx="226">
                  <c:v>37.666666665570425</c:v>
                </c:pt>
                <c:pt idx="227">
                  <c:v>37.833333332232243</c:v>
                </c:pt>
                <c:pt idx="228">
                  <c:v>37.999999998894054</c:v>
                </c:pt>
                <c:pt idx="229">
                  <c:v>38.166666665555873</c:v>
                </c:pt>
                <c:pt idx="230">
                  <c:v>38.333333332217691</c:v>
                </c:pt>
                <c:pt idx="231">
                  <c:v>38.499999998879503</c:v>
                </c:pt>
                <c:pt idx="232">
                  <c:v>38.666666665541321</c:v>
                </c:pt>
                <c:pt idx="233">
                  <c:v>38.833333332203139</c:v>
                </c:pt>
                <c:pt idx="234">
                  <c:v>38.999999998864951</c:v>
                </c:pt>
                <c:pt idx="235">
                  <c:v>39.166666665526769</c:v>
                </c:pt>
                <c:pt idx="236">
                  <c:v>39.333333332188587</c:v>
                </c:pt>
                <c:pt idx="237">
                  <c:v>39.499999998850399</c:v>
                </c:pt>
                <c:pt idx="238">
                  <c:v>39.666666665512217</c:v>
                </c:pt>
                <c:pt idx="239">
                  <c:v>39.833333332174035</c:v>
                </c:pt>
                <c:pt idx="240">
                  <c:v>39.999999998835847</c:v>
                </c:pt>
                <c:pt idx="241">
                  <c:v>40.166666665497665</c:v>
                </c:pt>
                <c:pt idx="242">
                  <c:v>40.333333332159484</c:v>
                </c:pt>
                <c:pt idx="243">
                  <c:v>40.499999998821295</c:v>
                </c:pt>
                <c:pt idx="244">
                  <c:v>40.666666665483113</c:v>
                </c:pt>
                <c:pt idx="245">
                  <c:v>40.833333332144932</c:v>
                </c:pt>
                <c:pt idx="246">
                  <c:v>40.999999998806743</c:v>
                </c:pt>
                <c:pt idx="247">
                  <c:v>41.166666665468561</c:v>
                </c:pt>
                <c:pt idx="248">
                  <c:v>41.33333333213038</c:v>
                </c:pt>
                <c:pt idx="249">
                  <c:v>41.499999998792191</c:v>
                </c:pt>
                <c:pt idx="250">
                  <c:v>41.666666665454009</c:v>
                </c:pt>
                <c:pt idx="251">
                  <c:v>41.833333332115828</c:v>
                </c:pt>
                <c:pt idx="252">
                  <c:v>41.999999998777639</c:v>
                </c:pt>
                <c:pt idx="253">
                  <c:v>42.166666665439458</c:v>
                </c:pt>
                <c:pt idx="254">
                  <c:v>42.333333332101276</c:v>
                </c:pt>
                <c:pt idx="255">
                  <c:v>42.499999998763087</c:v>
                </c:pt>
                <c:pt idx="256">
                  <c:v>42.666666665424906</c:v>
                </c:pt>
                <c:pt idx="257">
                  <c:v>42.833333332086724</c:v>
                </c:pt>
                <c:pt idx="258">
                  <c:v>42.999999998748535</c:v>
                </c:pt>
                <c:pt idx="259">
                  <c:v>43.166666665410354</c:v>
                </c:pt>
                <c:pt idx="260">
                  <c:v>43.333333332072172</c:v>
                </c:pt>
                <c:pt idx="261">
                  <c:v>43.499999998733983</c:v>
                </c:pt>
                <c:pt idx="262">
                  <c:v>43.666666665395802</c:v>
                </c:pt>
                <c:pt idx="263">
                  <c:v>43.83333333205762</c:v>
                </c:pt>
                <c:pt idx="264">
                  <c:v>43.999999998719431</c:v>
                </c:pt>
                <c:pt idx="265">
                  <c:v>44.16666666538125</c:v>
                </c:pt>
                <c:pt idx="266">
                  <c:v>44.333333332043068</c:v>
                </c:pt>
                <c:pt idx="267">
                  <c:v>44.49999999870488</c:v>
                </c:pt>
                <c:pt idx="268">
                  <c:v>44.666666665366698</c:v>
                </c:pt>
                <c:pt idx="269">
                  <c:v>44.833333332028516</c:v>
                </c:pt>
                <c:pt idx="270">
                  <c:v>44.999999998690328</c:v>
                </c:pt>
                <c:pt idx="271">
                  <c:v>45.166666665352146</c:v>
                </c:pt>
                <c:pt idx="272">
                  <c:v>45.333333332013964</c:v>
                </c:pt>
                <c:pt idx="273">
                  <c:v>45.499999998675776</c:v>
                </c:pt>
                <c:pt idx="274">
                  <c:v>45.666666665337594</c:v>
                </c:pt>
                <c:pt idx="275">
                  <c:v>45.833333331999413</c:v>
                </c:pt>
                <c:pt idx="276">
                  <c:v>45.999999998661224</c:v>
                </c:pt>
                <c:pt idx="277">
                  <c:v>46.166666665323042</c:v>
                </c:pt>
                <c:pt idx="278">
                  <c:v>46.333333331984861</c:v>
                </c:pt>
                <c:pt idx="279">
                  <c:v>46.499999998646672</c:v>
                </c:pt>
                <c:pt idx="280">
                  <c:v>46.66666666530849</c:v>
                </c:pt>
                <c:pt idx="281">
                  <c:v>46.833333331970309</c:v>
                </c:pt>
                <c:pt idx="282">
                  <c:v>46.99999999863212</c:v>
                </c:pt>
                <c:pt idx="283">
                  <c:v>47.166666665293938</c:v>
                </c:pt>
                <c:pt idx="284">
                  <c:v>47.333333331955757</c:v>
                </c:pt>
                <c:pt idx="285">
                  <c:v>47.499999998617568</c:v>
                </c:pt>
                <c:pt idx="286">
                  <c:v>47.666666665279386</c:v>
                </c:pt>
                <c:pt idx="287">
                  <c:v>47.833333331941205</c:v>
                </c:pt>
                <c:pt idx="288">
                  <c:v>47.999999998603016</c:v>
                </c:pt>
                <c:pt idx="289">
                  <c:v>48.166666665264835</c:v>
                </c:pt>
                <c:pt idx="290">
                  <c:v>48.333333331926653</c:v>
                </c:pt>
                <c:pt idx="291">
                  <c:v>48.499999998588464</c:v>
                </c:pt>
                <c:pt idx="292">
                  <c:v>48.666666665250283</c:v>
                </c:pt>
                <c:pt idx="293">
                  <c:v>48.833333331912101</c:v>
                </c:pt>
                <c:pt idx="294">
                  <c:v>48.999999998573912</c:v>
                </c:pt>
                <c:pt idx="295">
                  <c:v>49.166666665235731</c:v>
                </c:pt>
                <c:pt idx="296">
                  <c:v>49.333333331897549</c:v>
                </c:pt>
                <c:pt idx="297">
                  <c:v>49.49999999855936</c:v>
                </c:pt>
                <c:pt idx="298">
                  <c:v>49.666666665221179</c:v>
                </c:pt>
                <c:pt idx="299">
                  <c:v>49.833333331882997</c:v>
                </c:pt>
                <c:pt idx="300">
                  <c:v>49.999999998544808</c:v>
                </c:pt>
              </c:numCache>
            </c:numRef>
          </c:xVal>
          <c:yVal>
            <c:numRef>
              <c:f>Evaluation!$W$6:$W$306</c:f>
              <c:numCache>
                <c:formatCode>0.0000</c:formatCode>
                <c:ptCount val="301"/>
                <c:pt idx="0">
                  <c:v>0</c:v>
                </c:pt>
                <c:pt idx="1">
                  <c:v>1.1356915408639271E-3</c:v>
                </c:pt>
                <c:pt idx="2">
                  <c:v>2.2713830817486708E-3</c:v>
                </c:pt>
                <c:pt idx="3">
                  <c:v>3.4070746226334148E-3</c:v>
                </c:pt>
                <c:pt idx="4">
                  <c:v>4.5427581698915644E-3</c:v>
                </c:pt>
                <c:pt idx="5">
                  <c:v>5.6784577043820861E-3</c:v>
                </c:pt>
                <c:pt idx="6">
                  <c:v>6.8141332580552742E-3</c:v>
                </c:pt>
                <c:pt idx="7">
                  <c:v>7.9498327925249784E-3</c:v>
                </c:pt>
                <c:pt idx="8">
                  <c:v>9.0855163398039455E-3</c:v>
                </c:pt>
                <c:pt idx="9">
                  <c:v>1.0221191893477134E-2</c:v>
                </c:pt>
                <c:pt idx="10">
                  <c:v>1.1356891427946839E-2</c:v>
                </c:pt>
                <c:pt idx="11">
                  <c:v>1.2492574975225806E-2</c:v>
                </c:pt>
                <c:pt idx="12">
                  <c:v>1.3628258522463138E-2</c:v>
                </c:pt>
                <c:pt idx="13">
                  <c:v>1.4569841334252029E-2</c:v>
                </c:pt>
                <c:pt idx="14">
                  <c:v>1.4270760574085604E-2</c:v>
                </c:pt>
                <c:pt idx="15">
                  <c:v>1.3971647839496067E-2</c:v>
                </c:pt>
                <c:pt idx="16">
                  <c:v>1.3672559085682229E-2</c:v>
                </c:pt>
                <c:pt idx="17">
                  <c:v>1.337346233830425E-2</c:v>
                </c:pt>
                <c:pt idx="18">
                  <c:v>1.3074373584532046E-2</c:v>
                </c:pt>
                <c:pt idx="19">
                  <c:v>1.2775276837154065E-2</c:v>
                </c:pt>
                <c:pt idx="20">
                  <c:v>1.2476180089734451E-2</c:v>
                </c:pt>
                <c:pt idx="21">
                  <c:v>1.2177075348750692E-2</c:v>
                </c:pt>
                <c:pt idx="22">
                  <c:v>1.1877986595020122E-2</c:v>
                </c:pt>
                <c:pt idx="23">
                  <c:v>1.1578889847600507E-2</c:v>
                </c:pt>
                <c:pt idx="24">
                  <c:v>1.1279793100222526E-2</c:v>
                </c:pt>
                <c:pt idx="25">
                  <c:v>5.1898725320476662E-3</c:v>
                </c:pt>
                <c:pt idx="26">
                  <c:v>-1.0789928950630634E-3</c:v>
                </c:pt>
                <c:pt idx="27">
                  <c:v>-7.3478583222570601E-3</c:v>
                </c:pt>
                <c:pt idx="28">
                  <c:v>-1.3616715755762013E-2</c:v>
                </c:pt>
                <c:pt idx="29">
                  <c:v>-1.9885581182872744E-2</c:v>
                </c:pt>
                <c:pt idx="30">
                  <c:v>-2.6154438616377694E-2</c:v>
                </c:pt>
                <c:pt idx="31">
                  <c:v>-3.2423288056276874E-2</c:v>
                </c:pt>
                <c:pt idx="32">
                  <c:v>-3.8692161477035011E-2</c:v>
                </c:pt>
                <c:pt idx="33">
                  <c:v>-4.4961018910539961E-2</c:v>
                </c:pt>
                <c:pt idx="34">
                  <c:v>-2.9735821806616828E-2</c:v>
                </c:pt>
                <c:pt idx="35">
                  <c:v>-8.2399447270298295E-3</c:v>
                </c:pt>
                <c:pt idx="36">
                  <c:v>1.325592435897221E-2</c:v>
                </c:pt>
                <c:pt idx="37">
                  <c:v>3.4751793444932615E-2</c:v>
                </c:pt>
                <c:pt idx="38">
                  <c:v>5.6247686511731169E-2</c:v>
                </c:pt>
                <c:pt idx="39">
                  <c:v>7.7743555597712385E-2</c:v>
                </c:pt>
                <c:pt idx="40">
                  <c:v>9.9239424683735242E-2</c:v>
                </c:pt>
                <c:pt idx="41">
                  <c:v>9.8179232749377676E-2</c:v>
                </c:pt>
                <c:pt idx="42">
                  <c:v>7.6963547539546429E-2</c:v>
                </c:pt>
                <c:pt idx="43">
                  <c:v>5.5747854336026123E-2</c:v>
                </c:pt>
                <c:pt idx="44">
                  <c:v>3.4532161132589098E-2</c:v>
                </c:pt>
                <c:pt idx="45">
                  <c:v>1.3316475922674577E-2</c:v>
                </c:pt>
                <c:pt idx="46">
                  <c:v>-7.4464194814107846E-3</c:v>
                </c:pt>
                <c:pt idx="47">
                  <c:v>-1.9629418092375695E-3</c:v>
                </c:pt>
                <c:pt idx="48">
                  <c:v>3.5205438567079569E-3</c:v>
                </c:pt>
                <c:pt idx="49">
                  <c:v>9.0040135352753951E-3</c:v>
                </c:pt>
                <c:pt idx="50">
                  <c:v>1.4487499201137654E-2</c:v>
                </c:pt>
                <c:pt idx="51">
                  <c:v>9.7471542842681058E-2</c:v>
                </c:pt>
                <c:pt idx="52">
                  <c:v>0.18566756932976952</c:v>
                </c:pt>
                <c:pt idx="53">
                  <c:v>0.2738636038106303</c:v>
                </c:pt>
                <c:pt idx="54">
                  <c:v>0.37027138957086025</c:v>
                </c:pt>
                <c:pt idx="55">
                  <c:v>0.46688793633957631</c:v>
                </c:pt>
                <c:pt idx="56">
                  <c:v>0.69034921783128422</c:v>
                </c:pt>
                <c:pt idx="57">
                  <c:v>0.89306457434413911</c:v>
                </c:pt>
                <c:pt idx="58">
                  <c:v>0.93282872631778413</c:v>
                </c:pt>
                <c:pt idx="59">
                  <c:v>0.59354294282960496</c:v>
                </c:pt>
                <c:pt idx="60">
                  <c:v>0.22271555800905488</c:v>
                </c:pt>
                <c:pt idx="61">
                  <c:v>-0.78250398165659352</c:v>
                </c:pt>
                <c:pt idx="62">
                  <c:v>-0.98358313499645067</c:v>
                </c:pt>
                <c:pt idx="63">
                  <c:v>-0.85845505109450193</c:v>
                </c:pt>
                <c:pt idx="64">
                  <c:v>-0.68580395766290925</c:v>
                </c:pt>
                <c:pt idx="65">
                  <c:v>-0.49326438936306899</c:v>
                </c:pt>
                <c:pt idx="66">
                  <c:v>-0.34663966099533694</c:v>
                </c:pt>
                <c:pt idx="67">
                  <c:v>-0.25733239540747888</c:v>
                </c:pt>
                <c:pt idx="68">
                  <c:v>-0.16917726420754825</c:v>
                </c:pt>
                <c:pt idx="69">
                  <c:v>-0.12883869971633535</c:v>
                </c:pt>
                <c:pt idx="70">
                  <c:v>-8.8500135225372215E-2</c:v>
                </c:pt>
                <c:pt idx="71">
                  <c:v>-4.8161602708665679E-2</c:v>
                </c:pt>
                <c:pt idx="72">
                  <c:v>-3.5146525691833012E-2</c:v>
                </c:pt>
                <c:pt idx="73">
                  <c:v>-3.6855318798979672E-2</c:v>
                </c:pt>
                <c:pt idx="74">
                  <c:v>-3.8564111906043065E-2</c:v>
                </c:pt>
                <c:pt idx="75">
                  <c:v>-4.0272905013189725E-2</c:v>
                </c:pt>
                <c:pt idx="76">
                  <c:v>-4.1655191298747243E-2</c:v>
                </c:pt>
                <c:pt idx="77">
                  <c:v>-3.3218132246765938E-2</c:v>
                </c:pt>
                <c:pt idx="78">
                  <c:v>-2.4781073194951174E-2</c:v>
                </c:pt>
                <c:pt idx="79">
                  <c:v>-1.634398216863003E-2</c:v>
                </c:pt>
                <c:pt idx="80">
                  <c:v>-7.906907129520439E-3</c:v>
                </c:pt>
                <c:pt idx="81">
                  <c:v>5.3016790958914978E-4</c:v>
                </c:pt>
                <c:pt idx="82">
                  <c:v>8.9672429486987396E-3</c:v>
                </c:pt>
                <c:pt idx="83">
                  <c:v>1.066673149872035E-2</c:v>
                </c:pt>
                <c:pt idx="84">
                  <c:v>1.147729911177383E-2</c:v>
                </c:pt>
                <c:pt idx="85">
                  <c:v>1.2287882712122132E-2</c:v>
                </c:pt>
                <c:pt idx="86">
                  <c:v>1.3098466312303899E-2</c:v>
                </c:pt>
                <c:pt idx="87">
                  <c:v>1.3909033925357379E-2</c:v>
                </c:pt>
                <c:pt idx="88">
                  <c:v>1.4719617525705679E-2</c:v>
                </c:pt>
                <c:pt idx="89">
                  <c:v>1.5530185138759159E-2</c:v>
                </c:pt>
                <c:pt idx="90">
                  <c:v>1.623303092043786E-2</c:v>
                </c:pt>
                <c:pt idx="91">
                  <c:v>7.9872268802898324E-3</c:v>
                </c:pt>
                <c:pt idx="92">
                  <c:v>-2.5856117248010732E-4</c:v>
                </c:pt>
                <c:pt idx="93">
                  <c:v>-8.5043492253333141E-3</c:v>
                </c:pt>
                <c:pt idx="94">
                  <c:v>-1.6750121290974966E-2</c:v>
                </c:pt>
                <c:pt idx="95">
                  <c:v>-2.4995909343828171E-2</c:v>
                </c:pt>
                <c:pt idx="96">
                  <c:v>-3.3241713383809664E-2</c:v>
                </c:pt>
                <c:pt idx="97">
                  <c:v>-4.1487485449534581E-2</c:v>
                </c:pt>
                <c:pt idx="98">
                  <c:v>-4.9733257515134605E-2</c:v>
                </c:pt>
                <c:pt idx="99">
                  <c:v>-5.7979045567987809E-2</c:v>
                </c:pt>
                <c:pt idx="100">
                  <c:v>-5.8293498032064434E-2</c:v>
                </c:pt>
                <c:pt idx="101">
                  <c:v>-4.8896710683262505E-2</c:v>
                </c:pt>
                <c:pt idx="102">
                  <c:v>-3.9499987283327612E-2</c:v>
                </c:pt>
                <c:pt idx="103">
                  <c:v>-3.0103231908969613E-2</c:v>
                </c:pt>
                <c:pt idx="104">
                  <c:v>-2.0706492521823168E-2</c:v>
                </c:pt>
                <c:pt idx="105">
                  <c:v>-1.1309769121888278E-2</c:v>
                </c:pt>
                <c:pt idx="106">
                  <c:v>-1.9130137475198686E-3</c:v>
                </c:pt>
                <c:pt idx="107">
                  <c:v>7.4837256396265766E-3</c:v>
                </c:pt>
                <c:pt idx="108">
                  <c:v>1.6880481013984577E-2</c:v>
                </c:pt>
                <c:pt idx="109">
                  <c:v>2.6277204413929875E-2</c:v>
                </c:pt>
                <c:pt idx="110">
                  <c:v>3.5673959788287878E-2</c:v>
                </c:pt>
                <c:pt idx="111">
                  <c:v>3.7744815275480521E-2</c:v>
                </c:pt>
                <c:pt idx="112">
                  <c:v>3.403325621519588E-2</c:v>
                </c:pt>
                <c:pt idx="113">
                  <c:v>3.0321665180446499E-2</c:v>
                </c:pt>
                <c:pt idx="114">
                  <c:v>2.6610074145738755E-2</c:v>
                </c:pt>
                <c:pt idx="115">
                  <c:v>2.2898499098200929E-2</c:v>
                </c:pt>
                <c:pt idx="116">
                  <c:v>1.9186924050704737E-2</c:v>
                </c:pt>
                <c:pt idx="117">
                  <c:v>1.5475349003166911E-2</c:v>
                </c:pt>
                <c:pt idx="118">
                  <c:v>1.1763789942840641E-2</c:v>
                </c:pt>
                <c:pt idx="119">
                  <c:v>8.0521829209213389E-3</c:v>
                </c:pt>
                <c:pt idx="120">
                  <c:v>4.3406238605950683E-3</c:v>
                </c:pt>
                <c:pt idx="121">
                  <c:v>6.2901683863413244E-4</c:v>
                </c:pt>
                <c:pt idx="122">
                  <c:v>-3.0737812297183275E-3</c:v>
                </c:pt>
                <c:pt idx="123">
                  <c:v>-6.448281908787476E-3</c:v>
                </c:pt>
                <c:pt idx="124">
                  <c:v>-9.8227825878566231E-3</c:v>
                </c:pt>
                <c:pt idx="125">
                  <c:v>-1.3197315241432148E-2</c:v>
                </c:pt>
                <c:pt idx="126">
                  <c:v>-1.6571815920501297E-2</c:v>
                </c:pt>
                <c:pt idx="127">
                  <c:v>-1.9946348573993553E-2</c:v>
                </c:pt>
                <c:pt idx="128">
                  <c:v>-2.3320849253062704E-2</c:v>
                </c:pt>
                <c:pt idx="129">
                  <c:v>-2.6695365919343406E-2</c:v>
                </c:pt>
                <c:pt idx="130">
                  <c:v>-3.0069882585665741E-2</c:v>
                </c:pt>
                <c:pt idx="131">
                  <c:v>-3.3444399251946443E-2</c:v>
                </c:pt>
                <c:pt idx="132">
                  <c:v>-3.6818915918268781E-2</c:v>
                </c:pt>
                <c:pt idx="133">
                  <c:v>-4.0193416597358748E-2</c:v>
                </c:pt>
                <c:pt idx="134">
                  <c:v>-3.1889099362992029E-2</c:v>
                </c:pt>
                <c:pt idx="135">
                  <c:v>-1.8586188589269886E-2</c:v>
                </c:pt>
                <c:pt idx="136">
                  <c:v>-5.2833097899656466E-3</c:v>
                </c:pt>
                <c:pt idx="137">
                  <c:v>8.0195849965449435E-3</c:v>
                </c:pt>
                <c:pt idx="138">
                  <c:v>2.1322511757473437E-2</c:v>
                </c:pt>
                <c:pt idx="139">
                  <c:v>3.4625422531205992E-2</c:v>
                </c:pt>
                <c:pt idx="140">
                  <c:v>4.792831731771658E-2</c:v>
                </c:pt>
                <c:pt idx="141">
                  <c:v>6.1231212104237577E-2</c:v>
                </c:pt>
                <c:pt idx="142">
                  <c:v>7.4534122877949319E-2</c:v>
                </c:pt>
                <c:pt idx="143">
                  <c:v>8.7837017664449499E-2</c:v>
                </c:pt>
                <c:pt idx="144">
                  <c:v>8.9028976196402293E-2</c:v>
                </c:pt>
                <c:pt idx="145">
                  <c:v>6.7895113535309887E-2</c:v>
                </c:pt>
                <c:pt idx="146">
                  <c:v>4.6761202912499536E-2</c:v>
                </c:pt>
                <c:pt idx="147">
                  <c:v>2.5627324264195565E-2</c:v>
                </c:pt>
                <c:pt idx="148">
                  <c:v>4.4934456158083249E-3</c:v>
                </c:pt>
                <c:pt idx="149">
                  <c:v>-1.6640433032495645E-2</c:v>
                </c:pt>
                <c:pt idx="150">
                  <c:v>-3.7774295693671328E-2</c:v>
                </c:pt>
                <c:pt idx="151">
                  <c:v>-5.8908190329186857E-2</c:v>
                </c:pt>
                <c:pt idx="152">
                  <c:v>-8.0042068977490832E-2</c:v>
                </c:pt>
                <c:pt idx="153">
                  <c:v>-7.8235306238017985E-2</c:v>
                </c:pt>
                <c:pt idx="154">
                  <c:v>-5.2095144201475693E-2</c:v>
                </c:pt>
                <c:pt idx="155">
                  <c:v>-2.5954950190593563E-2</c:v>
                </c:pt>
                <c:pt idx="156">
                  <c:v>1.8522783307701253E-4</c:v>
                </c:pt>
                <c:pt idx="157">
                  <c:v>2.6325405856747589E-2</c:v>
                </c:pt>
                <c:pt idx="158">
                  <c:v>5.2465583880418165E-2</c:v>
                </c:pt>
                <c:pt idx="159">
                  <c:v>7.8605761904088745E-2</c:v>
                </c:pt>
                <c:pt idx="160">
                  <c:v>9.0401590218885733E-2</c:v>
                </c:pt>
                <c:pt idx="161">
                  <c:v>6.6842851257966893E-2</c:v>
                </c:pt>
                <c:pt idx="162">
                  <c:v>4.3284080322541676E-2</c:v>
                </c:pt>
                <c:pt idx="163">
                  <c:v>1.972530938703319E-2</c:v>
                </c:pt>
                <c:pt idx="164">
                  <c:v>-3.8334295740521836E-3</c:v>
                </c:pt>
                <c:pt idx="165">
                  <c:v>-2.7392184522265845E-2</c:v>
                </c:pt>
                <c:pt idx="166">
                  <c:v>-2.7207228471785271E-2</c:v>
                </c:pt>
                <c:pt idx="167">
                  <c:v>-1.6572311524059503E-2</c:v>
                </c:pt>
                <c:pt idx="168">
                  <c:v>-5.9373626019106271E-3</c:v>
                </c:pt>
                <c:pt idx="169">
                  <c:v>4.6975223713087624E-3</c:v>
                </c:pt>
                <c:pt idx="170">
                  <c:v>6.0303921859662185E-2</c:v>
                </c:pt>
                <c:pt idx="171">
                  <c:v>0.16321844676764746</c:v>
                </c:pt>
                <c:pt idx="172">
                  <c:v>0.2661329716757993</c:v>
                </c:pt>
                <c:pt idx="173">
                  <c:v>0.36037179642500405</c:v>
                </c:pt>
                <c:pt idx="174">
                  <c:v>0.4415697887593944</c:v>
                </c:pt>
                <c:pt idx="175">
                  <c:v>0.53734488861610485</c:v>
                </c:pt>
                <c:pt idx="176">
                  <c:v>0.70376853149261986</c:v>
                </c:pt>
                <c:pt idx="177">
                  <c:v>0.88539892223017402</c:v>
                </c:pt>
                <c:pt idx="178">
                  <c:v>0.89054952217687011</c:v>
                </c:pt>
                <c:pt idx="179">
                  <c:v>0.62336212995066753</c:v>
                </c:pt>
                <c:pt idx="180">
                  <c:v>7.1463283295073857E-2</c:v>
                </c:pt>
                <c:pt idx="181">
                  <c:v>-0.70885470297674902</c:v>
                </c:pt>
                <c:pt idx="182">
                  <c:v>-1.0281218437201993</c:v>
                </c:pt>
                <c:pt idx="183">
                  <c:v>-0.92409424118169936</c:v>
                </c:pt>
                <c:pt idx="184">
                  <c:v>-0.813277701231096</c:v>
                </c:pt>
                <c:pt idx="185">
                  <c:v>-0.64693888649909215</c:v>
                </c:pt>
                <c:pt idx="186">
                  <c:v>-0.33530311329409396</c:v>
                </c:pt>
                <c:pt idx="187">
                  <c:v>-0.10430562014710965</c:v>
                </c:pt>
                <c:pt idx="188">
                  <c:v>-0.12076953837682579</c:v>
                </c:pt>
                <c:pt idx="189">
                  <c:v>-0.13723345660654193</c:v>
                </c:pt>
                <c:pt idx="190">
                  <c:v>-0.14177561525604182</c:v>
                </c:pt>
                <c:pt idx="191">
                  <c:v>-0.11694785940326657</c:v>
                </c:pt>
                <c:pt idx="192">
                  <c:v>-9.2120071576234766E-2</c:v>
                </c:pt>
                <c:pt idx="193">
                  <c:v>-6.729218782585035E-2</c:v>
                </c:pt>
                <c:pt idx="194">
                  <c:v>-4.4051258643393071E-2</c:v>
                </c:pt>
                <c:pt idx="195">
                  <c:v>-3.1757956266637036E-2</c:v>
                </c:pt>
                <c:pt idx="196">
                  <c:v>-1.9464749813108698E-2</c:v>
                </c:pt>
                <c:pt idx="197">
                  <c:v>-7.1715433595803645E-3</c:v>
                </c:pt>
                <c:pt idx="198">
                  <c:v>5.1216950683294479E-3</c:v>
                </c:pt>
                <c:pt idx="199">
                  <c:v>1.7414901521899416E-2</c:v>
                </c:pt>
                <c:pt idx="200">
                  <c:v>2.5992392240055531E-2</c:v>
                </c:pt>
                <c:pt idx="201">
                  <c:v>2.7304270845882897E-2</c:v>
                </c:pt>
                <c:pt idx="202">
                  <c:v>2.8616149451710263E-2</c:v>
                </c:pt>
                <c:pt idx="203">
                  <c:v>2.9927996083114517E-2</c:v>
                </c:pt>
                <c:pt idx="204">
                  <c:v>3.1239906663364993E-2</c:v>
                </c:pt>
                <c:pt idx="205">
                  <c:v>3.2551785269150722E-2</c:v>
                </c:pt>
                <c:pt idx="206">
                  <c:v>3.3863663875019726E-2</c:v>
                </c:pt>
                <c:pt idx="207">
                  <c:v>3.5175574455311831E-2</c:v>
                </c:pt>
                <c:pt idx="208">
                  <c:v>3.1585518202762446E-2</c:v>
                </c:pt>
                <c:pt idx="209">
                  <c:v>2.1381520555291966E-2</c:v>
                </c:pt>
                <c:pt idx="210">
                  <c:v>1.1177522907821492E-2</c:v>
                </c:pt>
                <c:pt idx="211">
                  <c:v>9.7342933716495247E-4</c:v>
                </c:pt>
                <c:pt idx="212">
                  <c:v>-9.2305363358824132E-3</c:v>
                </c:pt>
                <c:pt idx="213">
                  <c:v>-1.9434597932115844E-2</c:v>
                </c:pt>
                <c:pt idx="214">
                  <c:v>-2.963859557950305E-2</c:v>
                </c:pt>
                <c:pt idx="215">
                  <c:v>-3.984268915024286E-2</c:v>
                </c:pt>
                <c:pt idx="216">
                  <c:v>-5.0046686797630066E-2</c:v>
                </c:pt>
                <c:pt idx="217">
                  <c:v>-6.0250716419523655E-2</c:v>
                </c:pt>
                <c:pt idx="218">
                  <c:v>-7.0454778015798719E-2</c:v>
                </c:pt>
                <c:pt idx="219">
                  <c:v>-6.5539733644030068E-2</c:v>
                </c:pt>
                <c:pt idx="220">
                  <c:v>-5.788764667948585E-2</c:v>
                </c:pt>
                <c:pt idx="221">
                  <c:v>-5.0235559714983266E-2</c:v>
                </c:pt>
                <c:pt idx="222">
                  <c:v>-4.2583472750480682E-2</c:v>
                </c:pt>
                <c:pt idx="223">
                  <c:v>-3.493141776038039E-2</c:v>
                </c:pt>
                <c:pt idx="224">
                  <c:v>-2.7279330795862197E-2</c:v>
                </c:pt>
                <c:pt idx="225">
                  <c:v>-1.9627275805764507E-2</c:v>
                </c:pt>
                <c:pt idx="226">
                  <c:v>-1.1975156866825801E-2</c:v>
                </c:pt>
                <c:pt idx="227">
                  <c:v>-4.3230699023082547E-3</c:v>
                </c:pt>
                <c:pt idx="228">
                  <c:v>3.329017062208642E-3</c:v>
                </c:pt>
                <c:pt idx="229">
                  <c:v>1.0981104026725863E-2</c:v>
                </c:pt>
                <c:pt idx="230">
                  <c:v>1.8633159016818675E-2</c:v>
                </c:pt>
                <c:pt idx="231">
                  <c:v>2.628530993018309E-2</c:v>
                </c:pt>
                <c:pt idx="232">
                  <c:v>3.3324639050197842E-2</c:v>
                </c:pt>
                <c:pt idx="233">
                  <c:v>3.0364766702798963E-2</c:v>
                </c:pt>
                <c:pt idx="234">
                  <c:v>2.7404894355431308E-2</c:v>
                </c:pt>
                <c:pt idx="235">
                  <c:v>2.4445022008022021E-2</c:v>
                </c:pt>
                <c:pt idx="236">
                  <c:v>2.1485181635056659E-2</c:v>
                </c:pt>
                <c:pt idx="237">
                  <c:v>1.8525309287668188E-2</c:v>
                </c:pt>
                <c:pt idx="238">
                  <c:v>1.5565468914702826E-2</c:v>
                </c:pt>
                <c:pt idx="239">
                  <c:v>1.2605596567314355E-2</c:v>
                </c:pt>
                <c:pt idx="240">
                  <c:v>9.6457242199258844E-3</c:v>
                </c:pt>
                <c:pt idx="241">
                  <c:v>6.6859158213419994E-3</c:v>
                </c:pt>
                <c:pt idx="242">
                  <c:v>3.7260114995720513E-3</c:v>
                </c:pt>
                <c:pt idx="243">
                  <c:v>7.6613915218358007E-4</c:v>
                </c:pt>
                <c:pt idx="244">
                  <c:v>-2.193669246358671E-3</c:v>
                </c:pt>
                <c:pt idx="245">
                  <c:v>-5.1535415937887753E-3</c:v>
                </c:pt>
                <c:pt idx="246">
                  <c:v>-8.1134459156003563E-3</c:v>
                </c:pt>
                <c:pt idx="247">
                  <c:v>-1.1073254314142609E-2</c:v>
                </c:pt>
                <c:pt idx="248">
                  <c:v>-1.4033158635954189E-2</c:v>
                </c:pt>
                <c:pt idx="249">
                  <c:v>-1.6992999008919551E-2</c:v>
                </c:pt>
                <c:pt idx="250">
                  <c:v>-1.7952263676646714E-2</c:v>
                </c:pt>
                <c:pt idx="251">
                  <c:v>-1.6848282769902263E-2</c:v>
                </c:pt>
                <c:pt idx="252">
                  <c:v>-1.5744301863157811E-2</c:v>
                </c:pt>
                <c:pt idx="253">
                  <c:v>-1.4640320956413362E-2</c:v>
                </c:pt>
                <c:pt idx="254">
                  <c:v>-1.3536308075224985E-2</c:v>
                </c:pt>
                <c:pt idx="255">
                  <c:v>-1.2432327168459717E-2</c:v>
                </c:pt>
                <c:pt idx="256">
                  <c:v>-1.1328314287292156E-2</c:v>
                </c:pt>
                <c:pt idx="257">
                  <c:v>-1.0224301406103779E-2</c:v>
                </c:pt>
                <c:pt idx="258">
                  <c:v>-9.1203524737824369E-3</c:v>
                </c:pt>
                <c:pt idx="259">
                  <c:v>-8.016339592604468E-3</c:v>
                </c:pt>
                <c:pt idx="260">
                  <c:v>-6.9123267114160909E-3</c:v>
                </c:pt>
                <c:pt idx="261">
                  <c:v>-5.8083777790843422E-3</c:v>
                </c:pt>
                <c:pt idx="262">
                  <c:v>-4.7043968723294834E-3</c:v>
                </c:pt>
                <c:pt idx="263">
                  <c:v>-3.6003520167284041E-3</c:v>
                </c:pt>
                <c:pt idx="264">
                  <c:v>-2.4963711099735449E-3</c:v>
                </c:pt>
                <c:pt idx="265">
                  <c:v>-1.3923902032186859E-3</c:v>
                </c:pt>
                <c:pt idx="266">
                  <c:v>-2.8840929646382679E-4</c:v>
                </c:pt>
                <c:pt idx="267">
                  <c:v>8.1557161029623636E-4</c:v>
                </c:pt>
                <c:pt idx="268">
                  <c:v>1.9195844914742055E-3</c:v>
                </c:pt>
                <c:pt idx="269">
                  <c:v>3.0235973726573787E-3</c:v>
                </c:pt>
                <c:pt idx="270">
                  <c:v>4.1275782794018296E-3</c:v>
                </c:pt>
                <c:pt idx="271">
                  <c:v>5.2315272117439866E-3</c:v>
                </c:pt>
                <c:pt idx="272">
                  <c:v>5.8803522055052562E-3</c:v>
                </c:pt>
                <c:pt idx="273">
                  <c:v>5.6703441945178887E-3</c:v>
                </c:pt>
                <c:pt idx="274">
                  <c:v>5.4604001323767422E-3</c:v>
                </c:pt>
                <c:pt idx="275">
                  <c:v>5.2503921213789663E-3</c:v>
                </c:pt>
                <c:pt idx="276">
                  <c:v>5.0403201615349703E-3</c:v>
                </c:pt>
                <c:pt idx="277">
                  <c:v>4.8303441249707138E-3</c:v>
                </c:pt>
                <c:pt idx="278">
                  <c:v>4.6202721651267178E-3</c:v>
                </c:pt>
                <c:pt idx="279">
                  <c:v>4.4102641541289419E-3</c:v>
                </c:pt>
                <c:pt idx="280">
                  <c:v>4.2002561431207586E-3</c:v>
                </c:pt>
                <c:pt idx="281">
                  <c:v>3.9902801065773178E-3</c:v>
                </c:pt>
                <c:pt idx="282">
                  <c:v>3.7802720955899508E-3</c:v>
                </c:pt>
                <c:pt idx="283">
                  <c:v>3.5702321101586565E-3</c:v>
                </c:pt>
                <c:pt idx="284">
                  <c:v>3.3602240991504728E-3</c:v>
                </c:pt>
                <c:pt idx="285">
                  <c:v>3.1502480625862157E-3</c:v>
                </c:pt>
                <c:pt idx="286">
                  <c:v>2.9402400515988482E-3</c:v>
                </c:pt>
                <c:pt idx="287">
                  <c:v>2.7301680917444443E-3</c:v>
                </c:pt>
                <c:pt idx="288">
                  <c:v>2.5201600807778935E-3</c:v>
                </c:pt>
                <c:pt idx="289">
                  <c:v>2.3101840441928198E-3</c:v>
                </c:pt>
                <c:pt idx="290">
                  <c:v>2.1001440587823427E-3</c:v>
                </c:pt>
                <c:pt idx="291">
                  <c:v>1.8901040733718651E-3</c:v>
                </c:pt>
                <c:pt idx="292">
                  <c:v>1.6801280368076081E-3</c:v>
                </c:pt>
                <c:pt idx="293">
                  <c:v>1.4701200257994241E-3</c:v>
                </c:pt>
                <c:pt idx="294">
                  <c:v>1.260112014812057E-3</c:v>
                </c:pt>
                <c:pt idx="295">
                  <c:v>1.0500400549784694E-3</c:v>
                </c:pt>
                <c:pt idx="296">
                  <c:v>8.4006401839339571E-4</c:v>
                </c:pt>
                <c:pt idx="297">
                  <c:v>6.3008798180832191E-4</c:v>
                </c:pt>
                <c:pt idx="298">
                  <c:v>4.2001602197473442E-4</c:v>
                </c:pt>
                <c:pt idx="299">
                  <c:v>2.1003998543129405E-4</c:v>
                </c:pt>
                <c:pt idx="300">
                  <c:v>0</c:v>
                </c:pt>
              </c:numCache>
            </c:numRef>
          </c:yVal>
          <c:smooth val="1"/>
          <c:extLst>
            <c:ext xmlns:c16="http://schemas.microsoft.com/office/drawing/2014/chart" uri="{C3380CC4-5D6E-409C-BE32-E72D297353CC}">
              <c16:uniqueId val="{00000001-FD10-4265-B871-C25570BB45C6}"/>
            </c:ext>
          </c:extLst>
        </c:ser>
        <c:dLbls>
          <c:showLegendKey val="0"/>
          <c:showVal val="0"/>
          <c:showCatName val="0"/>
          <c:showSerName val="0"/>
          <c:showPercent val="0"/>
          <c:showBubbleSize val="0"/>
        </c:dLbls>
        <c:axId val="156920064"/>
        <c:axId val="156930432"/>
      </c:scatterChart>
      <c:valAx>
        <c:axId val="156920064"/>
        <c:scaling>
          <c:orientation val="minMax"/>
        </c:scaling>
        <c:delete val="0"/>
        <c:axPos val="b"/>
        <c:majorGridlines/>
        <c:title>
          <c:tx>
            <c:rich>
              <a:bodyPr/>
              <a:lstStyle/>
              <a:p>
                <a:pPr>
                  <a:defRPr sz="1000" b="1" i="0" u="none" strike="noStrike" baseline="0">
                    <a:solidFill>
                      <a:srgbClr val="000000"/>
                    </a:solidFill>
                    <a:latin typeface="Arial"/>
                    <a:ea typeface="Arial"/>
                    <a:cs typeface="Arial"/>
                  </a:defRPr>
                </a:pPr>
                <a:r>
                  <a:rPr lang="pt-BR"/>
                  <a:t>Volume (mL)</a:t>
                </a:r>
              </a:p>
            </c:rich>
          </c:tx>
          <c:layout>
            <c:manualLayout>
              <c:xMode val="edge"/>
              <c:yMode val="edge"/>
              <c:x val="0.46712966871357808"/>
              <c:y val="0.94387828002903273"/>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en-US"/>
          </a:p>
        </c:txPr>
        <c:crossAx val="156930432"/>
        <c:crosses val="autoZero"/>
        <c:crossBetween val="midCat"/>
      </c:valAx>
      <c:valAx>
        <c:axId val="156930432"/>
        <c:scaling>
          <c:orientation val="minMax"/>
        </c:scaling>
        <c:delete val="0"/>
        <c:axPos val="l"/>
        <c:majorGridlines>
          <c:spPr>
            <a:ln w="3175">
              <a:solidFill>
                <a:srgbClr val="000000"/>
              </a:solidFill>
              <a:prstDash val="solid"/>
            </a:ln>
          </c:spPr>
        </c:majorGridlines>
        <c:title>
          <c:tx>
            <c:rich>
              <a:bodyPr/>
              <a:lstStyle/>
              <a:p>
                <a:pPr>
                  <a:defRPr sz="1075" b="1" i="0" u="none" strike="noStrike" baseline="0">
                    <a:solidFill>
                      <a:srgbClr val="000000"/>
                    </a:solidFill>
                    <a:latin typeface="Arial"/>
                    <a:ea typeface="Arial"/>
                    <a:cs typeface="Arial"/>
                  </a:defRPr>
                </a:pPr>
                <a:r>
                  <a:rPr lang="pt-BR"/>
                  <a:t>dpH/dV</a:t>
                </a:r>
              </a:p>
            </c:rich>
          </c:tx>
          <c:layout>
            <c:manualLayout>
              <c:xMode val="edge"/>
              <c:yMode val="edge"/>
              <c:x val="1.0062977664981961E-2"/>
              <c:y val="0.45803488849608076"/>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en-US"/>
          </a:p>
        </c:txPr>
        <c:crossAx val="156920064"/>
        <c:crosses val="autoZero"/>
        <c:crossBetween val="midCat"/>
      </c:valAx>
      <c:spPr>
        <a:noFill/>
        <a:ln w="12700">
          <a:solidFill>
            <a:srgbClr val="808080"/>
          </a:solidFill>
          <a:prstDash val="solid"/>
        </a:ln>
      </c:spPr>
    </c:plotArea>
    <c:legend>
      <c:legendPos val="r"/>
      <c:layout>
        <c:manualLayout>
          <c:xMode val="edge"/>
          <c:yMode val="edge"/>
          <c:x val="0.11021525201911762"/>
          <c:y val="1.2499866088167551E-2"/>
          <c:w val="0.48790395002277631"/>
          <c:h val="5.4999910725446105E-2"/>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0.98425196899999956" l="0.78740157499999996" r="0.78740157499999996" t="0.98425196899999956" header="0.49212598500001148" footer="0.49212598500001148"/>
    <c:pageSetup/>
  </c:printSettings>
  <c:userShapes r:id="rId1"/>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268600331771933E-2"/>
          <c:y val="7.7783091156850295E-2"/>
          <c:w val="0.88927174241301365"/>
          <c:h val="0.79885351684511363"/>
        </c:manualLayout>
      </c:layout>
      <c:scatterChart>
        <c:scatterStyle val="smoothMarker"/>
        <c:varyColors val="0"/>
        <c:ser>
          <c:idx val="0"/>
          <c:order val="0"/>
          <c:tx>
            <c:v>raw data</c:v>
          </c:tx>
          <c:spPr>
            <a:ln w="28575">
              <a:noFill/>
            </a:ln>
          </c:spPr>
          <c:marker>
            <c:symbol val="diamond"/>
            <c:size val="4"/>
            <c:spPr>
              <a:solidFill>
                <a:srgbClr val="09007E"/>
              </a:solidFill>
              <a:ln>
                <a:solidFill>
                  <a:srgbClr val="09007E"/>
                </a:solidFill>
                <a:prstDash val="solid"/>
              </a:ln>
            </c:spPr>
          </c:marker>
          <c:xVal>
            <c:numRef>
              <c:f>Evaluation!$A$6:$A$281</c:f>
              <c:numCache>
                <c:formatCode>0.000</c:formatCode>
                <c:ptCount val="276"/>
                <c:pt idx="0">
                  <c:v>0</c:v>
                </c:pt>
                <c:pt idx="1">
                  <c:v>2.1441188422613777</c:v>
                </c:pt>
                <c:pt idx="2">
                  <c:v>4.004995925060939</c:v>
                </c:pt>
                <c:pt idx="3">
                  <c:v>5.5376416989020072</c:v>
                </c:pt>
                <c:pt idx="4">
                  <c:v>6.745316281740088</c:v>
                </c:pt>
                <c:pt idx="5">
                  <c:v>7.6638402344542556</c:v>
                </c:pt>
                <c:pt idx="6">
                  <c:v>8.3438355490216054</c:v>
                </c:pt>
                <c:pt idx="7">
                  <c:v>8.8374652448692359</c:v>
                </c:pt>
                <c:pt idx="8">
                  <c:v>9.1911136594717391</c:v>
                </c:pt>
                <c:pt idx="9">
                  <c:v>9.4426845156704076</c:v>
                </c:pt>
                <c:pt idx="10">
                  <c:v>9.6216144142090343</c:v>
                </c:pt>
                <c:pt idx="11">
                  <c:v>9.7501260883291252</c:v>
                </c:pt>
                <c:pt idx="12">
                  <c:v>9.8448491291492246</c:v>
                </c:pt>
                <c:pt idx="13">
                  <c:v>9.9183949307189323</c:v>
                </c:pt>
                <c:pt idx="14">
                  <c:v>9.9807470614905469</c:v>
                </c:pt>
                <c:pt idx="15">
                  <c:v>10.040469448722433</c:v>
                </c:pt>
                <c:pt idx="16">
                  <c:v>10.105798782024067</c:v>
                </c:pt>
                <c:pt idx="17">
                  <c:v>10.185713412647601</c:v>
                </c:pt>
                <c:pt idx="18">
                  <c:v>10.291077989677433</c:v>
                </c:pt>
                <c:pt idx="19">
                  <c:v>10.435955300636124</c:v>
                </c:pt>
                <c:pt idx="20">
                  <c:v>10.639140704006422</c:v>
                </c:pt>
                <c:pt idx="21">
                  <c:v>10.925871347717475</c:v>
                </c:pt>
                <c:pt idx="22">
                  <c:v>11.32941198447952</c:v>
                </c:pt>
                <c:pt idx="23">
                  <c:v>11.891695459780749</c:v>
                </c:pt>
                <c:pt idx="24">
                  <c:v>12.661303962522652</c:v>
                </c:pt>
                <c:pt idx="25">
                  <c:v>13.68609245546395</c:v>
                </c:pt>
                <c:pt idx="26">
                  <c:v>14.998016964818817</c:v>
                </c:pt>
                <c:pt idx="27">
                  <c:v>16.591740037256386</c:v>
                </c:pt>
                <c:pt idx="28">
                  <c:v>18.406854815839324</c:v>
                </c:pt>
                <c:pt idx="29">
                  <c:v>20.328983447689097</c:v>
                </c:pt>
                <c:pt idx="30">
                  <c:v>22.216620297695044</c:v>
                </c:pt>
                <c:pt idx="31">
                  <c:v>23.941385601938237</c:v>
                </c:pt>
                <c:pt idx="32">
                  <c:v>25.419121760933194</c:v>
                </c:pt>
                <c:pt idx="33">
                  <c:v>26.618562547082547</c:v>
                </c:pt>
                <c:pt idx="34">
                  <c:v>27.550935077306349</c:v>
                </c:pt>
                <c:pt idx="35">
                  <c:v>28.252110099128913</c:v>
                </c:pt>
                <c:pt idx="36">
                  <c:v>28.76675075822277</c:v>
                </c:pt>
                <c:pt idx="37">
                  <c:v>29.138159849389922</c:v>
                </c:pt>
                <c:pt idx="38">
                  <c:v>29.403460801404435</c:v>
                </c:pt>
                <c:pt idx="39">
                  <c:v>29.592312754539307</c:v>
                </c:pt>
                <c:pt idx="40">
                  <c:v>29.727469007775653</c:v>
                </c:pt>
                <c:pt idx="41">
                  <c:v>29.826065547240432</c:v>
                </c:pt>
                <c:pt idx="42">
                  <c:v>29.901051959313918</c:v>
                </c:pt>
                <c:pt idx="43">
                  <c:v>29.962520969274919</c:v>
                </c:pt>
                <c:pt idx="44">
                  <c:v>30.018881628348026</c:v>
                </c:pt>
                <c:pt idx="45">
                  <c:v>30.077913562126923</c:v>
                </c:pt>
                <c:pt idx="46">
                  <c:v>30.147781588311773</c:v>
                </c:pt>
                <c:pt idx="47">
                  <c:v>30.23810956365196</c:v>
                </c:pt>
                <c:pt idx="48">
                  <c:v>30.361222689680289</c:v>
                </c:pt>
                <c:pt idx="49">
                  <c:v>30.533670484146569</c:v>
                </c:pt>
                <c:pt idx="50">
                  <c:v>30.778127179655712</c:v>
                </c:pt>
                <c:pt idx="51">
                  <c:v>31.125704392616171</c:v>
                </c:pt>
                <c:pt idx="52">
                  <c:v>31.618546727986541</c:v>
                </c:pt>
                <c:pt idx="53">
                  <c:v>32.312233893026132</c:v>
                </c:pt>
                <c:pt idx="54">
                  <c:v>33.276938258495647</c:v>
                </c:pt>
                <c:pt idx="55">
                  <c:v>34.595723087841179</c:v>
                </c:pt>
                <c:pt idx="56">
                  <c:v>36.358880750776734</c:v>
                </c:pt>
                <c:pt idx="57">
                  <c:v>38.657043337298092</c:v>
                </c:pt>
                <c:pt idx="58">
                  <c:v>41.584617293847259</c:v>
                </c:pt>
                <c:pt idx="59">
                  <c:v>45.275601847970393</c:v>
                </c:pt>
                <c:pt idx="60">
                  <c:v>49.999999998544808</c:v>
                </c:pt>
              </c:numCache>
            </c:numRef>
          </c:xVal>
          <c:yVal>
            <c:numRef>
              <c:f>Evaluation!$B$6:$B$281</c:f>
              <c:numCache>
                <c:formatCode>0.000</c:formatCode>
                <c:ptCount val="276"/>
                <c:pt idx="0">
                  <c:v>2.2482361616632276</c:v>
                </c:pt>
                <c:pt idx="1">
                  <c:v>2.3647922005853386</c:v>
                </c:pt>
                <c:pt idx="2">
                  <c:v>2.5506499922129273</c:v>
                </c:pt>
                <c:pt idx="3">
                  <c:v>2.7350617167038536</c:v>
                </c:pt>
                <c:pt idx="4">
                  <c:v>2.8001589143336103</c:v>
                </c:pt>
                <c:pt idx="5">
                  <c:v>3.0210089771607134</c:v>
                </c:pt>
                <c:pt idx="6">
                  <c:v>3.2059162355606015</c:v>
                </c:pt>
                <c:pt idx="7">
                  <c:v>3.3224174642237614</c:v>
                </c:pt>
                <c:pt idx="8">
                  <c:v>3.5577328532705077</c:v>
                </c:pt>
                <c:pt idx="9">
                  <c:v>3.6543097997180687</c:v>
                </c:pt>
                <c:pt idx="10">
                  <c:v>3.7902703812451346</c:v>
                </c:pt>
                <c:pt idx="11">
                  <c:v>3.9695198921904384</c:v>
                </c:pt>
                <c:pt idx="12">
                  <c:v>4.2963445528630579</c:v>
                </c:pt>
                <c:pt idx="13">
                  <c:v>4.4234688315192683</c:v>
                </c:pt>
                <c:pt idx="14">
                  <c:v>4.3161688355486536</c:v>
                </c:pt>
                <c:pt idx="15">
                  <c:v>4.3549548393368696</c:v>
                </c:pt>
                <c:pt idx="16">
                  <c:v>4.8580520113807184</c:v>
                </c:pt>
                <c:pt idx="17">
                  <c:v>5.1357991946662338</c:v>
                </c:pt>
                <c:pt idx="18">
                  <c:v>5.1329008521350588</c:v>
                </c:pt>
                <c:pt idx="19">
                  <c:v>5.2423833602130161</c:v>
                </c:pt>
                <c:pt idx="20">
                  <c:v>5.4344364742158016</c:v>
                </c:pt>
                <c:pt idx="21">
                  <c:v>5.5859265023774283</c:v>
                </c:pt>
                <c:pt idx="22">
                  <c:v>5.7817853807000468</c:v>
                </c:pt>
                <c:pt idx="23">
                  <c:v>5.9333775681693366</c:v>
                </c:pt>
                <c:pt idx="24">
                  <c:v>6.1015246164126706</c:v>
                </c:pt>
                <c:pt idx="25">
                  <c:v>6.2343706579746305</c:v>
                </c:pt>
                <c:pt idx="26">
                  <c:v>6.4237087256565042</c:v>
                </c:pt>
                <c:pt idx="27">
                  <c:v>6.6692782825219714</c:v>
                </c:pt>
                <c:pt idx="28">
                  <c:v>6.7265948707517058</c:v>
                </c:pt>
                <c:pt idx="29">
                  <c:v>6.919625802232388</c:v>
                </c:pt>
                <c:pt idx="30">
                  <c:v>7.0953256149307116</c:v>
                </c:pt>
                <c:pt idx="31">
                  <c:v>7.1512500737592566</c:v>
                </c:pt>
                <c:pt idx="32">
                  <c:v>7.4514787286653243</c:v>
                </c:pt>
                <c:pt idx="33">
                  <c:v>7.5401593301441734</c:v>
                </c:pt>
                <c:pt idx="34">
                  <c:v>7.7563774949247826</c:v>
                </c:pt>
                <c:pt idx="35">
                  <c:v>7.9134510497316528</c:v>
                </c:pt>
                <c:pt idx="36">
                  <c:v>7.9963996764286227</c:v>
                </c:pt>
                <c:pt idx="37">
                  <c:v>8.2263819666307043</c:v>
                </c:pt>
                <c:pt idx="38">
                  <c:v>8.4238610949150825</c:v>
                </c:pt>
                <c:pt idx="39">
                  <c:v>8.4704538960139431</c:v>
                </c:pt>
                <c:pt idx="40">
                  <c:v>8.8064331886117166</c:v>
                </c:pt>
                <c:pt idx="41">
                  <c:v>9.0470594645874822</c:v>
                </c:pt>
                <c:pt idx="42">
                  <c:v>8.9214273543590199</c:v>
                </c:pt>
                <c:pt idx="43">
                  <c:v>9.1409056011009717</c:v>
                </c:pt>
                <c:pt idx="44">
                  <c:v>9.3198510455583126</c:v>
                </c:pt>
                <c:pt idx="45">
                  <c:v>9.6426810772611162</c:v>
                </c:pt>
                <c:pt idx="46">
                  <c:v>9.6630212543003005</c:v>
                </c:pt>
                <c:pt idx="47">
                  <c:v>9.8054199161609681</c:v>
                </c:pt>
                <c:pt idx="48">
                  <c:v>10.1009536653353</c:v>
                </c:pt>
                <c:pt idx="49">
                  <c:v>10.113295776244147</c:v>
                </c:pt>
                <c:pt idx="50">
                  <c:v>10.440725985515027</c:v>
                </c:pt>
                <c:pt idx="51">
                  <c:v>10.394143875602518</c:v>
                </c:pt>
                <c:pt idx="52">
                  <c:v>10.693185093665297</c:v>
                </c:pt>
                <c:pt idx="53">
                  <c:v>10.788842607386293</c:v>
                </c:pt>
                <c:pt idx="54">
                  <c:v>10.877864857281752</c:v>
                </c:pt>
                <c:pt idx="55">
                  <c:v>11.051299680096768</c:v>
                </c:pt>
                <c:pt idx="56">
                  <c:v>11.370292142789795</c:v>
                </c:pt>
                <c:pt idx="57">
                  <c:v>11.419295233251525</c:v>
                </c:pt>
                <c:pt idx="58">
                  <c:v>11.628946382172252</c:v>
                </c:pt>
                <c:pt idx="59">
                  <c:v>11.730370279959102</c:v>
                </c:pt>
                <c:pt idx="60">
                  <c:v>11.913765583538456</c:v>
                </c:pt>
              </c:numCache>
            </c:numRef>
          </c:yVal>
          <c:smooth val="1"/>
          <c:extLst>
            <c:ext xmlns:c16="http://schemas.microsoft.com/office/drawing/2014/chart" uri="{C3380CC4-5D6E-409C-BE32-E72D297353CC}">
              <c16:uniqueId val="{00000000-4FFC-4AA3-97DC-B9BF23DBC42C}"/>
            </c:ext>
          </c:extLst>
        </c:ser>
        <c:ser>
          <c:idx val="1"/>
          <c:order val="1"/>
          <c:tx>
            <c:v>smoothed data</c:v>
          </c:tx>
          <c:spPr>
            <a:ln w="25400">
              <a:solidFill>
                <a:srgbClr val="FF0000"/>
              </a:solidFill>
              <a:prstDash val="solid"/>
            </a:ln>
          </c:spPr>
          <c:marker>
            <c:symbol val="none"/>
          </c:marker>
          <c:xVal>
            <c:numRef>
              <c:f>Evaluation!$T$6:$T$1006</c:f>
              <c:numCache>
                <c:formatCode>0.0000</c:formatCode>
                <c:ptCount val="1001"/>
                <c:pt idx="0">
                  <c:v>0</c:v>
                </c:pt>
                <c:pt idx="1">
                  <c:v>0.16666666666181604</c:v>
                </c:pt>
                <c:pt idx="2">
                  <c:v>0.33333333332363208</c:v>
                </c:pt>
                <c:pt idx="3">
                  <c:v>0.49999999998544808</c:v>
                </c:pt>
                <c:pt idx="4">
                  <c:v>0.66666666664726415</c:v>
                </c:pt>
                <c:pt idx="5">
                  <c:v>0.83333333330908022</c:v>
                </c:pt>
                <c:pt idx="6">
                  <c:v>0.99999999997089617</c:v>
                </c:pt>
                <c:pt idx="7">
                  <c:v>1.1666666666327123</c:v>
                </c:pt>
                <c:pt idx="8">
                  <c:v>1.3333333332945283</c:v>
                </c:pt>
                <c:pt idx="9">
                  <c:v>1.4999999999563443</c:v>
                </c:pt>
                <c:pt idx="10">
                  <c:v>1.6666666666181604</c:v>
                </c:pt>
                <c:pt idx="11">
                  <c:v>1.8333333332799764</c:v>
                </c:pt>
                <c:pt idx="12">
                  <c:v>1.9999999999417923</c:v>
                </c:pt>
                <c:pt idx="13">
                  <c:v>2.1666666666036085</c:v>
                </c:pt>
                <c:pt idx="14">
                  <c:v>2.3333333332654247</c:v>
                </c:pt>
                <c:pt idx="15">
                  <c:v>2.4999999999272404</c:v>
                </c:pt>
                <c:pt idx="16">
                  <c:v>2.6666666665890566</c:v>
                </c:pt>
                <c:pt idx="17">
                  <c:v>2.8333333332508728</c:v>
                </c:pt>
                <c:pt idx="18">
                  <c:v>2.9999999999126885</c:v>
                </c:pt>
                <c:pt idx="19">
                  <c:v>3.1666666665745047</c:v>
                </c:pt>
                <c:pt idx="20">
                  <c:v>3.3333333332363209</c:v>
                </c:pt>
                <c:pt idx="21">
                  <c:v>3.4999999998981366</c:v>
                </c:pt>
                <c:pt idx="22">
                  <c:v>3.6666666665599528</c:v>
                </c:pt>
                <c:pt idx="23">
                  <c:v>3.8333333332217689</c:v>
                </c:pt>
                <c:pt idx="24">
                  <c:v>3.9999999998835847</c:v>
                </c:pt>
                <c:pt idx="25">
                  <c:v>4.1666666665454013</c:v>
                </c:pt>
                <c:pt idx="26">
                  <c:v>4.333333333207217</c:v>
                </c:pt>
                <c:pt idx="27">
                  <c:v>4.4999999998690328</c:v>
                </c:pt>
                <c:pt idx="28">
                  <c:v>4.6666666665308494</c:v>
                </c:pt>
                <c:pt idx="29">
                  <c:v>4.8333333331926651</c:v>
                </c:pt>
                <c:pt idx="30">
                  <c:v>4.9999999998544808</c:v>
                </c:pt>
                <c:pt idx="31">
                  <c:v>5.1666666665162975</c:v>
                </c:pt>
                <c:pt idx="32">
                  <c:v>5.3333333331781132</c:v>
                </c:pt>
                <c:pt idx="33">
                  <c:v>5.4999999998399289</c:v>
                </c:pt>
                <c:pt idx="34">
                  <c:v>5.6666666665017456</c:v>
                </c:pt>
                <c:pt idx="35">
                  <c:v>5.8333333331635613</c:v>
                </c:pt>
                <c:pt idx="36">
                  <c:v>5.999999999825377</c:v>
                </c:pt>
                <c:pt idx="37">
                  <c:v>6.1666666664871936</c:v>
                </c:pt>
                <c:pt idx="38">
                  <c:v>6.3333333331490094</c:v>
                </c:pt>
                <c:pt idx="39">
                  <c:v>6.4999999998108251</c:v>
                </c:pt>
                <c:pt idx="40">
                  <c:v>6.6666666664726417</c:v>
                </c:pt>
                <c:pt idx="41">
                  <c:v>6.8333333331344575</c:v>
                </c:pt>
                <c:pt idx="42">
                  <c:v>6.9999999997962732</c:v>
                </c:pt>
                <c:pt idx="43">
                  <c:v>7.1666666664580898</c:v>
                </c:pt>
                <c:pt idx="44">
                  <c:v>7.3333333331199055</c:v>
                </c:pt>
                <c:pt idx="45">
                  <c:v>7.4999999997817213</c:v>
                </c:pt>
                <c:pt idx="46">
                  <c:v>7.6666666664435379</c:v>
                </c:pt>
                <c:pt idx="47">
                  <c:v>7.8333333331053536</c:v>
                </c:pt>
                <c:pt idx="48">
                  <c:v>7.9999999997671694</c:v>
                </c:pt>
                <c:pt idx="49">
                  <c:v>8.166666666428986</c:v>
                </c:pt>
                <c:pt idx="50">
                  <c:v>8.3333333330908026</c:v>
                </c:pt>
                <c:pt idx="51">
                  <c:v>8.4999999997526174</c:v>
                </c:pt>
                <c:pt idx="52">
                  <c:v>8.6666666664144341</c:v>
                </c:pt>
                <c:pt idx="53">
                  <c:v>8.8333333330762507</c:v>
                </c:pt>
                <c:pt idx="54">
                  <c:v>8.9999999997380655</c:v>
                </c:pt>
                <c:pt idx="55">
                  <c:v>9.1666666663998821</c:v>
                </c:pt>
                <c:pt idx="56">
                  <c:v>9.3333333330616988</c:v>
                </c:pt>
                <c:pt idx="57">
                  <c:v>9.4999999997235136</c:v>
                </c:pt>
                <c:pt idx="58">
                  <c:v>9.6666666663853302</c:v>
                </c:pt>
                <c:pt idx="59">
                  <c:v>9.8333333330471469</c:v>
                </c:pt>
                <c:pt idx="60">
                  <c:v>9.9999999997089617</c:v>
                </c:pt>
                <c:pt idx="61">
                  <c:v>10.166666666370778</c:v>
                </c:pt>
                <c:pt idx="62">
                  <c:v>10.333333333032595</c:v>
                </c:pt>
                <c:pt idx="63">
                  <c:v>10.49999999969441</c:v>
                </c:pt>
                <c:pt idx="64">
                  <c:v>10.666666666356226</c:v>
                </c:pt>
                <c:pt idx="65">
                  <c:v>10.833333333018043</c:v>
                </c:pt>
                <c:pt idx="66">
                  <c:v>10.999999999679858</c:v>
                </c:pt>
                <c:pt idx="67">
                  <c:v>11.166666666341674</c:v>
                </c:pt>
                <c:pt idx="68">
                  <c:v>11.333333333003491</c:v>
                </c:pt>
                <c:pt idx="69">
                  <c:v>11.499999999665306</c:v>
                </c:pt>
                <c:pt idx="70">
                  <c:v>11.666666666327123</c:v>
                </c:pt>
                <c:pt idx="71">
                  <c:v>11.833333332988939</c:v>
                </c:pt>
                <c:pt idx="72">
                  <c:v>11.999999999650754</c:v>
                </c:pt>
                <c:pt idx="73">
                  <c:v>12.166666666312571</c:v>
                </c:pt>
                <c:pt idx="74">
                  <c:v>12.333333332974387</c:v>
                </c:pt>
                <c:pt idx="75">
                  <c:v>12.499999999636202</c:v>
                </c:pt>
                <c:pt idx="76">
                  <c:v>12.666666666298019</c:v>
                </c:pt>
                <c:pt idx="77">
                  <c:v>12.833333332959835</c:v>
                </c:pt>
                <c:pt idx="78">
                  <c:v>12.99999999962165</c:v>
                </c:pt>
                <c:pt idx="79">
                  <c:v>13.166666666283467</c:v>
                </c:pt>
                <c:pt idx="80">
                  <c:v>13.333333332945283</c:v>
                </c:pt>
                <c:pt idx="81">
                  <c:v>13.499999999607098</c:v>
                </c:pt>
                <c:pt idx="82">
                  <c:v>13.666666666268915</c:v>
                </c:pt>
                <c:pt idx="83">
                  <c:v>13.833333332930732</c:v>
                </c:pt>
                <c:pt idx="84">
                  <c:v>13.999999999592546</c:v>
                </c:pt>
                <c:pt idx="85">
                  <c:v>14.166666666254363</c:v>
                </c:pt>
                <c:pt idx="86">
                  <c:v>14.33333333291618</c:v>
                </c:pt>
                <c:pt idx="87">
                  <c:v>14.499999999577994</c:v>
                </c:pt>
                <c:pt idx="88">
                  <c:v>14.666666666239811</c:v>
                </c:pt>
                <c:pt idx="89">
                  <c:v>14.833333332901628</c:v>
                </c:pt>
                <c:pt idx="90">
                  <c:v>14.999999999563443</c:v>
                </c:pt>
                <c:pt idx="91">
                  <c:v>15.166666666225259</c:v>
                </c:pt>
                <c:pt idx="92">
                  <c:v>15.333333332887076</c:v>
                </c:pt>
                <c:pt idx="93">
                  <c:v>15.499999999548891</c:v>
                </c:pt>
                <c:pt idx="94">
                  <c:v>15.666666666210707</c:v>
                </c:pt>
                <c:pt idx="95">
                  <c:v>15.833333332872524</c:v>
                </c:pt>
                <c:pt idx="96">
                  <c:v>15.999999999534339</c:v>
                </c:pt>
                <c:pt idx="97">
                  <c:v>16.166666666196157</c:v>
                </c:pt>
                <c:pt idx="98">
                  <c:v>16.333333332857972</c:v>
                </c:pt>
                <c:pt idx="99">
                  <c:v>16.499999999519787</c:v>
                </c:pt>
                <c:pt idx="100">
                  <c:v>16.666666666181605</c:v>
                </c:pt>
                <c:pt idx="101">
                  <c:v>16.83333333284342</c:v>
                </c:pt>
                <c:pt idx="102">
                  <c:v>16.999999999505235</c:v>
                </c:pt>
                <c:pt idx="103">
                  <c:v>17.166666666167053</c:v>
                </c:pt>
                <c:pt idx="104">
                  <c:v>17.333333332828868</c:v>
                </c:pt>
                <c:pt idx="105">
                  <c:v>17.499999999490683</c:v>
                </c:pt>
                <c:pt idx="106">
                  <c:v>17.666666666152501</c:v>
                </c:pt>
                <c:pt idx="107">
                  <c:v>17.833333332814316</c:v>
                </c:pt>
                <c:pt idx="108">
                  <c:v>17.999999999476131</c:v>
                </c:pt>
                <c:pt idx="109">
                  <c:v>18.166666666137949</c:v>
                </c:pt>
                <c:pt idx="110">
                  <c:v>18.333333332799764</c:v>
                </c:pt>
                <c:pt idx="111">
                  <c:v>18.499999999461579</c:v>
                </c:pt>
                <c:pt idx="112">
                  <c:v>18.666666666123398</c:v>
                </c:pt>
                <c:pt idx="113">
                  <c:v>18.833333332785212</c:v>
                </c:pt>
                <c:pt idx="114">
                  <c:v>18.999999999447027</c:v>
                </c:pt>
                <c:pt idx="115">
                  <c:v>19.166666666108846</c:v>
                </c:pt>
                <c:pt idx="116">
                  <c:v>19.33333333277066</c:v>
                </c:pt>
                <c:pt idx="117">
                  <c:v>19.499999999432475</c:v>
                </c:pt>
                <c:pt idx="118">
                  <c:v>19.666666666094294</c:v>
                </c:pt>
                <c:pt idx="119">
                  <c:v>19.833333332756109</c:v>
                </c:pt>
                <c:pt idx="120">
                  <c:v>19.999999999417923</c:v>
                </c:pt>
                <c:pt idx="121">
                  <c:v>20.166666666079742</c:v>
                </c:pt>
                <c:pt idx="122">
                  <c:v>20.333333332741557</c:v>
                </c:pt>
                <c:pt idx="123">
                  <c:v>20.499999999403371</c:v>
                </c:pt>
                <c:pt idx="124">
                  <c:v>20.66666666606519</c:v>
                </c:pt>
                <c:pt idx="125">
                  <c:v>20.833333332727005</c:v>
                </c:pt>
                <c:pt idx="126">
                  <c:v>20.99999999938882</c:v>
                </c:pt>
                <c:pt idx="127">
                  <c:v>21.166666666050638</c:v>
                </c:pt>
                <c:pt idx="128">
                  <c:v>21.333333332712453</c:v>
                </c:pt>
                <c:pt idx="129">
                  <c:v>21.499999999374268</c:v>
                </c:pt>
                <c:pt idx="130">
                  <c:v>21.666666666036086</c:v>
                </c:pt>
                <c:pt idx="131">
                  <c:v>21.833333332697901</c:v>
                </c:pt>
                <c:pt idx="132">
                  <c:v>21.999999999359716</c:v>
                </c:pt>
                <c:pt idx="133">
                  <c:v>22.166666666021534</c:v>
                </c:pt>
                <c:pt idx="134">
                  <c:v>22.333333332683349</c:v>
                </c:pt>
                <c:pt idx="135">
                  <c:v>22.499999999345164</c:v>
                </c:pt>
                <c:pt idx="136">
                  <c:v>22.666666666006982</c:v>
                </c:pt>
                <c:pt idx="137">
                  <c:v>22.833333332668797</c:v>
                </c:pt>
                <c:pt idx="138">
                  <c:v>22.999999999330612</c:v>
                </c:pt>
                <c:pt idx="139">
                  <c:v>23.16666666599243</c:v>
                </c:pt>
                <c:pt idx="140">
                  <c:v>23.333333332654245</c:v>
                </c:pt>
                <c:pt idx="141">
                  <c:v>23.49999999931606</c:v>
                </c:pt>
                <c:pt idx="142">
                  <c:v>23.666666665977878</c:v>
                </c:pt>
                <c:pt idx="143">
                  <c:v>23.833333332639693</c:v>
                </c:pt>
                <c:pt idx="144">
                  <c:v>23.999999999301508</c:v>
                </c:pt>
                <c:pt idx="145">
                  <c:v>24.166666665963326</c:v>
                </c:pt>
                <c:pt idx="146">
                  <c:v>24.333333332625141</c:v>
                </c:pt>
                <c:pt idx="147">
                  <c:v>24.499999999286956</c:v>
                </c:pt>
                <c:pt idx="148">
                  <c:v>24.666666665948775</c:v>
                </c:pt>
                <c:pt idx="149">
                  <c:v>24.833333332610589</c:v>
                </c:pt>
                <c:pt idx="150">
                  <c:v>24.999999999272404</c:v>
                </c:pt>
                <c:pt idx="151">
                  <c:v>25.166666665934223</c:v>
                </c:pt>
                <c:pt idx="152">
                  <c:v>25.333333332596037</c:v>
                </c:pt>
                <c:pt idx="153">
                  <c:v>25.499999999257852</c:v>
                </c:pt>
                <c:pt idx="154">
                  <c:v>25.666666665919671</c:v>
                </c:pt>
                <c:pt idx="155">
                  <c:v>25.833333332581486</c:v>
                </c:pt>
                <c:pt idx="156">
                  <c:v>25.9999999992433</c:v>
                </c:pt>
                <c:pt idx="157">
                  <c:v>26.166666665905119</c:v>
                </c:pt>
                <c:pt idx="158">
                  <c:v>26.333333332566934</c:v>
                </c:pt>
                <c:pt idx="159">
                  <c:v>26.499999999228748</c:v>
                </c:pt>
                <c:pt idx="160">
                  <c:v>26.666666665890567</c:v>
                </c:pt>
                <c:pt idx="161">
                  <c:v>26.833333332552382</c:v>
                </c:pt>
                <c:pt idx="162">
                  <c:v>26.999999999214197</c:v>
                </c:pt>
                <c:pt idx="163">
                  <c:v>27.166666665876015</c:v>
                </c:pt>
                <c:pt idx="164">
                  <c:v>27.33333333253783</c:v>
                </c:pt>
                <c:pt idx="165">
                  <c:v>27.499999999199645</c:v>
                </c:pt>
                <c:pt idx="166">
                  <c:v>27.666666665861463</c:v>
                </c:pt>
                <c:pt idx="167">
                  <c:v>27.833333332523278</c:v>
                </c:pt>
                <c:pt idx="168">
                  <c:v>27.999999999185093</c:v>
                </c:pt>
                <c:pt idx="169">
                  <c:v>28.166666665846911</c:v>
                </c:pt>
                <c:pt idx="170">
                  <c:v>28.333333332508726</c:v>
                </c:pt>
                <c:pt idx="171">
                  <c:v>28.499999999170541</c:v>
                </c:pt>
                <c:pt idx="172">
                  <c:v>28.666666665832359</c:v>
                </c:pt>
                <c:pt idx="173">
                  <c:v>28.833333332494174</c:v>
                </c:pt>
                <c:pt idx="174">
                  <c:v>28.999999999155989</c:v>
                </c:pt>
                <c:pt idx="175">
                  <c:v>29.166666665817807</c:v>
                </c:pt>
                <c:pt idx="176">
                  <c:v>29.333333332479622</c:v>
                </c:pt>
                <c:pt idx="177">
                  <c:v>29.499999999141437</c:v>
                </c:pt>
                <c:pt idx="178">
                  <c:v>29.666666665803255</c:v>
                </c:pt>
                <c:pt idx="179">
                  <c:v>29.83333333246507</c:v>
                </c:pt>
                <c:pt idx="180">
                  <c:v>29.999999999126885</c:v>
                </c:pt>
                <c:pt idx="181">
                  <c:v>30.166666665788703</c:v>
                </c:pt>
                <c:pt idx="182">
                  <c:v>30.333333332450518</c:v>
                </c:pt>
                <c:pt idx="183">
                  <c:v>30.499999999112333</c:v>
                </c:pt>
                <c:pt idx="184">
                  <c:v>30.666666665774152</c:v>
                </c:pt>
                <c:pt idx="185">
                  <c:v>30.833333332435966</c:v>
                </c:pt>
                <c:pt idx="186">
                  <c:v>30.999999999097781</c:v>
                </c:pt>
                <c:pt idx="187">
                  <c:v>31.1666666657596</c:v>
                </c:pt>
                <c:pt idx="188">
                  <c:v>31.333333332421414</c:v>
                </c:pt>
                <c:pt idx="189">
                  <c:v>31.499999999083229</c:v>
                </c:pt>
                <c:pt idx="190">
                  <c:v>31.666666665745048</c:v>
                </c:pt>
                <c:pt idx="191">
                  <c:v>31.833333332406863</c:v>
                </c:pt>
                <c:pt idx="192">
                  <c:v>31.999999999068677</c:v>
                </c:pt>
                <c:pt idx="193">
                  <c:v>32.166666665730496</c:v>
                </c:pt>
                <c:pt idx="194">
                  <c:v>32.333333332392314</c:v>
                </c:pt>
                <c:pt idx="195">
                  <c:v>32.499999999054126</c:v>
                </c:pt>
                <c:pt idx="196">
                  <c:v>32.666666665715944</c:v>
                </c:pt>
                <c:pt idx="197">
                  <c:v>32.833333332377762</c:v>
                </c:pt>
                <c:pt idx="198">
                  <c:v>32.999999999039574</c:v>
                </c:pt>
                <c:pt idx="199">
                  <c:v>33.166666665701392</c:v>
                </c:pt>
                <c:pt idx="200">
                  <c:v>33.33333333236321</c:v>
                </c:pt>
                <c:pt idx="201">
                  <c:v>33.499999999025022</c:v>
                </c:pt>
                <c:pt idx="202">
                  <c:v>33.66666666568684</c:v>
                </c:pt>
                <c:pt idx="203">
                  <c:v>33.833333332348658</c:v>
                </c:pt>
                <c:pt idx="204">
                  <c:v>33.99999999901047</c:v>
                </c:pt>
                <c:pt idx="205">
                  <c:v>34.166666665672288</c:v>
                </c:pt>
                <c:pt idx="206">
                  <c:v>34.333333332334107</c:v>
                </c:pt>
                <c:pt idx="207">
                  <c:v>34.499999998995918</c:v>
                </c:pt>
                <c:pt idx="208">
                  <c:v>34.666666665657736</c:v>
                </c:pt>
                <c:pt idx="209">
                  <c:v>34.833333332319555</c:v>
                </c:pt>
                <c:pt idx="210">
                  <c:v>34.999999998981366</c:v>
                </c:pt>
                <c:pt idx="211">
                  <c:v>35.166666665643184</c:v>
                </c:pt>
                <c:pt idx="212">
                  <c:v>35.333333332305003</c:v>
                </c:pt>
                <c:pt idx="213">
                  <c:v>35.499999998966814</c:v>
                </c:pt>
                <c:pt idx="214">
                  <c:v>35.666666665628632</c:v>
                </c:pt>
                <c:pt idx="215">
                  <c:v>35.833333332290451</c:v>
                </c:pt>
                <c:pt idx="216">
                  <c:v>35.999999998952262</c:v>
                </c:pt>
                <c:pt idx="217">
                  <c:v>36.166666665614081</c:v>
                </c:pt>
                <c:pt idx="218">
                  <c:v>36.333333332275899</c:v>
                </c:pt>
                <c:pt idx="219">
                  <c:v>36.49999999893771</c:v>
                </c:pt>
                <c:pt idx="220">
                  <c:v>36.666666665599529</c:v>
                </c:pt>
                <c:pt idx="221">
                  <c:v>36.833333332261347</c:v>
                </c:pt>
                <c:pt idx="222">
                  <c:v>36.999999998923158</c:v>
                </c:pt>
                <c:pt idx="223">
                  <c:v>37.166666665584977</c:v>
                </c:pt>
                <c:pt idx="224">
                  <c:v>37.333333332246795</c:v>
                </c:pt>
                <c:pt idx="225">
                  <c:v>37.499999998908606</c:v>
                </c:pt>
                <c:pt idx="226">
                  <c:v>37.666666665570425</c:v>
                </c:pt>
                <c:pt idx="227">
                  <c:v>37.833333332232243</c:v>
                </c:pt>
                <c:pt idx="228">
                  <c:v>37.999999998894054</c:v>
                </c:pt>
                <c:pt idx="229">
                  <c:v>38.166666665555873</c:v>
                </c:pt>
                <c:pt idx="230">
                  <c:v>38.333333332217691</c:v>
                </c:pt>
                <c:pt idx="231">
                  <c:v>38.499999998879503</c:v>
                </c:pt>
                <c:pt idx="232">
                  <c:v>38.666666665541321</c:v>
                </c:pt>
                <c:pt idx="233">
                  <c:v>38.833333332203139</c:v>
                </c:pt>
                <c:pt idx="234">
                  <c:v>38.999999998864951</c:v>
                </c:pt>
                <c:pt idx="235">
                  <c:v>39.166666665526769</c:v>
                </c:pt>
                <c:pt idx="236">
                  <c:v>39.333333332188587</c:v>
                </c:pt>
                <c:pt idx="237">
                  <c:v>39.499999998850399</c:v>
                </c:pt>
                <c:pt idx="238">
                  <c:v>39.666666665512217</c:v>
                </c:pt>
                <c:pt idx="239">
                  <c:v>39.833333332174035</c:v>
                </c:pt>
                <c:pt idx="240">
                  <c:v>39.999999998835847</c:v>
                </c:pt>
                <c:pt idx="241">
                  <c:v>40.166666665497665</c:v>
                </c:pt>
                <c:pt idx="242">
                  <c:v>40.333333332159484</c:v>
                </c:pt>
                <c:pt idx="243">
                  <c:v>40.499999998821295</c:v>
                </c:pt>
                <c:pt idx="244">
                  <c:v>40.666666665483113</c:v>
                </c:pt>
                <c:pt idx="245">
                  <c:v>40.833333332144932</c:v>
                </c:pt>
                <c:pt idx="246">
                  <c:v>40.999999998806743</c:v>
                </c:pt>
                <c:pt idx="247">
                  <c:v>41.166666665468561</c:v>
                </c:pt>
                <c:pt idx="248">
                  <c:v>41.33333333213038</c:v>
                </c:pt>
                <c:pt idx="249">
                  <c:v>41.499999998792191</c:v>
                </c:pt>
                <c:pt idx="250">
                  <c:v>41.666666665454009</c:v>
                </c:pt>
                <c:pt idx="251">
                  <c:v>41.833333332115828</c:v>
                </c:pt>
                <c:pt idx="252">
                  <c:v>41.999999998777639</c:v>
                </c:pt>
                <c:pt idx="253">
                  <c:v>42.166666665439458</c:v>
                </c:pt>
                <c:pt idx="254">
                  <c:v>42.333333332101276</c:v>
                </c:pt>
                <c:pt idx="255">
                  <c:v>42.499999998763087</c:v>
                </c:pt>
                <c:pt idx="256">
                  <c:v>42.666666665424906</c:v>
                </c:pt>
                <c:pt idx="257">
                  <c:v>42.833333332086724</c:v>
                </c:pt>
                <c:pt idx="258">
                  <c:v>42.999999998748535</c:v>
                </c:pt>
                <c:pt idx="259">
                  <c:v>43.166666665410354</c:v>
                </c:pt>
                <c:pt idx="260">
                  <c:v>43.333333332072172</c:v>
                </c:pt>
                <c:pt idx="261">
                  <c:v>43.499999998733983</c:v>
                </c:pt>
                <c:pt idx="262">
                  <c:v>43.666666665395802</c:v>
                </c:pt>
                <c:pt idx="263">
                  <c:v>43.83333333205762</c:v>
                </c:pt>
                <c:pt idx="264">
                  <c:v>43.999999998719431</c:v>
                </c:pt>
                <c:pt idx="265">
                  <c:v>44.16666666538125</c:v>
                </c:pt>
                <c:pt idx="266">
                  <c:v>44.333333332043068</c:v>
                </c:pt>
                <c:pt idx="267">
                  <c:v>44.49999999870488</c:v>
                </c:pt>
                <c:pt idx="268">
                  <c:v>44.666666665366698</c:v>
                </c:pt>
                <c:pt idx="269">
                  <c:v>44.833333332028516</c:v>
                </c:pt>
                <c:pt idx="270">
                  <c:v>44.999999998690328</c:v>
                </c:pt>
                <c:pt idx="271">
                  <c:v>45.166666665352146</c:v>
                </c:pt>
                <c:pt idx="272">
                  <c:v>45.333333332013964</c:v>
                </c:pt>
                <c:pt idx="273">
                  <c:v>45.499999998675776</c:v>
                </c:pt>
                <c:pt idx="274">
                  <c:v>45.666666665337594</c:v>
                </c:pt>
                <c:pt idx="275">
                  <c:v>45.833333331999413</c:v>
                </c:pt>
                <c:pt idx="276">
                  <c:v>45.999999998661224</c:v>
                </c:pt>
                <c:pt idx="277">
                  <c:v>46.166666665323042</c:v>
                </c:pt>
                <c:pt idx="278">
                  <c:v>46.333333331984861</c:v>
                </c:pt>
                <c:pt idx="279">
                  <c:v>46.499999998646672</c:v>
                </c:pt>
                <c:pt idx="280">
                  <c:v>46.66666666530849</c:v>
                </c:pt>
                <c:pt idx="281">
                  <c:v>46.833333331970309</c:v>
                </c:pt>
                <c:pt idx="282">
                  <c:v>46.99999999863212</c:v>
                </c:pt>
                <c:pt idx="283">
                  <c:v>47.166666665293938</c:v>
                </c:pt>
                <c:pt idx="284">
                  <c:v>47.333333331955757</c:v>
                </c:pt>
                <c:pt idx="285">
                  <c:v>47.499999998617568</c:v>
                </c:pt>
                <c:pt idx="286">
                  <c:v>47.666666665279386</c:v>
                </c:pt>
                <c:pt idx="287">
                  <c:v>47.833333331941205</c:v>
                </c:pt>
                <c:pt idx="288">
                  <c:v>47.999999998603016</c:v>
                </c:pt>
                <c:pt idx="289">
                  <c:v>48.166666665264835</c:v>
                </c:pt>
                <c:pt idx="290">
                  <c:v>48.333333331926653</c:v>
                </c:pt>
                <c:pt idx="291">
                  <c:v>48.499999998588464</c:v>
                </c:pt>
                <c:pt idx="292">
                  <c:v>48.666666665250283</c:v>
                </c:pt>
                <c:pt idx="293">
                  <c:v>48.833333331912101</c:v>
                </c:pt>
                <c:pt idx="294">
                  <c:v>48.999999998573912</c:v>
                </c:pt>
                <c:pt idx="295">
                  <c:v>49.166666665235731</c:v>
                </c:pt>
                <c:pt idx="296">
                  <c:v>49.333333331897549</c:v>
                </c:pt>
                <c:pt idx="297">
                  <c:v>49.49999999855936</c:v>
                </c:pt>
                <c:pt idx="298">
                  <c:v>49.666666665221179</c:v>
                </c:pt>
                <c:pt idx="299">
                  <c:v>49.833333331882997</c:v>
                </c:pt>
                <c:pt idx="300">
                  <c:v>49.999999998544808</c:v>
                </c:pt>
              </c:numCache>
            </c:numRef>
          </c:xVal>
          <c:yVal>
            <c:numRef>
              <c:f>Evaluation!$U$6:$U$1006</c:f>
              <c:numCache>
                <c:formatCode>0.0000</c:formatCode>
                <c:ptCount val="1001"/>
                <c:pt idx="0">
                  <c:v>2.2477912303889083</c:v>
                </c:pt>
                <c:pt idx="1">
                  <c:v>2.2551998129407687</c:v>
                </c:pt>
                <c:pt idx="2">
                  <c:v>2.2626714893403927</c:v>
                </c:pt>
                <c:pt idx="3">
                  <c:v>2.2702693534355443</c:v>
                </c:pt>
                <c:pt idx="4">
                  <c:v>2.2780564990739869</c:v>
                </c:pt>
                <c:pt idx="5">
                  <c:v>2.2860960201034839</c:v>
                </c:pt>
                <c:pt idx="6">
                  <c:v>2.2944510103717999</c:v>
                </c:pt>
                <c:pt idx="7">
                  <c:v>2.3031845637266972</c:v>
                </c:pt>
                <c:pt idx="8">
                  <c:v>2.3123597740159409</c:v>
                </c:pt>
                <c:pt idx="9">
                  <c:v>2.3220397350872939</c:v>
                </c:pt>
                <c:pt idx="10">
                  <c:v>2.3322875407885197</c:v>
                </c:pt>
                <c:pt idx="11">
                  <c:v>2.3431662849673827</c:v>
                </c:pt>
                <c:pt idx="12">
                  <c:v>2.3547390614716459</c:v>
                </c:pt>
                <c:pt idx="13">
                  <c:v>2.3670689312539968</c:v>
                </c:pt>
                <c:pt idx="14">
                  <c:v>2.3801996475684373</c:v>
                </c:pt>
                <c:pt idx="15">
                  <c:v>2.3941231836829133</c:v>
                </c:pt>
                <c:pt idx="16">
                  <c:v>2.4088229231402556</c:v>
                </c:pt>
                <c:pt idx="17">
                  <c:v>2.4242822494832952</c:v>
                </c:pt>
                <c:pt idx="18">
                  <c:v>2.4404845462548628</c:v>
                </c:pt>
                <c:pt idx="19">
                  <c:v>2.4574131969977904</c:v>
                </c:pt>
                <c:pt idx="20">
                  <c:v>2.4750515852549082</c:v>
                </c:pt>
                <c:pt idx="21">
                  <c:v>2.4933830945690478</c:v>
                </c:pt>
                <c:pt idx="22">
                  <c:v>2.5123911084830399</c:v>
                </c:pt>
                <c:pt idx="23">
                  <c:v>2.5320590105397156</c:v>
                </c:pt>
                <c:pt idx="24">
                  <c:v>2.552370184281906</c:v>
                </c:pt>
                <c:pt idx="25">
                  <c:v>2.5732575608785768</c:v>
                </c:pt>
                <c:pt idx="26">
                  <c:v>2.594433262584293</c:v>
                </c:pt>
                <c:pt idx="27">
                  <c:v>2.6155490207556742</c:v>
                </c:pt>
                <c:pt idx="28">
                  <c:v>2.6362565652605445</c:v>
                </c:pt>
                <c:pt idx="29">
                  <c:v>2.6562076259667284</c:v>
                </c:pt>
                <c:pt idx="30">
                  <c:v>2.6750539327420495</c:v>
                </c:pt>
                <c:pt idx="31">
                  <c:v>2.6924472154543322</c:v>
                </c:pt>
                <c:pt idx="32">
                  <c:v>2.708039203971401</c:v>
                </c:pt>
                <c:pt idx="33">
                  <c:v>2.7214816281610794</c:v>
                </c:pt>
                <c:pt idx="34">
                  <c:v>2.732545491629895</c:v>
                </c:pt>
                <c:pt idx="35">
                  <c:v>2.7419603268952932</c:v>
                </c:pt>
                <c:pt idx="36">
                  <c:v>2.7509173875702602</c:v>
                </c:pt>
                <c:pt idx="37">
                  <c:v>2.7606108889005831</c:v>
                </c:pt>
                <c:pt idx="38">
                  <c:v>2.7722350461320491</c:v>
                </c:pt>
                <c:pt idx="39">
                  <c:v>2.7869840745104462</c:v>
                </c:pt>
                <c:pt idx="40">
                  <c:v>2.8060521892815613</c:v>
                </c:pt>
                <c:pt idx="41">
                  <c:v>2.8305753583805182</c:v>
                </c:pt>
                <c:pt idx="42">
                  <c:v>2.8605113701517841</c:v>
                </c:pt>
                <c:pt idx="43">
                  <c:v>2.8947231343978994</c:v>
                </c:pt>
                <c:pt idx="44">
                  <c:v>2.9320320019069879</c:v>
                </c:pt>
                <c:pt idx="45">
                  <c:v>2.9712593234671738</c:v>
                </c:pt>
                <c:pt idx="46">
                  <c:v>3.0112264510722939</c:v>
                </c:pt>
                <c:pt idx="47">
                  <c:v>3.0510147381141026</c:v>
                </c:pt>
                <c:pt idx="48">
                  <c:v>3.090693972992467</c:v>
                </c:pt>
                <c:pt idx="49">
                  <c:v>3.1305687934582704</c:v>
                </c:pt>
                <c:pt idx="50">
                  <c:v>3.1709438372623948</c:v>
                </c:pt>
                <c:pt idx="51">
                  <c:v>3.2127537529016355</c:v>
                </c:pt>
                <c:pt idx="52">
                  <c:v>3.2599789458197872</c:v>
                </c:pt>
                <c:pt idx="53">
                  <c:v>3.3175190039951286</c:v>
                </c:pt>
                <c:pt idx="54">
                  <c:v>3.3903460184422864</c:v>
                </c:pt>
                <c:pt idx="55">
                  <c:v>3.4837436667765198</c:v>
                </c:pt>
                <c:pt idx="56">
                  <c:v>3.6039347389667129</c:v>
                </c:pt>
                <c:pt idx="57">
                  <c:v>3.7624362958580515</c:v>
                </c:pt>
                <c:pt idx="58">
                  <c:v>3.9701736511568306</c:v>
                </c:pt>
                <c:pt idx="59">
                  <c:v>4.2282812400545851</c:v>
                </c:pt>
                <c:pt idx="60">
                  <c:v>4.5200536754230942</c:v>
                </c:pt>
                <c:pt idx="61">
                  <c:v>4.8193077796195789</c:v>
                </c:pt>
                <c:pt idx="62">
                  <c:v>5.0805989896209773</c:v>
                </c:pt>
                <c:pt idx="63">
                  <c:v>5.2884091464244163</c:v>
                </c:pt>
                <c:pt idx="64">
                  <c:v>5.4486813642849947</c:v>
                </c:pt>
                <c:pt idx="65">
                  <c:v>5.5709817104671666</c:v>
                </c:pt>
                <c:pt idx="66">
                  <c:v>5.6657943774104655</c:v>
                </c:pt>
                <c:pt idx="67">
                  <c:v>5.741185676682619</c:v>
                </c:pt>
                <c:pt idx="68">
                  <c:v>5.8022807263411966</c:v>
                </c:pt>
                <c:pt idx="69">
                  <c:v>5.8535548825638033</c:v>
                </c:pt>
                <c:pt idx="70">
                  <c:v>5.8976713332400861</c:v>
                </c:pt>
                <c:pt idx="71">
                  <c:v>5.9368711089435244</c:v>
                </c:pt>
                <c:pt idx="72">
                  <c:v>5.9732884065172458</c:v>
                </c:pt>
                <c:pt idx="73">
                  <c:v>6.0077364009292982</c:v>
                </c:pt>
                <c:pt idx="74">
                  <c:v>6.0401368771641604</c:v>
                </c:pt>
                <c:pt idx="75">
                  <c:v>6.0703949030756261</c:v>
                </c:pt>
                <c:pt idx="76">
                  <c:v>6.098415549646953</c:v>
                </c:pt>
                <c:pt idx="77">
                  <c:v>6.1242071815480026</c:v>
                </c:pt>
                <c:pt idx="78">
                  <c:v>6.148153361647676</c:v>
                </c:pt>
                <c:pt idx="79">
                  <c:v>6.1707228163571628</c:v>
                </c:pt>
                <c:pt idx="80">
                  <c:v>6.1923842720876552</c:v>
                </c:pt>
                <c:pt idx="81">
                  <c:v>6.2136064552503409</c:v>
                </c:pt>
                <c:pt idx="82">
                  <c:v>6.2348580922564123</c:v>
                </c:pt>
                <c:pt idx="83">
                  <c:v>6.2565592194605832</c:v>
                </c:pt>
                <c:pt idx="84">
                  <c:v>6.2788528308246736</c:v>
                </c:pt>
                <c:pt idx="85">
                  <c:v>6.3017840703064261</c:v>
                </c:pt>
                <c:pt idx="86">
                  <c:v>6.3253979700508927</c:v>
                </c:pt>
                <c:pt idx="87">
                  <c:v>6.3497395622031245</c:v>
                </c:pt>
                <c:pt idx="88">
                  <c:v>6.3748538789081737</c:v>
                </c:pt>
                <c:pt idx="89">
                  <c:v>6.4007859523110913</c:v>
                </c:pt>
                <c:pt idx="90">
                  <c:v>6.4275808144156823</c:v>
                </c:pt>
                <c:pt idx="91">
                  <c:v>6.4551966136120056</c:v>
                </c:pt>
                <c:pt idx="92">
                  <c:v>6.4832561481232966</c:v>
                </c:pt>
                <c:pt idx="93">
                  <c:v>6.511301318639493</c:v>
                </c:pt>
                <c:pt idx="94">
                  <c:v>6.5388740258505313</c:v>
                </c:pt>
                <c:pt idx="95">
                  <c:v>6.5655161704463483</c:v>
                </c:pt>
                <c:pt idx="96">
                  <c:v>6.5907696531168813</c:v>
                </c:pt>
                <c:pt idx="97">
                  <c:v>6.6141763745520654</c:v>
                </c:pt>
                <c:pt idx="98">
                  <c:v>6.6352782354418389</c:v>
                </c:pt>
                <c:pt idx="99">
                  <c:v>6.6536171364761376</c:v>
                </c:pt>
                <c:pt idx="100">
                  <c:v>6.6687498205856004</c:v>
                </c:pt>
                <c:pt idx="101">
                  <c:v>6.6806712218128785</c:v>
                </c:pt>
                <c:pt idx="102">
                  <c:v>6.6898761376740667</c:v>
                </c:pt>
                <c:pt idx="103">
                  <c:v>6.6968866094821253</c:v>
                </c:pt>
                <c:pt idx="104">
                  <c:v>6.7022246785500164</c:v>
                </c:pt>
                <c:pt idx="105">
                  <c:v>6.7064123861907019</c:v>
                </c:pt>
                <c:pt idx="106">
                  <c:v>6.7099717737171423</c:v>
                </c:pt>
                <c:pt idx="107">
                  <c:v>6.7134248824423004</c:v>
                </c:pt>
                <c:pt idx="108">
                  <c:v>6.7172937536791366</c:v>
                </c:pt>
                <c:pt idx="109">
                  <c:v>6.7221004287406148</c:v>
                </c:pt>
                <c:pt idx="110">
                  <c:v>6.7283669489396942</c:v>
                </c:pt>
                <c:pt idx="111">
                  <c:v>6.7365941691292548</c:v>
                </c:pt>
                <c:pt idx="112">
                  <c:v>6.7469079057878156</c:v>
                </c:pt>
                <c:pt idx="113">
                  <c:v>6.7591123788159653</c:v>
                </c:pt>
                <c:pt idx="114">
                  <c:v>6.7730013892599583</c:v>
                </c:pt>
                <c:pt idx="115">
                  <c:v>6.7883687381660511</c:v>
                </c:pt>
                <c:pt idx="116">
                  <c:v>6.8050082265804983</c:v>
                </c:pt>
                <c:pt idx="117">
                  <c:v>6.8227136555495553</c:v>
                </c:pt>
                <c:pt idx="118">
                  <c:v>6.8412788261194786</c:v>
                </c:pt>
                <c:pt idx="119">
                  <c:v>6.8604975393365235</c:v>
                </c:pt>
                <c:pt idx="120">
                  <c:v>6.8801635962469438</c:v>
                </c:pt>
                <c:pt idx="121">
                  <c:v>6.9000707978969977</c:v>
                </c:pt>
                <c:pt idx="122">
                  <c:v>6.9200129453884243</c:v>
                </c:pt>
                <c:pt idx="123">
                  <c:v>6.9397872113829155</c:v>
                </c:pt>
                <c:pt idx="124">
                  <c:v>6.9592032398816919</c:v>
                </c:pt>
                <c:pt idx="125">
                  <c:v>6.9780735578240041</c:v>
                </c:pt>
                <c:pt idx="126">
                  <c:v>6.9962106921490994</c:v>
                </c:pt>
                <c:pt idx="127">
                  <c:v>7.0134271697962305</c:v>
                </c:pt>
                <c:pt idx="128">
                  <c:v>7.0295355177046455</c:v>
                </c:pt>
                <c:pt idx="129">
                  <c:v>7.0443482628135943</c:v>
                </c:pt>
                <c:pt idx="130">
                  <c:v>7.0576779320623269</c:v>
                </c:pt>
                <c:pt idx="131">
                  <c:v>7.0693370523900931</c:v>
                </c:pt>
                <c:pt idx="132">
                  <c:v>7.0791381507361422</c:v>
                </c:pt>
                <c:pt idx="133">
                  <c:v>7.0868937540397248</c:v>
                </c:pt>
                <c:pt idx="134">
                  <c:v>7.0924694186630903</c:v>
                </c:pt>
                <c:pt idx="135">
                  <c:v>7.0962776239183496</c:v>
                </c:pt>
                <c:pt idx="136">
                  <c:v>7.0990532622106466</c:v>
                </c:pt>
                <c:pt idx="137">
                  <c:v>7.1015353837108615</c:v>
                </c:pt>
                <c:pt idx="138">
                  <c:v>7.1044630385898753</c:v>
                </c:pt>
                <c:pt idx="139">
                  <c:v>7.1085752770185691</c:v>
                </c:pt>
                <c:pt idx="140">
                  <c:v>7.1146111491678239</c:v>
                </c:pt>
                <c:pt idx="141">
                  <c:v>7.1233097052085208</c:v>
                </c:pt>
                <c:pt idx="142">
                  <c:v>7.13540999531154</c:v>
                </c:pt>
                <c:pt idx="143">
                  <c:v>7.1516510696477624</c:v>
                </c:pt>
                <c:pt idx="144">
                  <c:v>7.1727581087384138</c:v>
                </c:pt>
                <c:pt idx="145">
                  <c:v>7.1987243150723135</c:v>
                </c:pt>
                <c:pt idx="146">
                  <c:v>7.2284624710611984</c:v>
                </c:pt>
                <c:pt idx="147">
                  <c:v>7.2607984722262389</c:v>
                </c:pt>
                <c:pt idx="148">
                  <c:v>7.2945582140886085</c:v>
                </c:pt>
                <c:pt idx="149">
                  <c:v>7.3285675921694766</c:v>
                </c:pt>
                <c:pt idx="150">
                  <c:v>7.3616525019900161</c:v>
                </c:pt>
                <c:pt idx="151">
                  <c:v>7.3926388390713997</c:v>
                </c:pt>
                <c:pt idx="152">
                  <c:v>7.4203524989347978</c:v>
                </c:pt>
                <c:pt idx="153">
                  <c:v>7.4436693975898596</c:v>
                </c:pt>
                <c:pt idx="154">
                  <c:v>7.4626995860586129</c:v>
                </c:pt>
                <c:pt idx="155">
                  <c:v>7.4788356012739374</c:v>
                </c:pt>
                <c:pt idx="156">
                  <c:v>7.4935296753140985</c:v>
                </c:pt>
                <c:pt idx="157">
                  <c:v>7.5082340402573609</c:v>
                </c:pt>
                <c:pt idx="158">
                  <c:v>7.5244009281819881</c:v>
                </c:pt>
                <c:pt idx="159">
                  <c:v>7.543482571166245</c:v>
                </c:pt>
                <c:pt idx="160">
                  <c:v>7.5669201369895633</c:v>
                </c:pt>
                <c:pt idx="161">
                  <c:v>7.5952143533813015</c:v>
                </c:pt>
                <c:pt idx="162">
                  <c:v>7.6272220610639767</c:v>
                </c:pt>
                <c:pt idx="163">
                  <c:v>7.6616344399895135</c:v>
                </c:pt>
                <c:pt idx="164">
                  <c:v>7.6971426701098338</c:v>
                </c:pt>
                <c:pt idx="165">
                  <c:v>7.7324379313768636</c:v>
                </c:pt>
                <c:pt idx="166">
                  <c:v>7.7663174100178933</c:v>
                </c:pt>
                <c:pt idx="167">
                  <c:v>7.7986944130431031</c:v>
                </c:pt>
                <c:pt idx="168">
                  <c:v>7.8301507322134034</c:v>
                </c:pt>
                <c:pt idx="169">
                  <c:v>7.8612771963413008</c:v>
                </c:pt>
                <c:pt idx="170">
                  <c:v>7.8927635297395575</c:v>
                </c:pt>
                <c:pt idx="171">
                  <c:v>7.9277152071752059</c:v>
                </c:pt>
                <c:pt idx="172">
                  <c:v>7.9717345764590002</c:v>
                </c:pt>
                <c:pt idx="173">
                  <c:v>8.0305262905348318</c:v>
                </c:pt>
                <c:pt idx="174">
                  <c:v>8.1092951190074949</c:v>
                </c:pt>
                <c:pt idx="175">
                  <c:v>8.2125995512659742</c:v>
                </c:pt>
                <c:pt idx="176">
                  <c:v>8.3462059920003622</c:v>
                </c:pt>
                <c:pt idx="177">
                  <c:v>8.5189579261834609</c:v>
                </c:pt>
                <c:pt idx="178">
                  <c:v>8.7405712164179672</c:v>
                </c:pt>
                <c:pt idx="179">
                  <c:v>9.0108302989836648</c:v>
                </c:pt>
                <c:pt idx="180">
                  <c:v>9.3156319267701111</c:v>
                </c:pt>
                <c:pt idx="181">
                  <c:v>9.6230530640774159</c:v>
                </c:pt>
                <c:pt idx="182">
                  <c:v>9.89300553025166</c:v>
                </c:pt>
                <c:pt idx="183">
                  <c:v>10.10824458672597</c:v>
                </c:pt>
                <c:pt idx="184">
                  <c:v>10.271780737699045</c:v>
                </c:pt>
                <c:pt idx="185">
                  <c:v>10.39020169081958</c:v>
                </c:pt>
                <c:pt idx="186">
                  <c:v>10.473283290779515</c:v>
                </c:pt>
                <c:pt idx="187">
                  <c:v>10.537691837262306</c:v>
                </c:pt>
                <c:pt idx="188">
                  <c:v>10.595002197574242</c:v>
                </c:pt>
                <c:pt idx="189">
                  <c:v>10.645603138055275</c:v>
                </c:pt>
                <c:pt idx="190">
                  <c:v>10.688589198429771</c:v>
                </c:pt>
                <c:pt idx="191">
                  <c:v>10.723836415509352</c:v>
                </c:pt>
                <c:pt idx="192">
                  <c:v>10.752586530105978</c:v>
                </c:pt>
                <c:pt idx="193">
                  <c:v>10.776218865079171</c:v>
                </c:pt>
                <c:pt idx="194">
                  <c:v>10.796112507809209</c:v>
                </c:pt>
                <c:pt idx="195">
                  <c:v>10.813481532152968</c:v>
                </c:pt>
                <c:pt idx="196">
                  <c:v>10.82908622215608</c:v>
                </c:pt>
                <c:pt idx="197">
                  <c:v>10.843609534942027</c:v>
                </c:pt>
                <c:pt idx="198">
                  <c:v>10.857734427634291</c:v>
                </c:pt>
                <c:pt idx="199">
                  <c:v>10.872143857356358</c:v>
                </c:pt>
                <c:pt idx="200">
                  <c:v>10.887516842021457</c:v>
                </c:pt>
                <c:pt idx="201">
                  <c:v>10.904304397242267</c:v>
                </c:pt>
                <c:pt idx="202">
                  <c:v>10.922608854660952</c:v>
                </c:pt>
                <c:pt idx="203">
                  <c:v>10.94250309650991</c:v>
                </c:pt>
                <c:pt idx="204">
                  <c:v>10.964060005021533</c:v>
                </c:pt>
                <c:pt idx="205">
                  <c:v>10.987352462428227</c:v>
                </c:pt>
                <c:pt idx="206">
                  <c:v>11.012453350962383</c:v>
                </c:pt>
                <c:pt idx="207">
                  <c:v>11.0394355528564</c:v>
                </c:pt>
                <c:pt idx="208">
                  <c:v>11.068363726638612</c:v>
                </c:pt>
                <c:pt idx="209">
                  <c:v>11.099026450400848</c:v>
                </c:pt>
                <c:pt idx="210">
                  <c:v>11.130877034917948</c:v>
                </c:pt>
                <c:pt idx="211">
                  <c:v>11.163348589710939</c:v>
                </c:pt>
                <c:pt idx="212">
                  <c:v>11.195874224300837</c:v>
                </c:pt>
                <c:pt idx="213">
                  <c:v>11.22788704820867</c:v>
                </c:pt>
                <c:pt idx="214">
                  <c:v>11.258820170955458</c:v>
                </c:pt>
                <c:pt idx="215">
                  <c:v>11.288106702062226</c:v>
                </c:pt>
                <c:pt idx="216">
                  <c:v>11.315179751049993</c:v>
                </c:pt>
                <c:pt idx="217">
                  <c:v>11.339472427439784</c:v>
                </c:pt>
                <c:pt idx="218">
                  <c:v>11.360417840752621</c:v>
                </c:pt>
                <c:pt idx="219">
                  <c:v>11.377549463985339</c:v>
                </c:pt>
                <c:pt idx="220">
                  <c:v>11.39104058575071</c:v>
                </c:pt>
                <c:pt idx="221">
                  <c:v>11.401315726403249</c:v>
                </c:pt>
                <c:pt idx="222">
                  <c:v>11.408800001764881</c:v>
                </c:pt>
                <c:pt idx="223">
                  <c:v>11.413918527657534</c:v>
                </c:pt>
                <c:pt idx="224">
                  <c:v>11.417096419903132</c:v>
                </c:pt>
                <c:pt idx="225">
                  <c:v>11.418758794323601</c:v>
                </c:pt>
                <c:pt idx="226">
                  <c:v>11.419330766740867</c:v>
                </c:pt>
                <c:pt idx="227">
                  <c:v>11.419237452976855</c:v>
                </c:pt>
                <c:pt idx="228">
                  <c:v>11.418903968853492</c:v>
                </c:pt>
                <c:pt idx="229">
                  <c:v>11.418755430192704</c:v>
                </c:pt>
                <c:pt idx="230">
                  <c:v>11.419216952816416</c:v>
                </c:pt>
                <c:pt idx="231">
                  <c:v>11.420713652546553</c:v>
                </c:pt>
                <c:pt idx="232">
                  <c:v>11.423670626290276</c:v>
                </c:pt>
                <c:pt idx="233">
                  <c:v>11.428396765801413</c:v>
                </c:pt>
                <c:pt idx="234">
                  <c:v>11.43480983653296</c:v>
                </c:pt>
                <c:pt idx="235">
                  <c:v>11.442745401704318</c:v>
                </c:pt>
                <c:pt idx="236">
                  <c:v>11.452039024534887</c:v>
                </c:pt>
                <c:pt idx="237">
                  <c:v>11.462526268244066</c:v>
                </c:pt>
                <c:pt idx="238">
                  <c:v>11.474042696051253</c:v>
                </c:pt>
                <c:pt idx="239">
                  <c:v>11.48642387117585</c:v>
                </c:pt>
                <c:pt idx="240">
                  <c:v>11.499505356837256</c:v>
                </c:pt>
                <c:pt idx="241">
                  <c:v>11.513122716254868</c:v>
                </c:pt>
                <c:pt idx="242">
                  <c:v>11.527111512648089</c:v>
                </c:pt>
                <c:pt idx="243">
                  <c:v>11.541307309236316</c:v>
                </c:pt>
                <c:pt idx="244">
                  <c:v>11.555545669238949</c:v>
                </c:pt>
                <c:pt idx="245">
                  <c:v>11.569662155875388</c:v>
                </c:pt>
                <c:pt idx="246">
                  <c:v>11.583492332365033</c:v>
                </c:pt>
                <c:pt idx="247">
                  <c:v>11.596871761927281</c:v>
                </c:pt>
                <c:pt idx="248">
                  <c:v>11.609636007781534</c:v>
                </c:pt>
                <c:pt idx="249">
                  <c:v>11.62162063314719</c:v>
                </c:pt>
                <c:pt idx="250">
                  <c:v>11.63266569070097</c:v>
                </c:pt>
                <c:pt idx="251">
                  <c:v>11.642718324065822</c:v>
                </c:pt>
                <c:pt idx="252">
                  <c:v>11.651834941804662</c:v>
                </c:pt>
                <c:pt idx="253">
                  <c:v>11.660076876791532</c:v>
                </c:pt>
                <c:pt idx="254">
                  <c:v>11.667505461900467</c:v>
                </c:pt>
                <c:pt idx="255">
                  <c:v>11.674182030005506</c:v>
                </c:pt>
                <c:pt idx="256">
                  <c:v>11.680167913980688</c:v>
                </c:pt>
                <c:pt idx="257">
                  <c:v>11.685524446700049</c:v>
                </c:pt>
                <c:pt idx="258">
                  <c:v>11.69031296103763</c:v>
                </c:pt>
                <c:pt idx="259">
                  <c:v>11.694594789867468</c:v>
                </c:pt>
                <c:pt idx="260">
                  <c:v>11.698431266063599</c:v>
                </c:pt>
                <c:pt idx="261">
                  <c:v>11.701883722500066</c:v>
                </c:pt>
                <c:pt idx="262">
                  <c:v>11.705013492050902</c:v>
                </c:pt>
                <c:pt idx="263">
                  <c:v>11.707881907590147</c:v>
                </c:pt>
                <c:pt idx="264">
                  <c:v>11.710550301991841</c:v>
                </c:pt>
                <c:pt idx="265">
                  <c:v>11.713080008130021</c:v>
                </c:pt>
                <c:pt idx="266">
                  <c:v>11.715532358878724</c:v>
                </c:pt>
                <c:pt idx="267">
                  <c:v>11.717968687111989</c:v>
                </c:pt>
                <c:pt idx="268">
                  <c:v>11.720450325703855</c:v>
                </c:pt>
                <c:pt idx="269">
                  <c:v>11.723038607528357</c:v>
                </c:pt>
                <c:pt idx="270">
                  <c:v>11.725794865459537</c:v>
                </c:pt>
                <c:pt idx="271">
                  <c:v>11.728780432371433</c:v>
                </c:pt>
                <c:pt idx="272">
                  <c:v>11.732056135470193</c:v>
                </c:pt>
                <c:pt idx="273">
                  <c:v>11.735655129517195</c:v>
                </c:pt>
                <c:pt idx="274">
                  <c:v>11.73956914435847</c:v>
                </c:pt>
                <c:pt idx="275">
                  <c:v>11.743786512557195</c:v>
                </c:pt>
                <c:pt idx="276">
                  <c:v>11.748295566676546</c:v>
                </c:pt>
                <c:pt idx="277">
                  <c:v>11.753084639279695</c:v>
                </c:pt>
                <c:pt idx="278">
                  <c:v>11.758142062929821</c:v>
                </c:pt>
                <c:pt idx="279">
                  <c:v>11.763456170190095</c:v>
                </c:pt>
                <c:pt idx="280">
                  <c:v>11.769015293623694</c:v>
                </c:pt>
                <c:pt idx="281">
                  <c:v>11.774807765793792</c:v>
                </c:pt>
                <c:pt idx="282">
                  <c:v>11.780821919263564</c:v>
                </c:pt>
                <c:pt idx="283">
                  <c:v>11.787046086596188</c:v>
                </c:pt>
                <c:pt idx="284">
                  <c:v>11.793468600354835</c:v>
                </c:pt>
                <c:pt idx="285">
                  <c:v>11.800077793102682</c:v>
                </c:pt>
                <c:pt idx="286">
                  <c:v>11.806861997402905</c:v>
                </c:pt>
                <c:pt idx="287">
                  <c:v>11.813809545818678</c:v>
                </c:pt>
                <c:pt idx="288">
                  <c:v>11.820908770913174</c:v>
                </c:pt>
                <c:pt idx="289">
                  <c:v>11.82814800524957</c:v>
                </c:pt>
                <c:pt idx="290">
                  <c:v>11.835515581391043</c:v>
                </c:pt>
                <c:pt idx="291">
                  <c:v>11.842999831900764</c:v>
                </c:pt>
                <c:pt idx="292">
                  <c:v>11.850589089341909</c:v>
                </c:pt>
                <c:pt idx="293">
                  <c:v>11.858271686277655</c:v>
                </c:pt>
                <c:pt idx="294">
                  <c:v>11.866035955271176</c:v>
                </c:pt>
                <c:pt idx="295">
                  <c:v>11.873870228885648</c:v>
                </c:pt>
                <c:pt idx="296">
                  <c:v>11.881762839684244</c:v>
                </c:pt>
                <c:pt idx="297">
                  <c:v>11.889702120230139</c:v>
                </c:pt>
                <c:pt idx="298">
                  <c:v>11.897676403086511</c:v>
                </c:pt>
                <c:pt idx="299">
                  <c:v>11.90567402081653</c:v>
                </c:pt>
                <c:pt idx="300">
                  <c:v>11.913683305983376</c:v>
                </c:pt>
              </c:numCache>
            </c:numRef>
          </c:yVal>
          <c:smooth val="1"/>
          <c:extLst>
            <c:ext xmlns:c16="http://schemas.microsoft.com/office/drawing/2014/chart" uri="{C3380CC4-5D6E-409C-BE32-E72D297353CC}">
              <c16:uniqueId val="{00000001-4FFC-4AA3-97DC-B9BF23DBC42C}"/>
            </c:ext>
          </c:extLst>
        </c:ser>
        <c:dLbls>
          <c:showLegendKey val="0"/>
          <c:showVal val="0"/>
          <c:showCatName val="0"/>
          <c:showSerName val="0"/>
          <c:showPercent val="0"/>
          <c:showBubbleSize val="0"/>
        </c:dLbls>
        <c:axId val="158214016"/>
        <c:axId val="158224384"/>
      </c:scatterChart>
      <c:valAx>
        <c:axId val="158214016"/>
        <c:scaling>
          <c:orientation val="minMax"/>
        </c:scaling>
        <c:delete val="0"/>
        <c:axPos val="b"/>
        <c:majorGridlines/>
        <c:title>
          <c:tx>
            <c:rich>
              <a:bodyPr/>
              <a:lstStyle/>
              <a:p>
                <a:pPr>
                  <a:defRPr sz="1000" b="1" i="0" u="none" strike="noStrike" baseline="0">
                    <a:solidFill>
                      <a:srgbClr val="000000"/>
                    </a:solidFill>
                    <a:latin typeface="Arial"/>
                    <a:ea typeface="Arial"/>
                    <a:cs typeface="Arial"/>
                  </a:defRPr>
                </a:pPr>
                <a:r>
                  <a:rPr lang="pt-BR"/>
                  <a:t>Volume (mL)</a:t>
                </a:r>
              </a:p>
            </c:rich>
          </c:tx>
          <c:layout>
            <c:manualLayout>
              <c:xMode val="edge"/>
              <c:yMode val="edge"/>
              <c:x val="0.464101206526504"/>
              <c:y val="0.94085707744019098"/>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en-US"/>
          </a:p>
        </c:txPr>
        <c:crossAx val="158224384"/>
        <c:crosses val="autoZero"/>
        <c:crossBetween val="midCat"/>
      </c:valAx>
      <c:valAx>
        <c:axId val="158224384"/>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pt-BR"/>
                  <a:t>pH</a:t>
                </a:r>
              </a:p>
            </c:rich>
          </c:tx>
          <c:layout>
            <c:manualLayout>
              <c:xMode val="edge"/>
              <c:yMode val="edge"/>
              <c:x val="6.2736518320354404E-3"/>
              <c:y val="0.43731015274467688"/>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en-US"/>
          </a:p>
        </c:txPr>
        <c:crossAx val="158214016"/>
        <c:crosses val="autoZero"/>
        <c:crossBetween val="midCat"/>
      </c:valAx>
      <c:spPr>
        <a:noFill/>
        <a:ln w="12700">
          <a:solidFill>
            <a:srgbClr val="F9FCDE"/>
          </a:solidFill>
          <a:prstDash val="solid"/>
        </a:ln>
      </c:spPr>
    </c:plotArea>
    <c:legend>
      <c:legendPos val="r"/>
      <c:layout>
        <c:manualLayout>
          <c:xMode val="edge"/>
          <c:yMode val="edge"/>
          <c:x val="0.10627003822648158"/>
          <c:y val="1.5290506634042321E-2"/>
          <c:w val="0.45564578843050374"/>
          <c:h val="6.1162400571488224E-2"/>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50" b="0" i="0" u="none" strike="noStrike" baseline="0">
          <a:solidFill>
            <a:srgbClr val="000000"/>
          </a:solidFill>
          <a:latin typeface="Arial"/>
          <a:ea typeface="Arial"/>
          <a:cs typeface="Arial"/>
        </a:defRPr>
      </a:pPr>
      <a:endParaRPr lang="en-US"/>
    </a:p>
  </c:txPr>
  <c:printSettings>
    <c:headerFooter alignWithMargins="0"/>
    <c:pageMargins b="0.98425196899999956" l="0.78740157499999996" r="0.78740157499999996" t="0.98425196899999956" header="0.49212598500001148" footer="0.49212598500001148"/>
    <c:pageSetup/>
  </c:printSettings>
  <c:userShapes r:id="rId1"/>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0" i="0" u="none" strike="noStrike" baseline="0">
                <a:solidFill>
                  <a:srgbClr val="000000"/>
                </a:solidFill>
                <a:latin typeface="Arial"/>
                <a:ea typeface="Arial"/>
                <a:cs typeface="Arial"/>
              </a:defRPr>
            </a:pPr>
            <a:r>
              <a:rPr lang="pt-BR" sz="1200" b="1" i="0" strike="noStrike">
                <a:solidFill>
                  <a:srgbClr val="000000"/>
                </a:solidFill>
                <a:latin typeface="Arial"/>
                <a:cs typeface="Arial"/>
              </a:rPr>
              <a:t>T</a:t>
            </a:r>
            <a:r>
              <a:rPr lang="pt-BR" sz="1100" b="1" i="0" strike="noStrike">
                <a:solidFill>
                  <a:srgbClr val="000000"/>
                </a:solidFill>
                <a:latin typeface="Arial"/>
                <a:cs typeface="Arial"/>
              </a:rPr>
              <a:t>itration with 0.100 mol/L NaOH  of 20.0 mL</a:t>
            </a:r>
          </a:p>
          <a:p>
            <a:pPr>
              <a:defRPr sz="1075" b="0" i="0" u="none" strike="noStrike" baseline="0">
                <a:solidFill>
                  <a:srgbClr val="000000"/>
                </a:solidFill>
                <a:latin typeface="Arial"/>
                <a:ea typeface="Arial"/>
                <a:cs typeface="Arial"/>
              </a:defRPr>
            </a:pPr>
            <a:r>
              <a:rPr lang="pt-BR" sz="1100" b="1" i="0" strike="noStrike">
                <a:solidFill>
                  <a:srgbClr val="000000"/>
                </a:solidFill>
                <a:latin typeface="Arial"/>
                <a:cs typeface="Arial"/>
              </a:rPr>
              <a:t>of a mixture of 0.0250 mol/L citric acid</a:t>
            </a:r>
          </a:p>
          <a:p>
            <a:pPr>
              <a:defRPr sz="1075" b="0" i="0" u="none" strike="noStrike" baseline="0">
                <a:solidFill>
                  <a:srgbClr val="000000"/>
                </a:solidFill>
                <a:latin typeface="Arial"/>
                <a:ea typeface="Arial"/>
                <a:cs typeface="Arial"/>
              </a:defRPr>
            </a:pPr>
            <a:r>
              <a:rPr lang="pt-BR" sz="1100" b="1" i="0" strike="noStrike">
                <a:solidFill>
                  <a:srgbClr val="000000"/>
                </a:solidFill>
                <a:latin typeface="Arial"/>
                <a:cs typeface="Arial"/>
              </a:rPr>
              <a:t>and 0.0350 mol/L glycine</a:t>
            </a:r>
            <a:endParaRPr lang="pt-BR" sz="1100" b="0" i="0" strike="noStrike">
              <a:solidFill>
                <a:srgbClr val="000000"/>
              </a:solidFill>
              <a:latin typeface="Arial"/>
              <a:cs typeface="Arial"/>
            </a:endParaRPr>
          </a:p>
          <a:p>
            <a:pPr>
              <a:defRPr sz="1075" b="0" i="0" u="none" strike="noStrike" baseline="0">
                <a:solidFill>
                  <a:srgbClr val="000000"/>
                </a:solidFill>
                <a:latin typeface="Arial"/>
                <a:ea typeface="Arial"/>
                <a:cs typeface="Arial"/>
              </a:defRPr>
            </a:pPr>
            <a:r>
              <a:rPr lang="pt-BR" sz="1100" b="0" i="0" strike="noStrike">
                <a:solidFill>
                  <a:srgbClr val="000000"/>
                </a:solidFill>
                <a:latin typeface="Arial"/>
                <a:cs typeface="Arial"/>
              </a:rPr>
              <a:t>(sVol=0.02; spH=0.02)</a:t>
            </a:r>
          </a:p>
        </c:rich>
      </c:tx>
      <c:layout>
        <c:manualLayout>
          <c:xMode val="edge"/>
          <c:yMode val="edge"/>
          <c:x val="8.9454458430837672E-2"/>
          <c:y val="6.6758590856247732E-2"/>
        </c:manualLayout>
      </c:layout>
      <c:overlay val="0"/>
      <c:spPr>
        <a:noFill/>
        <a:ln w="25400">
          <a:noFill/>
        </a:ln>
      </c:spPr>
    </c:title>
    <c:autoTitleDeleted val="0"/>
    <c:plotArea>
      <c:layout>
        <c:manualLayout>
          <c:layoutTarget val="inner"/>
          <c:xMode val="edge"/>
          <c:yMode val="edge"/>
          <c:x val="7.0933672010247875E-2"/>
          <c:y val="2.1489584974379656E-2"/>
          <c:w val="0.89990105867346315"/>
          <c:h val="0.8203328631354887"/>
        </c:manualLayout>
      </c:layout>
      <c:scatterChart>
        <c:scatterStyle val="smoothMarker"/>
        <c:varyColors val="0"/>
        <c:ser>
          <c:idx val="0"/>
          <c:order val="0"/>
          <c:tx>
            <c:v>Curva de Titulação</c:v>
          </c:tx>
          <c:spPr>
            <a:ln w="12700">
              <a:solidFill>
                <a:srgbClr val="09007E"/>
              </a:solidFill>
              <a:prstDash val="solid"/>
            </a:ln>
          </c:spPr>
          <c:marker>
            <c:symbol val="diamond"/>
            <c:size val="6"/>
            <c:spPr>
              <a:solidFill>
                <a:srgbClr val="09007E"/>
              </a:solidFill>
              <a:ln>
                <a:solidFill>
                  <a:srgbClr val="09007E"/>
                </a:solidFill>
                <a:prstDash val="solid"/>
              </a:ln>
            </c:spPr>
          </c:marker>
          <c:xVal>
            <c:numRef>
              <c:f>Regression!$A$41:$A$162</c:f>
              <c:numCache>
                <c:formatCode>0.000</c:formatCode>
                <c:ptCount val="122"/>
                <c:pt idx="0">
                  <c:v>0</c:v>
                </c:pt>
                <c:pt idx="1">
                  <c:v>0.87795368308434263</c:v>
                </c:pt>
                <c:pt idx="2">
                  <c:v>1.6979725172859617</c:v>
                </c:pt>
                <c:pt idx="3">
                  <c:v>2.4511264302418567</c:v>
                </c:pt>
                <c:pt idx="4">
                  <c:v>3.1349450364359654</c:v>
                </c:pt>
                <c:pt idx="5">
                  <c:v>3.7547393163549714</c:v>
                </c:pt>
                <c:pt idx="6">
                  <c:v>4.3231222967733629</c:v>
                </c:pt>
                <c:pt idx="7">
                  <c:v>4.8577314577414654</c:v>
                </c:pt>
                <c:pt idx="8">
                  <c:v>5.3776574277435429</c:v>
                </c:pt>
                <c:pt idx="9">
                  <c:v>5.8992317426600493</c:v>
                </c:pt>
                <c:pt idx="10">
                  <c:v>6.4320653895265423</c:v>
                </c:pt>
                <c:pt idx="11">
                  <c:v>6.9767121531185694</c:v>
                </c:pt>
                <c:pt idx="12">
                  <c:v>7.5253937233355828</c:v>
                </c:pt>
                <c:pt idx="13">
                  <c:v>8.0660327701480128</c:v>
                </c:pt>
                <c:pt idx="14">
                  <c:v>8.5878766272799112</c:v>
                </c:pt>
                <c:pt idx="15">
                  <c:v>9.0860306183458306</c:v>
                </c:pt>
                <c:pt idx="16">
                  <c:v>9.5631117394077592</c:v>
                </c:pt>
                <c:pt idx="17">
                  <c:v>10.027885822637472</c:v>
                </c:pt>
                <c:pt idx="18">
                  <c:v>10.491771616216283</c:v>
                </c:pt>
                <c:pt idx="19">
                  <c:v>10.964314219017979</c:v>
                </c:pt>
                <c:pt idx="20">
                  <c:v>11.448833580652718</c:v>
                </c:pt>
                <c:pt idx="21">
                  <c:v>11.939793326018844</c:v>
                </c:pt>
                <c:pt idx="22">
                  <c:v>12.423383911664132</c:v>
                </c:pt>
                <c:pt idx="23">
                  <c:v>12.881495391775388</c:v>
                </c:pt>
                <c:pt idx="24">
                  <c:v>13.297209756274242</c:v>
                </c:pt>
                <c:pt idx="25">
                  <c:v>13.659096746414434</c:v>
                </c:pt>
                <c:pt idx="26">
                  <c:v>13.962769800855312</c:v>
                </c:pt>
                <c:pt idx="27">
                  <c:v>14.210002183972392</c:v>
                </c:pt>
                <c:pt idx="28">
                  <c:v>14.406663844420109</c:v>
                </c:pt>
                <c:pt idx="29">
                  <c:v>14.560617950337473</c:v>
                </c:pt>
                <c:pt idx="30">
                  <c:v>14.680155283713248</c:v>
                </c:pt>
                <c:pt idx="31">
                  <c:v>14.773074111144524</c:v>
                </c:pt>
                <c:pt idx="32">
                  <c:v>14.84628180769505</c:v>
                </c:pt>
                <c:pt idx="33">
                  <c:v>14.905741201073397</c:v>
                </c:pt>
                <c:pt idx="34">
                  <c:v>14.956614199036267</c:v>
                </c:pt>
                <c:pt idx="35">
                  <c:v>15.003504943160806</c:v>
                </c:pt>
                <c:pt idx="36">
                  <c:v>15.050747345958371</c:v>
                </c:pt>
                <c:pt idx="37">
                  <c:v>15.102709837083239</c:v>
                </c:pt>
                <c:pt idx="38">
                  <c:v>15.16410350886872</c:v>
                </c:pt>
                <c:pt idx="39">
                  <c:v>15.240280378202442</c:v>
                </c:pt>
                <c:pt idx="40">
                  <c:v>15.337496060237754</c:v>
                </c:pt>
                <c:pt idx="41">
                  <c:v>15.463084501971025</c:v>
                </c:pt>
                <c:pt idx="42">
                  <c:v>15.625451547384728</c:v>
                </c:pt>
                <c:pt idx="43">
                  <c:v>15.83374493784504</c:v>
                </c:pt>
                <c:pt idx="44">
                  <c:v>16.097023374459241</c:v>
                </c:pt>
                <c:pt idx="45">
                  <c:v>16.422776044055354</c:v>
                </c:pt>
                <c:pt idx="46">
                  <c:v>16.814808531489689</c:v>
                </c:pt>
                <c:pt idx="47">
                  <c:v>17.270861055294517</c:v>
                </c:pt>
                <c:pt idx="48">
                  <c:v>17.780781710462179</c:v>
                </c:pt>
                <c:pt idx="49">
                  <c:v>18.326342337240931</c:v>
                </c:pt>
                <c:pt idx="50">
                  <c:v>18.883451000147033</c:v>
                </c:pt>
                <c:pt idx="51">
                  <c:v>19.426484357973095</c:v>
                </c:pt>
                <c:pt idx="52">
                  <c:v>19.933300970296841</c:v>
                </c:pt>
                <c:pt idx="53">
                  <c:v>20.389101548062172</c:v>
                </c:pt>
                <c:pt idx="54">
                  <c:v>20.788013354467694</c:v>
                </c:pt>
                <c:pt idx="55">
                  <c:v>21.132498390215915</c:v>
                </c:pt>
                <c:pt idx="56">
                  <c:v>21.431539957120549</c:v>
                </c:pt>
                <c:pt idx="57">
                  <c:v>21.698694249789696</c:v>
                </c:pt>
                <c:pt idx="58">
                  <c:v>21.950749414099846</c:v>
                </c:pt>
                <c:pt idx="59">
                  <c:v>22.207322194299195</c:v>
                </c:pt>
                <c:pt idx="60">
                  <c:v>22.491481258475687</c:v>
                </c:pt>
                <c:pt idx="61">
                  <c:v>22.831461780879181</c:v>
                </c:pt>
                <c:pt idx="62">
                  <c:v>23.263700974348467</c:v>
                </c:pt>
                <c:pt idx="63">
                  <c:v>23.837788712990005</c:v>
                </c:pt>
                <c:pt idx="64">
                  <c:v>24.624625903379638</c:v>
                </c:pt>
                <c:pt idx="65">
                  <c:v>25.730517484771553</c:v>
                </c:pt>
                <c:pt idx="66">
                  <c:v>27.32318145717727</c:v>
                </c:pt>
                <c:pt idx="67">
                  <c:v>29.683852127345745</c:v>
                </c:pt>
                <c:pt idx="68">
                  <c:v>33.322947287524585</c:v>
                </c:pt>
                <c:pt idx="69">
                  <c:v>39.274074586865027</c:v>
                </c:pt>
                <c:pt idx="70">
                  <c:v>49.999999995634425</c:v>
                </c:pt>
              </c:numCache>
            </c:numRef>
          </c:xVal>
          <c:yVal>
            <c:numRef>
              <c:f>Regression!$B$41:$B$162</c:f>
              <c:numCache>
                <c:formatCode>0.0000</c:formatCode>
                <c:ptCount val="122"/>
                <c:pt idx="0">
                  <c:v>2.9292395076433086</c:v>
                </c:pt>
                <c:pt idx="1">
                  <c:v>3.0242592277261426</c:v>
                </c:pt>
                <c:pt idx="2">
                  <c:v>3.1255907235298888</c:v>
                </c:pt>
                <c:pt idx="3">
                  <c:v>3.2933397359810788</c:v>
                </c:pt>
                <c:pt idx="4">
                  <c:v>3.4516660766305347</c:v>
                </c:pt>
                <c:pt idx="5">
                  <c:v>3.5879686920942295</c:v>
                </c:pt>
                <c:pt idx="6">
                  <c:v>3.6873442574627857</c:v>
                </c:pt>
                <c:pt idx="7">
                  <c:v>3.8579930711773232</c:v>
                </c:pt>
                <c:pt idx="8">
                  <c:v>4.0025701700123921</c:v>
                </c:pt>
                <c:pt idx="9">
                  <c:v>4.126329174600178</c:v>
                </c:pt>
                <c:pt idx="10">
                  <c:v>4.2904112158044843</c:v>
                </c:pt>
                <c:pt idx="11">
                  <c:v>4.4092143226863287</c:v>
                </c:pt>
                <c:pt idx="12">
                  <c:v>4.5311235098191993</c:v>
                </c:pt>
                <c:pt idx="13">
                  <c:v>4.666521685185482</c:v>
                </c:pt>
                <c:pt idx="14">
                  <c:v>4.8585299434066762</c:v>
                </c:pt>
                <c:pt idx="15">
                  <c:v>4.9485936682870735</c:v>
                </c:pt>
                <c:pt idx="16">
                  <c:v>5.160995920721752</c:v>
                </c:pt>
                <c:pt idx="17">
                  <c:v>5.2320278461258294</c:v>
                </c:pt>
                <c:pt idx="18">
                  <c:v>5.4014090132506976</c:v>
                </c:pt>
                <c:pt idx="19">
                  <c:v>5.520561666922843</c:v>
                </c:pt>
                <c:pt idx="20">
                  <c:v>5.6553593662136379</c:v>
                </c:pt>
                <c:pt idx="21">
                  <c:v>5.7817578076145644</c:v>
                </c:pt>
                <c:pt idx="22">
                  <c:v>5.9118777988780709</c:v>
                </c:pt>
                <c:pt idx="23">
                  <c:v>6.0577402761172214</c:v>
                </c:pt>
                <c:pt idx="24">
                  <c:v>6.1770905069722941</c:v>
                </c:pt>
                <c:pt idx="25">
                  <c:v>6.4149534237326344</c:v>
                </c:pt>
                <c:pt idx="26">
                  <c:v>6.4769112381131961</c:v>
                </c:pt>
                <c:pt idx="27">
                  <c:v>6.6273230229128508</c:v>
                </c:pt>
                <c:pt idx="28">
                  <c:v>6.7758363854579944</c:v>
                </c:pt>
                <c:pt idx="29">
                  <c:v>6.9239615864208544</c:v>
                </c:pt>
                <c:pt idx="30">
                  <c:v>7.0654141329579554</c:v>
                </c:pt>
                <c:pt idx="31">
                  <c:v>7.1705109682570018</c:v>
                </c:pt>
                <c:pt idx="32">
                  <c:v>7.335126270298276</c:v>
                </c:pt>
                <c:pt idx="33">
                  <c:v>7.4488420585508965</c:v>
                </c:pt>
                <c:pt idx="34">
                  <c:v>7.6457454612215425</c:v>
                </c:pt>
                <c:pt idx="35">
                  <c:v>7.7642439426149625</c:v>
                </c:pt>
                <c:pt idx="36">
                  <c:v>7.8785707528177369</c:v>
                </c:pt>
                <c:pt idx="37">
                  <c:v>8.0312312097087091</c:v>
                </c:pt>
                <c:pt idx="38">
                  <c:v>8.1354884830845489</c:v>
                </c:pt>
                <c:pt idx="39">
                  <c:v>8.2851109395244986</c:v>
                </c:pt>
                <c:pt idx="40">
                  <c:v>8.4163256715274422</c:v>
                </c:pt>
                <c:pt idx="41">
                  <c:v>8.5162795307449155</c:v>
                </c:pt>
                <c:pt idx="42">
                  <c:v>8.7111918529670387</c:v>
                </c:pt>
                <c:pt idx="43">
                  <c:v>8.8076140254745106</c:v>
                </c:pt>
                <c:pt idx="44">
                  <c:v>8.9355029984547709</c:v>
                </c:pt>
                <c:pt idx="45">
                  <c:v>9.0741280413936671</c:v>
                </c:pt>
                <c:pt idx="46">
                  <c:v>9.2161862707342443</c:v>
                </c:pt>
                <c:pt idx="47">
                  <c:v>9.3747626213641411</c:v>
                </c:pt>
                <c:pt idx="48">
                  <c:v>9.4781753820591188</c:v>
                </c:pt>
                <c:pt idx="49">
                  <c:v>9.6143446978506706</c:v>
                </c:pt>
                <c:pt idx="50">
                  <c:v>9.7396602970849475</c:v>
                </c:pt>
                <c:pt idx="51">
                  <c:v>9.9258049194563522</c:v>
                </c:pt>
                <c:pt idx="52">
                  <c:v>10.031987109556535</c:v>
                </c:pt>
                <c:pt idx="53">
                  <c:v>10.202887247648615</c:v>
                </c:pt>
                <c:pt idx="54">
                  <c:v>10.290634401448534</c:v>
                </c:pt>
                <c:pt idx="55">
                  <c:v>10.417895616528499</c:v>
                </c:pt>
                <c:pt idx="56">
                  <c:v>10.55434135139315</c:v>
                </c:pt>
                <c:pt idx="57">
                  <c:v>10.734422648245941</c:v>
                </c:pt>
                <c:pt idx="58">
                  <c:v>10.868167724032876</c:v>
                </c:pt>
                <c:pt idx="59">
                  <c:v>10.981642393549766</c:v>
                </c:pt>
                <c:pt idx="60">
                  <c:v>11.110603281563485</c:v>
                </c:pt>
                <c:pt idx="61">
                  <c:v>11.272657863965625</c:v>
                </c:pt>
                <c:pt idx="62">
                  <c:v>11.418746344965863</c:v>
                </c:pt>
                <c:pt idx="63">
                  <c:v>11.544600449625474</c:v>
                </c:pt>
                <c:pt idx="64">
                  <c:v>11.716381262755226</c:v>
                </c:pt>
                <c:pt idx="65">
                  <c:v>11.841987918362173</c:v>
                </c:pt>
                <c:pt idx="66">
                  <c:v>11.928379050320729</c:v>
                </c:pt>
                <c:pt idx="67">
                  <c:v>12.047820911462628</c:v>
                </c:pt>
                <c:pt idx="68">
                  <c:v>12.227039328612095</c:v>
                </c:pt>
                <c:pt idx="69">
                  <c:v>12.340699770716011</c:v>
                </c:pt>
                <c:pt idx="70">
                  <c:v>12.504307661022999</c:v>
                </c:pt>
              </c:numCache>
            </c:numRef>
          </c:yVal>
          <c:smooth val="1"/>
          <c:extLst>
            <c:ext xmlns:c16="http://schemas.microsoft.com/office/drawing/2014/chart" uri="{C3380CC4-5D6E-409C-BE32-E72D297353CC}">
              <c16:uniqueId val="{00000000-2AC7-42D4-B2D7-7CF47E806637}"/>
            </c:ext>
          </c:extLst>
        </c:ser>
        <c:ser>
          <c:idx val="1"/>
          <c:order val="1"/>
          <c:tx>
            <c:v>pHs_ajustados</c:v>
          </c:tx>
          <c:spPr>
            <a:ln w="12700">
              <a:solidFill>
                <a:srgbClr val="FF0000"/>
              </a:solidFill>
              <a:prstDash val="solid"/>
            </a:ln>
          </c:spPr>
          <c:marker>
            <c:symbol val="circle"/>
            <c:size val="3"/>
            <c:spPr>
              <a:solidFill>
                <a:srgbClr val="FFFF99"/>
              </a:solidFill>
              <a:ln>
                <a:solidFill>
                  <a:srgbClr val="FF0000"/>
                </a:solidFill>
                <a:prstDash val="solid"/>
              </a:ln>
            </c:spPr>
          </c:marker>
          <c:xVal>
            <c:numRef>
              <c:f>Regression!$A$41:$A$162</c:f>
              <c:numCache>
                <c:formatCode>0.000</c:formatCode>
                <c:ptCount val="122"/>
                <c:pt idx="0">
                  <c:v>0</c:v>
                </c:pt>
                <c:pt idx="1">
                  <c:v>0.87795368308434263</c:v>
                </c:pt>
                <c:pt idx="2">
                  <c:v>1.6979725172859617</c:v>
                </c:pt>
                <c:pt idx="3">
                  <c:v>2.4511264302418567</c:v>
                </c:pt>
                <c:pt idx="4">
                  <c:v>3.1349450364359654</c:v>
                </c:pt>
                <c:pt idx="5">
                  <c:v>3.7547393163549714</c:v>
                </c:pt>
                <c:pt idx="6">
                  <c:v>4.3231222967733629</c:v>
                </c:pt>
                <c:pt idx="7">
                  <c:v>4.8577314577414654</c:v>
                </c:pt>
                <c:pt idx="8">
                  <c:v>5.3776574277435429</c:v>
                </c:pt>
                <c:pt idx="9">
                  <c:v>5.8992317426600493</c:v>
                </c:pt>
                <c:pt idx="10">
                  <c:v>6.4320653895265423</c:v>
                </c:pt>
                <c:pt idx="11">
                  <c:v>6.9767121531185694</c:v>
                </c:pt>
                <c:pt idx="12">
                  <c:v>7.5253937233355828</c:v>
                </c:pt>
                <c:pt idx="13">
                  <c:v>8.0660327701480128</c:v>
                </c:pt>
                <c:pt idx="14">
                  <c:v>8.5878766272799112</c:v>
                </c:pt>
                <c:pt idx="15">
                  <c:v>9.0860306183458306</c:v>
                </c:pt>
                <c:pt idx="16">
                  <c:v>9.5631117394077592</c:v>
                </c:pt>
                <c:pt idx="17">
                  <c:v>10.027885822637472</c:v>
                </c:pt>
                <c:pt idx="18">
                  <c:v>10.491771616216283</c:v>
                </c:pt>
                <c:pt idx="19">
                  <c:v>10.964314219017979</c:v>
                </c:pt>
                <c:pt idx="20">
                  <c:v>11.448833580652718</c:v>
                </c:pt>
                <c:pt idx="21">
                  <c:v>11.939793326018844</c:v>
                </c:pt>
                <c:pt idx="22">
                  <c:v>12.423383911664132</c:v>
                </c:pt>
                <c:pt idx="23">
                  <c:v>12.881495391775388</c:v>
                </c:pt>
                <c:pt idx="24">
                  <c:v>13.297209756274242</c:v>
                </c:pt>
                <c:pt idx="25">
                  <c:v>13.659096746414434</c:v>
                </c:pt>
                <c:pt idx="26">
                  <c:v>13.962769800855312</c:v>
                </c:pt>
                <c:pt idx="27">
                  <c:v>14.210002183972392</c:v>
                </c:pt>
                <c:pt idx="28">
                  <c:v>14.406663844420109</c:v>
                </c:pt>
                <c:pt idx="29">
                  <c:v>14.560617950337473</c:v>
                </c:pt>
                <c:pt idx="30">
                  <c:v>14.680155283713248</c:v>
                </c:pt>
                <c:pt idx="31">
                  <c:v>14.773074111144524</c:v>
                </c:pt>
                <c:pt idx="32">
                  <c:v>14.84628180769505</c:v>
                </c:pt>
                <c:pt idx="33">
                  <c:v>14.905741201073397</c:v>
                </c:pt>
                <c:pt idx="34">
                  <c:v>14.956614199036267</c:v>
                </c:pt>
                <c:pt idx="35">
                  <c:v>15.003504943160806</c:v>
                </c:pt>
                <c:pt idx="36">
                  <c:v>15.050747345958371</c:v>
                </c:pt>
                <c:pt idx="37">
                  <c:v>15.102709837083239</c:v>
                </c:pt>
                <c:pt idx="38">
                  <c:v>15.16410350886872</c:v>
                </c:pt>
                <c:pt idx="39">
                  <c:v>15.240280378202442</c:v>
                </c:pt>
                <c:pt idx="40">
                  <c:v>15.337496060237754</c:v>
                </c:pt>
                <c:pt idx="41">
                  <c:v>15.463084501971025</c:v>
                </c:pt>
                <c:pt idx="42">
                  <c:v>15.625451547384728</c:v>
                </c:pt>
                <c:pt idx="43">
                  <c:v>15.83374493784504</c:v>
                </c:pt>
                <c:pt idx="44">
                  <c:v>16.097023374459241</c:v>
                </c:pt>
                <c:pt idx="45">
                  <c:v>16.422776044055354</c:v>
                </c:pt>
                <c:pt idx="46">
                  <c:v>16.814808531489689</c:v>
                </c:pt>
                <c:pt idx="47">
                  <c:v>17.270861055294517</c:v>
                </c:pt>
                <c:pt idx="48">
                  <c:v>17.780781710462179</c:v>
                </c:pt>
                <c:pt idx="49">
                  <c:v>18.326342337240931</c:v>
                </c:pt>
                <c:pt idx="50">
                  <c:v>18.883451000147033</c:v>
                </c:pt>
                <c:pt idx="51">
                  <c:v>19.426484357973095</c:v>
                </c:pt>
                <c:pt idx="52">
                  <c:v>19.933300970296841</c:v>
                </c:pt>
                <c:pt idx="53">
                  <c:v>20.389101548062172</c:v>
                </c:pt>
                <c:pt idx="54">
                  <c:v>20.788013354467694</c:v>
                </c:pt>
                <c:pt idx="55">
                  <c:v>21.132498390215915</c:v>
                </c:pt>
                <c:pt idx="56">
                  <c:v>21.431539957120549</c:v>
                </c:pt>
                <c:pt idx="57">
                  <c:v>21.698694249789696</c:v>
                </c:pt>
                <c:pt idx="58">
                  <c:v>21.950749414099846</c:v>
                </c:pt>
                <c:pt idx="59">
                  <c:v>22.207322194299195</c:v>
                </c:pt>
                <c:pt idx="60">
                  <c:v>22.491481258475687</c:v>
                </c:pt>
                <c:pt idx="61">
                  <c:v>22.831461780879181</c:v>
                </c:pt>
                <c:pt idx="62">
                  <c:v>23.263700974348467</c:v>
                </c:pt>
                <c:pt idx="63">
                  <c:v>23.837788712990005</c:v>
                </c:pt>
                <c:pt idx="64">
                  <c:v>24.624625903379638</c:v>
                </c:pt>
                <c:pt idx="65">
                  <c:v>25.730517484771553</c:v>
                </c:pt>
                <c:pt idx="66">
                  <c:v>27.32318145717727</c:v>
                </c:pt>
                <c:pt idx="67">
                  <c:v>29.683852127345745</c:v>
                </c:pt>
                <c:pt idx="68">
                  <c:v>33.322947287524585</c:v>
                </c:pt>
                <c:pt idx="69">
                  <c:v>39.274074586865027</c:v>
                </c:pt>
                <c:pt idx="70">
                  <c:v>49.999999995634425</c:v>
                </c:pt>
              </c:numCache>
            </c:numRef>
          </c:xVal>
          <c:yVal>
            <c:numRef>
              <c:f>Regression!$C$41:$C$162</c:f>
              <c:numCache>
                <c:formatCode>0.0000</c:formatCode>
                <c:ptCount val="122"/>
                <c:pt idx="0">
                  <c:v>2.8861632347106934</c:v>
                </c:pt>
                <c:pt idx="1">
                  <c:v>3.025536060333252</c:v>
                </c:pt>
                <c:pt idx="2">
                  <c:v>3.1648154258728027</c:v>
                </c:pt>
                <c:pt idx="3">
                  <c:v>3.3038496971130371</c:v>
                </c:pt>
                <c:pt idx="4">
                  <c:v>3.442634105682373</c:v>
                </c:pt>
                <c:pt idx="5">
                  <c:v>3.5813689231872559</c:v>
                </c:pt>
                <c:pt idx="6">
                  <c:v>3.720573902130127</c:v>
                </c:pt>
                <c:pt idx="7">
                  <c:v>3.8588471412658691</c:v>
                </c:pt>
                <c:pt idx="8">
                  <c:v>3.9975075721740723</c:v>
                </c:pt>
                <c:pt idx="9">
                  <c:v>4.1369204521179199</c:v>
                </c:pt>
                <c:pt idx="10">
                  <c:v>4.2750144004821777</c:v>
                </c:pt>
                <c:pt idx="11">
                  <c:v>4.4148745536804199</c:v>
                </c:pt>
                <c:pt idx="12">
                  <c:v>4.5546164512634277</c:v>
                </c:pt>
                <c:pt idx="13">
                  <c:v>4.6936049461364746</c:v>
                </c:pt>
                <c:pt idx="14">
                  <c:v>4.8298306465148926</c:v>
                </c:pt>
                <c:pt idx="15">
                  <c:v>4.970512866973877</c:v>
                </c:pt>
                <c:pt idx="16">
                  <c:v>5.1053652763366699</c:v>
                </c:pt>
                <c:pt idx="17">
                  <c:v>5.2468676567077637</c:v>
                </c:pt>
                <c:pt idx="18">
                  <c:v>5.383450984954834</c:v>
                </c:pt>
                <c:pt idx="19">
                  <c:v>5.5227131843566895</c:v>
                </c:pt>
                <c:pt idx="20">
                  <c:v>5.6611342430114746</c:v>
                </c:pt>
                <c:pt idx="21">
                  <c:v>5.8000121116638184</c:v>
                </c:pt>
                <c:pt idx="22">
                  <c:v>5.9385132789611816</c:v>
                </c:pt>
                <c:pt idx="23">
                  <c:v>6.0759644508361816</c:v>
                </c:pt>
                <c:pt idx="24">
                  <c:v>6.2145247459411621</c:v>
                </c:pt>
                <c:pt idx="25">
                  <c:v>6.3485226631164551</c:v>
                </c:pt>
                <c:pt idx="26">
                  <c:v>6.4886946678161621</c:v>
                </c:pt>
                <c:pt idx="27">
                  <c:v>6.625999927520752</c:v>
                </c:pt>
                <c:pt idx="28">
                  <c:v>6.7635617256164551</c:v>
                </c:pt>
                <c:pt idx="29">
                  <c:v>6.9013829231262207</c:v>
                </c:pt>
                <c:pt idx="30">
                  <c:v>7.0395674705505371</c:v>
                </c:pt>
                <c:pt idx="31">
                  <c:v>7.1782851219177246</c:v>
                </c:pt>
                <c:pt idx="32">
                  <c:v>7.3167929649353027</c:v>
                </c:pt>
                <c:pt idx="33">
                  <c:v>7.4554896354675293</c:v>
                </c:pt>
                <c:pt idx="34">
                  <c:v>7.5933661460876465</c:v>
                </c:pt>
                <c:pt idx="35">
                  <c:v>7.7303175926208496</c:v>
                </c:pt>
                <c:pt idx="36">
                  <c:v>7.8659453392028809</c:v>
                </c:pt>
                <c:pt idx="37">
                  <c:v>8.000582218170166</c:v>
                </c:pt>
                <c:pt idx="38">
                  <c:v>8.134885311126709</c:v>
                </c:pt>
                <c:pt idx="39">
                  <c:v>8.2692437171936035</c:v>
                </c:pt>
                <c:pt idx="40">
                  <c:v>8.4039196968078613</c:v>
                </c:pt>
                <c:pt idx="41">
                  <c:v>8.5389704704284668</c:v>
                </c:pt>
                <c:pt idx="42">
                  <c:v>8.674278736114502</c:v>
                </c:pt>
                <c:pt idx="43">
                  <c:v>8.8099255561828613</c:v>
                </c:pt>
                <c:pt idx="44">
                  <c:v>8.9457507133483887</c:v>
                </c:pt>
                <c:pt idx="45">
                  <c:v>9.0817131996154785</c:v>
                </c:pt>
                <c:pt idx="46">
                  <c:v>9.2177720069885254</c:v>
                </c:pt>
                <c:pt idx="47">
                  <c:v>9.3538632392883301</c:v>
                </c:pt>
                <c:pt idx="48">
                  <c:v>9.4900803565979004</c:v>
                </c:pt>
                <c:pt idx="49">
                  <c:v>9.6262354850769043</c:v>
                </c:pt>
                <c:pt idx="50">
                  <c:v>9.7623715400695801</c:v>
                </c:pt>
                <c:pt idx="51">
                  <c:v>9.8983235359191895</c:v>
                </c:pt>
                <c:pt idx="52">
                  <c:v>10.034309864044189</c:v>
                </c:pt>
                <c:pt idx="53">
                  <c:v>10.170055866241455</c:v>
                </c:pt>
                <c:pt idx="54">
                  <c:v>10.3057541847229</c:v>
                </c:pt>
                <c:pt idx="55">
                  <c:v>10.441256999969482</c:v>
                </c:pt>
                <c:pt idx="56">
                  <c:v>10.576706409454346</c:v>
                </c:pt>
                <c:pt idx="57">
                  <c:v>10.712281703948975</c:v>
                </c:pt>
                <c:pt idx="58">
                  <c:v>10.84832239151001</c:v>
                </c:pt>
                <c:pt idx="59">
                  <c:v>10.984983921051025</c:v>
                </c:pt>
                <c:pt idx="60">
                  <c:v>11.122183322906494</c:v>
                </c:pt>
                <c:pt idx="61">
                  <c:v>11.259646892547607</c:v>
                </c:pt>
                <c:pt idx="62">
                  <c:v>11.397158145904541</c:v>
                </c:pt>
                <c:pt idx="63">
                  <c:v>11.534583568572998</c:v>
                </c:pt>
                <c:pt idx="64">
                  <c:v>11.671737194061279</c:v>
                </c:pt>
                <c:pt idx="65">
                  <c:v>11.808842182159424</c:v>
                </c:pt>
                <c:pt idx="66">
                  <c:v>11.946029186248779</c:v>
                </c:pt>
                <c:pt idx="67">
                  <c:v>12.083085536956787</c:v>
                </c:pt>
                <c:pt idx="68">
                  <c:v>12.219712734222412</c:v>
                </c:pt>
                <c:pt idx="69">
                  <c:v>12.356882572174072</c:v>
                </c:pt>
                <c:pt idx="70">
                  <c:v>12.49352502822876</c:v>
                </c:pt>
              </c:numCache>
            </c:numRef>
          </c:yVal>
          <c:smooth val="1"/>
          <c:extLst>
            <c:ext xmlns:c16="http://schemas.microsoft.com/office/drawing/2014/chart" uri="{C3380CC4-5D6E-409C-BE32-E72D297353CC}">
              <c16:uniqueId val="{00000001-2AC7-42D4-B2D7-7CF47E806637}"/>
            </c:ext>
          </c:extLst>
        </c:ser>
        <c:dLbls>
          <c:showLegendKey val="0"/>
          <c:showVal val="0"/>
          <c:showCatName val="0"/>
          <c:showSerName val="0"/>
          <c:showPercent val="0"/>
          <c:showBubbleSize val="0"/>
        </c:dLbls>
        <c:axId val="158791936"/>
        <c:axId val="159195904"/>
      </c:scatterChart>
      <c:valAx>
        <c:axId val="158791936"/>
        <c:scaling>
          <c:orientation val="minMax"/>
        </c:scaling>
        <c:delete val="0"/>
        <c:axPos val="b"/>
        <c:majorGridlines/>
        <c:title>
          <c:tx>
            <c:rich>
              <a:bodyPr/>
              <a:lstStyle/>
              <a:p>
                <a:pPr>
                  <a:defRPr sz="1050" b="1" i="0" u="none" strike="noStrike" baseline="0">
                    <a:solidFill>
                      <a:srgbClr val="000000"/>
                    </a:solidFill>
                    <a:latin typeface="Arial"/>
                    <a:ea typeface="Arial"/>
                    <a:cs typeface="Arial"/>
                  </a:defRPr>
                </a:pPr>
                <a:r>
                  <a:rPr lang="pt-BR"/>
                  <a:t>Titrant volume (mL)</a:t>
                </a:r>
              </a:p>
            </c:rich>
          </c:tx>
          <c:layout>
            <c:manualLayout>
              <c:xMode val="edge"/>
              <c:yMode val="edge"/>
              <c:x val="0.43819179418013027"/>
              <c:y val="0.94882944596464469"/>
            </c:manualLayout>
          </c:layout>
          <c:overlay val="0"/>
          <c:spPr>
            <a:noFill/>
            <a:ln w="25400">
              <a:noFill/>
            </a:ln>
          </c:spPr>
        </c:title>
        <c:numFmt formatCode="0.0" sourceLinked="0"/>
        <c:majorTickMark val="cross"/>
        <c:minorTickMark val="out"/>
        <c:tickLblPos val="nextTo"/>
        <c:spPr>
          <a:ln w="3175">
            <a:solidFill>
              <a:srgbClr val="000000"/>
            </a:solidFill>
            <a:prstDash val="solid"/>
          </a:ln>
        </c:spPr>
        <c:txPr>
          <a:bodyPr rot="0" vert="horz"/>
          <a:lstStyle/>
          <a:p>
            <a:pPr>
              <a:defRPr sz="1050" b="0" i="0" u="none" strike="noStrike" baseline="0">
                <a:solidFill>
                  <a:srgbClr val="000000"/>
                </a:solidFill>
                <a:latin typeface="Arial"/>
                <a:ea typeface="Arial"/>
                <a:cs typeface="Arial"/>
              </a:defRPr>
            </a:pPr>
            <a:endParaRPr lang="en-US"/>
          </a:p>
        </c:txPr>
        <c:crossAx val="159195904"/>
        <c:crosses val="autoZero"/>
        <c:crossBetween val="midCat"/>
      </c:valAx>
      <c:valAx>
        <c:axId val="159195904"/>
        <c:scaling>
          <c:orientation val="minMax"/>
        </c:scaling>
        <c:delete val="0"/>
        <c:axPos val="l"/>
        <c:majorGridlines>
          <c:spPr>
            <a:ln w="3175">
              <a:solidFill>
                <a:srgbClr val="000000"/>
              </a:solidFill>
              <a:prstDash val="sysDash"/>
            </a:ln>
          </c:spPr>
        </c:majorGridlines>
        <c:title>
          <c:tx>
            <c:rich>
              <a:bodyPr/>
              <a:lstStyle/>
              <a:p>
                <a:pPr>
                  <a:defRPr sz="1050" b="1" i="0" u="none" strike="noStrike" baseline="0">
                    <a:solidFill>
                      <a:srgbClr val="000000"/>
                    </a:solidFill>
                    <a:latin typeface="Arial"/>
                    <a:ea typeface="Arial"/>
                    <a:cs typeface="Arial"/>
                  </a:defRPr>
                </a:pPr>
                <a:r>
                  <a:rPr lang="pt-BR"/>
                  <a:t>pH</a:t>
                </a:r>
              </a:p>
            </c:rich>
          </c:tx>
          <c:layout>
            <c:manualLayout>
              <c:xMode val="edge"/>
              <c:yMode val="edge"/>
              <c:x val="7.1735544516525404E-3"/>
              <c:y val="0.43442750507251204"/>
            </c:manualLayout>
          </c:layout>
          <c:overlay val="0"/>
          <c:spPr>
            <a:noFill/>
            <a:ln w="25400">
              <a:noFill/>
            </a:ln>
          </c:spPr>
        </c:title>
        <c:numFmt formatCode="0.0" sourceLinked="0"/>
        <c:majorTickMark val="out"/>
        <c:minorTickMark val="cross"/>
        <c:tickLblPos val="nextTo"/>
        <c:spPr>
          <a:ln w="3175">
            <a:solidFill>
              <a:srgbClr val="000000"/>
            </a:solidFill>
            <a:prstDash val="solid"/>
          </a:ln>
        </c:spPr>
        <c:txPr>
          <a:bodyPr rot="0" vert="horz"/>
          <a:lstStyle/>
          <a:p>
            <a:pPr>
              <a:defRPr sz="1050" b="0" i="0" u="none" strike="noStrike" baseline="0">
                <a:solidFill>
                  <a:srgbClr val="000000"/>
                </a:solidFill>
                <a:latin typeface="Arial"/>
                <a:ea typeface="Arial"/>
                <a:cs typeface="Arial"/>
              </a:defRPr>
            </a:pPr>
            <a:endParaRPr lang="en-US"/>
          </a:p>
        </c:txPr>
        <c:crossAx val="158791936"/>
        <c:crosses val="autoZero"/>
        <c:crossBetween val="midCat"/>
      </c:valAx>
      <c:spPr>
        <a:noFill/>
        <a:ln w="12700">
          <a:solidFill>
            <a:schemeClr val="tx1"/>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75" b="0" i="0" u="none" strike="noStrike" baseline="0">
          <a:solidFill>
            <a:srgbClr val="000000"/>
          </a:solidFill>
          <a:latin typeface="Arial"/>
          <a:ea typeface="Arial"/>
          <a:cs typeface="Arial"/>
        </a:defRPr>
      </a:pPr>
      <a:endParaRPr lang="en-US"/>
    </a:p>
  </c:txPr>
  <c:printSettings>
    <c:headerFooter alignWithMargins="0"/>
    <c:pageMargins b="0.98425196899999956" l="0.78740157499999996" r="0.78740157499999996" t="0.98425196899999956" header="0.49212598500001148" footer="0.49212598500001148"/>
    <c:pageSetup orientation="landscape" horizontalDpi="300" verticalDpi="300"/>
  </c:printSettings>
  <c:userShapes r:id="rId1"/>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0" i="0" u="none" strike="noStrike" baseline="0">
                <a:solidFill>
                  <a:srgbClr val="000000"/>
                </a:solidFill>
                <a:latin typeface="Arial"/>
                <a:ea typeface="Arial"/>
                <a:cs typeface="Arial"/>
              </a:defRPr>
            </a:pPr>
            <a:r>
              <a:rPr lang="pt-BR" sz="1100" b="1" i="0" strike="noStrike">
                <a:solidFill>
                  <a:srgbClr val="000000"/>
                </a:solidFill>
                <a:latin typeface="Arial"/>
                <a:cs typeface="Arial"/>
              </a:rPr>
              <a:t>Residuals (CH</a:t>
            </a:r>
            <a:r>
              <a:rPr lang="pt-BR" sz="1100" b="1" i="0" strike="noStrike" baseline="-25000">
                <a:solidFill>
                  <a:srgbClr val="000000"/>
                </a:solidFill>
                <a:latin typeface="Arial"/>
                <a:cs typeface="Arial"/>
              </a:rPr>
              <a:t>reg </a:t>
            </a:r>
            <a:r>
              <a:rPr lang="pt-BR" sz="1100" b="1" i="0" strike="noStrike">
                <a:solidFill>
                  <a:srgbClr val="000000"/>
                </a:solidFill>
                <a:latin typeface="Arial"/>
                <a:cs typeface="Arial"/>
              </a:rPr>
              <a:t>- CH</a:t>
            </a:r>
            <a:r>
              <a:rPr lang="pt-BR" sz="1100" b="1" i="0" strike="noStrike" baseline="-25000">
                <a:solidFill>
                  <a:srgbClr val="000000"/>
                </a:solidFill>
                <a:latin typeface="Arial"/>
                <a:cs typeface="Arial"/>
              </a:rPr>
              <a:t>calc</a:t>
            </a:r>
            <a:r>
              <a:rPr lang="pt-BR" sz="1100" b="1" i="0" strike="noStrike">
                <a:solidFill>
                  <a:srgbClr val="000000"/>
                </a:solidFill>
                <a:latin typeface="Arial"/>
                <a:cs typeface="Arial"/>
              </a:rPr>
              <a:t>)</a:t>
            </a:r>
            <a:endParaRPr lang="pt-BR" sz="1200" b="1" i="0" strike="noStrike">
              <a:solidFill>
                <a:srgbClr val="000000"/>
              </a:solidFill>
              <a:latin typeface="Arial"/>
              <a:cs typeface="Arial"/>
            </a:endParaRPr>
          </a:p>
        </c:rich>
      </c:tx>
      <c:layout>
        <c:manualLayout>
          <c:xMode val="edge"/>
          <c:yMode val="edge"/>
          <c:x val="0.39183986807097387"/>
          <c:y val="4.9699246101446472E-3"/>
        </c:manualLayout>
      </c:layout>
      <c:overlay val="0"/>
      <c:spPr>
        <a:noFill/>
        <a:ln w="25400">
          <a:noFill/>
        </a:ln>
      </c:spPr>
    </c:title>
    <c:autoTitleDeleted val="0"/>
    <c:plotArea>
      <c:layout>
        <c:manualLayout>
          <c:layoutTarget val="inner"/>
          <c:xMode val="edge"/>
          <c:yMode val="edge"/>
          <c:x val="0.17225237409237054"/>
          <c:y val="9.8599048672331491E-2"/>
          <c:w val="0.7826294887502373"/>
          <c:h val="0.68290513118118756"/>
        </c:manualLayout>
      </c:layout>
      <c:scatterChart>
        <c:scatterStyle val="smoothMarker"/>
        <c:varyColors val="0"/>
        <c:ser>
          <c:idx val="0"/>
          <c:order val="0"/>
          <c:tx>
            <c:v>Residues</c:v>
          </c:tx>
          <c:spPr>
            <a:ln w="28575">
              <a:noFill/>
            </a:ln>
          </c:spPr>
          <c:marker>
            <c:symbol val="diamond"/>
            <c:size val="5"/>
            <c:spPr>
              <a:solidFill>
                <a:srgbClr val="09007E"/>
              </a:solidFill>
              <a:ln>
                <a:solidFill>
                  <a:srgbClr val="09007E"/>
                </a:solidFill>
                <a:prstDash val="solid"/>
              </a:ln>
            </c:spPr>
          </c:marker>
          <c:xVal>
            <c:numRef>
              <c:f>Regression!$A$41:$A$162</c:f>
              <c:numCache>
                <c:formatCode>0.000</c:formatCode>
                <c:ptCount val="122"/>
                <c:pt idx="0">
                  <c:v>0</c:v>
                </c:pt>
                <c:pt idx="1">
                  <c:v>0.87795368308434263</c:v>
                </c:pt>
                <c:pt idx="2">
                  <c:v>1.6979725172859617</c:v>
                </c:pt>
                <c:pt idx="3">
                  <c:v>2.4511264302418567</c:v>
                </c:pt>
                <c:pt idx="4">
                  <c:v>3.1349450364359654</c:v>
                </c:pt>
                <c:pt idx="5">
                  <c:v>3.7547393163549714</c:v>
                </c:pt>
                <c:pt idx="6">
                  <c:v>4.3231222967733629</c:v>
                </c:pt>
                <c:pt idx="7">
                  <c:v>4.8577314577414654</c:v>
                </c:pt>
                <c:pt idx="8">
                  <c:v>5.3776574277435429</c:v>
                </c:pt>
                <c:pt idx="9">
                  <c:v>5.8992317426600493</c:v>
                </c:pt>
                <c:pt idx="10">
                  <c:v>6.4320653895265423</c:v>
                </c:pt>
                <c:pt idx="11">
                  <c:v>6.9767121531185694</c:v>
                </c:pt>
                <c:pt idx="12">
                  <c:v>7.5253937233355828</c:v>
                </c:pt>
                <c:pt idx="13">
                  <c:v>8.0660327701480128</c:v>
                </c:pt>
                <c:pt idx="14">
                  <c:v>8.5878766272799112</c:v>
                </c:pt>
                <c:pt idx="15">
                  <c:v>9.0860306183458306</c:v>
                </c:pt>
                <c:pt idx="16">
                  <c:v>9.5631117394077592</c:v>
                </c:pt>
                <c:pt idx="17">
                  <c:v>10.027885822637472</c:v>
                </c:pt>
                <c:pt idx="18">
                  <c:v>10.491771616216283</c:v>
                </c:pt>
                <c:pt idx="19">
                  <c:v>10.964314219017979</c:v>
                </c:pt>
                <c:pt idx="20">
                  <c:v>11.448833580652718</c:v>
                </c:pt>
                <c:pt idx="21">
                  <c:v>11.939793326018844</c:v>
                </c:pt>
                <c:pt idx="22">
                  <c:v>12.423383911664132</c:v>
                </c:pt>
                <c:pt idx="23">
                  <c:v>12.881495391775388</c:v>
                </c:pt>
                <c:pt idx="24">
                  <c:v>13.297209756274242</c:v>
                </c:pt>
                <c:pt idx="25">
                  <c:v>13.659096746414434</c:v>
                </c:pt>
                <c:pt idx="26">
                  <c:v>13.962769800855312</c:v>
                </c:pt>
                <c:pt idx="27">
                  <c:v>14.210002183972392</c:v>
                </c:pt>
                <c:pt idx="28">
                  <c:v>14.406663844420109</c:v>
                </c:pt>
                <c:pt idx="29">
                  <c:v>14.560617950337473</c:v>
                </c:pt>
                <c:pt idx="30">
                  <c:v>14.680155283713248</c:v>
                </c:pt>
                <c:pt idx="31">
                  <c:v>14.773074111144524</c:v>
                </c:pt>
                <c:pt idx="32">
                  <c:v>14.84628180769505</c:v>
                </c:pt>
                <c:pt idx="33">
                  <c:v>14.905741201073397</c:v>
                </c:pt>
                <c:pt idx="34">
                  <c:v>14.956614199036267</c:v>
                </c:pt>
                <c:pt idx="35">
                  <c:v>15.003504943160806</c:v>
                </c:pt>
                <c:pt idx="36">
                  <c:v>15.050747345958371</c:v>
                </c:pt>
                <c:pt idx="37">
                  <c:v>15.102709837083239</c:v>
                </c:pt>
                <c:pt idx="38">
                  <c:v>15.16410350886872</c:v>
                </c:pt>
                <c:pt idx="39">
                  <c:v>15.240280378202442</c:v>
                </c:pt>
                <c:pt idx="40">
                  <c:v>15.337496060237754</c:v>
                </c:pt>
                <c:pt idx="41">
                  <c:v>15.463084501971025</c:v>
                </c:pt>
                <c:pt idx="42">
                  <c:v>15.625451547384728</c:v>
                </c:pt>
                <c:pt idx="43">
                  <c:v>15.83374493784504</c:v>
                </c:pt>
                <c:pt idx="44">
                  <c:v>16.097023374459241</c:v>
                </c:pt>
                <c:pt idx="45">
                  <c:v>16.422776044055354</c:v>
                </c:pt>
                <c:pt idx="46">
                  <c:v>16.814808531489689</c:v>
                </c:pt>
                <c:pt idx="47">
                  <c:v>17.270861055294517</c:v>
                </c:pt>
                <c:pt idx="48">
                  <c:v>17.780781710462179</c:v>
                </c:pt>
                <c:pt idx="49">
                  <c:v>18.326342337240931</c:v>
                </c:pt>
                <c:pt idx="50">
                  <c:v>18.883451000147033</c:v>
                </c:pt>
                <c:pt idx="51">
                  <c:v>19.426484357973095</c:v>
                </c:pt>
                <c:pt idx="52">
                  <c:v>19.933300970296841</c:v>
                </c:pt>
                <c:pt idx="53">
                  <c:v>20.389101548062172</c:v>
                </c:pt>
                <c:pt idx="54">
                  <c:v>20.788013354467694</c:v>
                </c:pt>
                <c:pt idx="55">
                  <c:v>21.132498390215915</c:v>
                </c:pt>
                <c:pt idx="56">
                  <c:v>21.431539957120549</c:v>
                </c:pt>
                <c:pt idx="57">
                  <c:v>21.698694249789696</c:v>
                </c:pt>
                <c:pt idx="58">
                  <c:v>21.950749414099846</c:v>
                </c:pt>
                <c:pt idx="59">
                  <c:v>22.207322194299195</c:v>
                </c:pt>
                <c:pt idx="60">
                  <c:v>22.491481258475687</c:v>
                </c:pt>
                <c:pt idx="61">
                  <c:v>22.831461780879181</c:v>
                </c:pt>
                <c:pt idx="62">
                  <c:v>23.263700974348467</c:v>
                </c:pt>
                <c:pt idx="63">
                  <c:v>23.837788712990005</c:v>
                </c:pt>
                <c:pt idx="64">
                  <c:v>24.624625903379638</c:v>
                </c:pt>
                <c:pt idx="65">
                  <c:v>25.730517484771553</c:v>
                </c:pt>
                <c:pt idx="66">
                  <c:v>27.32318145717727</c:v>
                </c:pt>
                <c:pt idx="67">
                  <c:v>29.683852127345745</c:v>
                </c:pt>
                <c:pt idx="68">
                  <c:v>33.322947287524585</c:v>
                </c:pt>
                <c:pt idx="69">
                  <c:v>39.274074586865027</c:v>
                </c:pt>
                <c:pt idx="70">
                  <c:v>49.999999995634425</c:v>
                </c:pt>
              </c:numCache>
            </c:numRef>
          </c:xVal>
          <c:yVal>
            <c:numRef>
              <c:f>Regression!$H$41:$H$162</c:f>
              <c:numCache>
                <c:formatCode>0.000E+00</c:formatCode>
                <c:ptCount val="122"/>
                <c:pt idx="0">
                  <c:v>1.4024049738948358E-3</c:v>
                </c:pt>
                <c:pt idx="1">
                  <c:v>-3.7691326838909522E-5</c:v>
                </c:pt>
                <c:pt idx="2">
                  <c:v>-1.0392366690020194E-3</c:v>
                </c:pt>
                <c:pt idx="3">
                  <c:v>-2.422225424406621E-4</c:v>
                </c:pt>
                <c:pt idx="4">
                  <c:v>1.8090093927161655E-4</c:v>
                </c:pt>
                <c:pt idx="5">
                  <c:v>1.167368031567001E-4</c:v>
                </c:pt>
                <c:pt idx="6">
                  <c:v>-5.3460991562674642E-4</c:v>
                </c:pt>
                <c:pt idx="7">
                  <c:v>-1.265354398873042E-5</c:v>
                </c:pt>
                <c:pt idx="8">
                  <c:v>7.2120780511344962E-5</c:v>
                </c:pt>
                <c:pt idx="9">
                  <c:v>-1.4886217605661334E-4</c:v>
                </c:pt>
                <c:pt idx="10">
                  <c:v>2.1653429006984748E-4</c:v>
                </c:pt>
                <c:pt idx="11">
                  <c:v>-7.899855304517589E-5</c:v>
                </c:pt>
                <c:pt idx="12">
                  <c:v>-3.206848387097283E-4</c:v>
                </c:pt>
                <c:pt idx="13">
                  <c:v>-3.5457841790922928E-4</c:v>
                </c:pt>
                <c:pt idx="14">
                  <c:v>3.5157899014724714E-4</c:v>
                </c:pt>
                <c:pt idx="15">
                  <c:v>-2.5393723445805982E-4</c:v>
                </c:pt>
                <c:pt idx="16">
                  <c:v>6.0684537782396131E-4</c:v>
                </c:pt>
                <c:pt idx="17">
                  <c:v>-1.5750211348557197E-4</c:v>
                </c:pt>
                <c:pt idx="18">
                  <c:v>1.8929080450019731E-4</c:v>
                </c:pt>
                <c:pt idx="19">
                  <c:v>-2.2797831702239812E-5</c:v>
                </c:pt>
                <c:pt idx="20">
                  <c:v>-6.1552924928015562E-5</c:v>
                </c:pt>
                <c:pt idx="21">
                  <c:v>-1.923204002262785E-4</c:v>
                </c:pt>
                <c:pt idx="22">
                  <c:v>-2.6946101211659801E-4</c:v>
                </c:pt>
                <c:pt idx="23">
                  <c:v>-1.6986722747105998E-4</c:v>
                </c:pt>
                <c:pt idx="24">
                  <c:v>-3.1172439704457711E-4</c:v>
                </c:pt>
                <c:pt idx="25">
                  <c:v>4.4429013839371312E-4</c:v>
                </c:pt>
                <c:pt idx="26">
                  <c:v>-6.8132115265850945E-5</c:v>
                </c:pt>
                <c:pt idx="27">
                  <c:v>6.0758592572984771E-6</c:v>
                </c:pt>
                <c:pt idx="28">
                  <c:v>4.390500935710917E-5</c:v>
                </c:pt>
                <c:pt idx="29">
                  <c:v>6.2113196468566167E-5</c:v>
                </c:pt>
                <c:pt idx="30">
                  <c:v>5.4841474950606539E-5</c:v>
                </c:pt>
                <c:pt idx="31">
                  <c:v>-1.3241516655992935E-5</c:v>
                </c:pt>
                <c:pt idx="32">
                  <c:v>2.4383208863609784E-5</c:v>
                </c:pt>
                <c:pt idx="33">
                  <c:v>-7.4872734916464623E-6</c:v>
                </c:pt>
                <c:pt idx="34">
                  <c:v>5.1750413981213605E-5</c:v>
                </c:pt>
                <c:pt idx="35">
                  <c:v>3.3046266851188832E-5</c:v>
                </c:pt>
                <c:pt idx="36">
                  <c:v>1.3088658224913452E-5</c:v>
                </c:pt>
                <c:pt idx="37">
                  <c:v>3.7005567884218493E-5</c:v>
                </c:pt>
                <c:pt idx="38">
                  <c:v>8.6676715026212658E-7</c:v>
                </c:pt>
                <c:pt idx="39">
                  <c:v>2.9050493402717203E-5</c:v>
                </c:pt>
                <c:pt idx="40">
                  <c:v>2.8990499733254349E-5</c:v>
                </c:pt>
                <c:pt idx="41">
                  <c:v>-6.5996843243563974E-5</c:v>
                </c:pt>
                <c:pt idx="42">
                  <c:v>1.453221639258484E-4</c:v>
                </c:pt>
                <c:pt idx="43">
                  <c:v>-1.1110042015941013E-5</c:v>
                </c:pt>
                <c:pt idx="44">
                  <c:v>-6.0795180644689084E-5</c:v>
                </c:pt>
                <c:pt idx="45">
                  <c:v>-5.4604860539354816E-5</c:v>
                </c:pt>
                <c:pt idx="46">
                  <c:v>-1.3431944470572443E-5</c:v>
                </c:pt>
                <c:pt idx="47">
                  <c:v>2.0145335829867966E-4</c:v>
                </c:pt>
                <c:pt idx="48">
                  <c:v>-1.2249833155653089E-4</c:v>
                </c:pt>
                <c:pt idx="49">
                  <c:v>-1.2637291324887889E-4</c:v>
                </c:pt>
                <c:pt idx="50">
                  <c:v>-2.3804380434920558E-4</c:v>
                </c:pt>
                <c:pt idx="51">
                  <c:v>2.683162375483536E-4</c:v>
                </c:pt>
                <c:pt idx="52">
                  <c:v>-2.0662127343702708E-5</c:v>
                </c:pt>
                <c:pt idx="53">
                  <c:v>2.513738455660261E-4</c:v>
                </c:pt>
                <c:pt idx="54">
                  <c:v>-1.0191475841108549E-4</c:v>
                </c:pt>
                <c:pt idx="55">
                  <c:v>-1.3529290495541829E-4</c:v>
                </c:pt>
                <c:pt idx="56">
                  <c:v>-1.1232414877282437E-4</c:v>
                </c:pt>
                <c:pt idx="57">
                  <c:v>9.9138575461302225E-5</c:v>
                </c:pt>
                <c:pt idx="58">
                  <c:v>8.6291422520007321E-5</c:v>
                </c:pt>
                <c:pt idx="59">
                  <c:v>-1.517881948605998E-5</c:v>
                </c:pt>
                <c:pt idx="60">
                  <c:v>-5.9401775878341334E-5</c:v>
                </c:pt>
                <c:pt idx="61">
                  <c:v>8.2647640552435675E-5</c:v>
                </c:pt>
                <c:pt idx="62">
                  <c:v>1.769850725756375E-4</c:v>
                </c:pt>
                <c:pt idx="63">
                  <c:v>1.0707124858477801E-4</c:v>
                </c:pt>
                <c:pt idx="64">
                  <c:v>6.6555524301575159E-4</c:v>
                </c:pt>
                <c:pt idx="65">
                  <c:v>6.6161064361582034E-4</c:v>
                </c:pt>
                <c:pt idx="66">
                  <c:v>-4.532203385732847E-4</c:v>
                </c:pt>
                <c:pt idx="67">
                  <c:v>-1.2129063799195677E-3</c:v>
                </c:pt>
                <c:pt idx="68">
                  <c:v>3.6209150811555152E-4</c:v>
                </c:pt>
                <c:pt idx="69">
                  <c:v>-1.0669086562639374E-3</c:v>
                </c:pt>
                <c:pt idx="70">
                  <c:v>1.005819014803816E-3</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numCache>
            </c:numRef>
          </c:yVal>
          <c:smooth val="1"/>
          <c:extLst>
            <c:ext xmlns:c16="http://schemas.microsoft.com/office/drawing/2014/chart" uri="{C3380CC4-5D6E-409C-BE32-E72D297353CC}">
              <c16:uniqueId val="{00000000-C32B-4C81-BBC7-C69A0C1F8F8C}"/>
            </c:ext>
          </c:extLst>
        </c:ser>
        <c:dLbls>
          <c:showLegendKey val="0"/>
          <c:showVal val="0"/>
          <c:showCatName val="0"/>
          <c:showSerName val="0"/>
          <c:showPercent val="0"/>
          <c:showBubbleSize val="0"/>
        </c:dLbls>
        <c:axId val="159228672"/>
        <c:axId val="159230976"/>
      </c:scatterChart>
      <c:valAx>
        <c:axId val="159228672"/>
        <c:scaling>
          <c:orientation val="minMax"/>
        </c:scaling>
        <c:delete val="0"/>
        <c:axPos val="b"/>
        <c:majorGridlines/>
        <c:title>
          <c:tx>
            <c:rich>
              <a:bodyPr/>
              <a:lstStyle/>
              <a:p>
                <a:pPr>
                  <a:defRPr sz="1075" b="1" i="0" u="none" strike="noStrike" baseline="0">
                    <a:solidFill>
                      <a:srgbClr val="000000"/>
                    </a:solidFill>
                    <a:latin typeface="Arial"/>
                    <a:ea typeface="Arial"/>
                    <a:cs typeface="Arial"/>
                  </a:defRPr>
                </a:pPr>
                <a:r>
                  <a:rPr lang="pt-BR"/>
                  <a:t>Titrant volume (mL)</a:t>
                </a:r>
              </a:p>
            </c:rich>
          </c:tx>
          <c:layout>
            <c:manualLayout>
              <c:xMode val="edge"/>
              <c:yMode val="edge"/>
              <c:x val="0.42555306285038397"/>
              <c:y val="0.89658843615421868"/>
            </c:manualLayout>
          </c:layout>
          <c:overlay val="0"/>
          <c:spPr>
            <a:noFill/>
            <a:ln w="25400">
              <a:noFill/>
            </a:ln>
          </c:spPr>
        </c:title>
        <c:numFmt formatCode="0.0" sourceLinked="0"/>
        <c:majorTickMark val="out"/>
        <c:minorTickMark val="none"/>
        <c:tickLblPos val="low"/>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159230976"/>
        <c:crosses val="autoZero"/>
        <c:crossBetween val="midCat"/>
      </c:valAx>
      <c:valAx>
        <c:axId val="159230976"/>
        <c:scaling>
          <c:orientation val="minMax"/>
        </c:scaling>
        <c:delete val="0"/>
        <c:axPos val="l"/>
        <c:majorGridlines>
          <c:spPr>
            <a:ln w="3175">
              <a:solidFill>
                <a:srgbClr val="000000"/>
              </a:solidFill>
              <a:prstDash val="solid"/>
            </a:ln>
          </c:spPr>
        </c:majorGridlines>
        <c:title>
          <c:tx>
            <c:rich>
              <a:bodyPr/>
              <a:lstStyle/>
              <a:p>
                <a:pPr>
                  <a:defRPr sz="1100" b="0" i="0" u="none" strike="noStrike" baseline="0">
                    <a:solidFill>
                      <a:srgbClr val="000000"/>
                    </a:solidFill>
                    <a:latin typeface="Calibri"/>
                    <a:ea typeface="Calibri"/>
                    <a:cs typeface="Calibri"/>
                  </a:defRPr>
                </a:pPr>
                <a:r>
                  <a:rPr lang="pt-BR" sz="1075" b="1" i="0" strike="noStrike">
                    <a:solidFill>
                      <a:srgbClr val="000000"/>
                    </a:solidFill>
                    <a:latin typeface="Arial"/>
                    <a:cs typeface="Arial"/>
                  </a:rPr>
                  <a:t>CH</a:t>
                </a:r>
                <a:r>
                  <a:rPr lang="pt-BR" sz="725" b="1" i="0" strike="noStrike">
                    <a:solidFill>
                      <a:srgbClr val="000000"/>
                    </a:solidFill>
                    <a:latin typeface="Arial"/>
                    <a:cs typeface="Arial"/>
                  </a:rPr>
                  <a:t>Reg</a:t>
                </a:r>
                <a:r>
                  <a:rPr lang="pt-BR" sz="1075" b="1" i="0" strike="noStrike">
                    <a:solidFill>
                      <a:srgbClr val="000000"/>
                    </a:solidFill>
                    <a:latin typeface="Arial"/>
                    <a:cs typeface="Arial"/>
                  </a:rPr>
                  <a:t>-CH</a:t>
                </a:r>
                <a:r>
                  <a:rPr lang="pt-BR" sz="800" b="1" i="0" strike="noStrike">
                    <a:solidFill>
                      <a:srgbClr val="000000"/>
                    </a:solidFill>
                    <a:latin typeface="Arial"/>
                    <a:cs typeface="Arial"/>
                  </a:rPr>
                  <a:t>calc</a:t>
                </a:r>
                <a:endParaRPr lang="pt-BR" sz="1075" b="1" i="0" strike="noStrike">
                  <a:solidFill>
                    <a:srgbClr val="000000"/>
                  </a:solidFill>
                  <a:latin typeface="Arial"/>
                  <a:cs typeface="Arial"/>
                </a:endParaRPr>
              </a:p>
              <a:p>
                <a:pPr>
                  <a:defRPr sz="1100" b="0" i="0" u="none" strike="noStrike" baseline="0">
                    <a:solidFill>
                      <a:srgbClr val="000000"/>
                    </a:solidFill>
                    <a:latin typeface="Calibri"/>
                    <a:ea typeface="Calibri"/>
                    <a:cs typeface="Calibri"/>
                  </a:defRPr>
                </a:pPr>
                <a:endParaRPr lang="pt-BR" sz="1075" b="1" i="0" strike="noStrike">
                  <a:solidFill>
                    <a:srgbClr val="000000"/>
                  </a:solidFill>
                  <a:latin typeface="Arial"/>
                  <a:cs typeface="Arial"/>
                </a:endParaRPr>
              </a:p>
            </c:rich>
          </c:tx>
          <c:layout>
            <c:manualLayout>
              <c:xMode val="edge"/>
              <c:yMode val="edge"/>
              <c:x val="2.1922120070186758E-3"/>
              <c:y val="0.19896185306933944"/>
            </c:manualLayout>
          </c:layout>
          <c:overlay val="0"/>
          <c:spPr>
            <a:noFill/>
            <a:ln w="25400">
              <a:noFill/>
            </a:ln>
          </c:spPr>
        </c:title>
        <c:numFmt formatCode="0.0E+00" sourceLinked="0"/>
        <c:majorTickMark val="out"/>
        <c:minorTickMark val="none"/>
        <c:tickLblPos val="nextTo"/>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159228672"/>
        <c:crosses val="autoZero"/>
        <c:crossBetween val="midCat"/>
      </c:valAx>
      <c:spPr>
        <a:noFill/>
        <a:ln w="12700">
          <a:solidFill>
            <a:schemeClr val="tx1"/>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75" b="0" i="0" u="none" strike="noStrike" baseline="0">
          <a:solidFill>
            <a:srgbClr val="000000"/>
          </a:solidFill>
          <a:latin typeface="Arial"/>
          <a:ea typeface="Arial"/>
          <a:cs typeface="Arial"/>
        </a:defRPr>
      </a:pPr>
      <a:endParaRPr lang="en-US"/>
    </a:p>
  </c:txPr>
  <c:printSettings>
    <c:headerFooter alignWithMargins="0"/>
    <c:pageMargins b="0.98425196899999956" l="0.78740157499999996" r="0.78740157499999996" t="0.98425196899999956" header="0.49212598500001148" footer="0.49212598500001148"/>
    <c:pageSetup orientation="landscape" horizontalDpi="300" verticalDpi="300"/>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0" i="0" u="none" strike="noStrike" baseline="0">
                <a:solidFill>
                  <a:srgbClr val="000000"/>
                </a:solidFill>
                <a:latin typeface="Arial"/>
                <a:ea typeface="Arial"/>
                <a:cs typeface="Arial"/>
              </a:defRPr>
            </a:pPr>
            <a:r>
              <a:rPr lang="pt-BR" sz="1100" b="1" i="0" strike="noStrike">
                <a:solidFill>
                  <a:srgbClr val="000000"/>
                </a:solidFill>
                <a:latin typeface="Arial"/>
                <a:cs typeface="Arial"/>
              </a:rPr>
              <a:t>Residuals (pH</a:t>
            </a:r>
            <a:r>
              <a:rPr lang="pt-BR" sz="1200" b="1" i="0" strike="noStrike" baseline="-25000">
                <a:solidFill>
                  <a:srgbClr val="000000"/>
                </a:solidFill>
                <a:latin typeface="Arial"/>
                <a:cs typeface="Arial"/>
              </a:rPr>
              <a:t>reg</a:t>
            </a:r>
            <a:r>
              <a:rPr lang="pt-BR" sz="1200" b="1" i="0" strike="noStrike" baseline="0">
                <a:solidFill>
                  <a:srgbClr val="000000"/>
                </a:solidFill>
                <a:latin typeface="Arial"/>
                <a:cs typeface="Arial"/>
              </a:rPr>
              <a:t> </a:t>
            </a:r>
            <a:r>
              <a:rPr lang="pt-BR" sz="1100" b="1" i="0" strike="noStrike">
                <a:solidFill>
                  <a:srgbClr val="000000"/>
                </a:solidFill>
                <a:latin typeface="Arial"/>
                <a:cs typeface="Arial"/>
              </a:rPr>
              <a:t>- pH)   </a:t>
            </a:r>
            <a:r>
              <a:rPr lang="pt-BR" sz="1100" b="0" i="0" strike="noStrike">
                <a:solidFill>
                  <a:srgbClr val="FF0000"/>
                </a:solidFill>
                <a:latin typeface="Arial"/>
                <a:cs typeface="Arial"/>
              </a:rPr>
              <a:t>To update click Overlay curve (E22)</a:t>
            </a:r>
          </a:p>
        </c:rich>
      </c:tx>
      <c:layout>
        <c:manualLayout>
          <c:xMode val="edge"/>
          <c:yMode val="edge"/>
          <c:x val="0.19591302131659921"/>
          <c:y val="4.5454545454545504E-3"/>
        </c:manualLayout>
      </c:layout>
      <c:overlay val="0"/>
      <c:spPr>
        <a:noFill/>
        <a:ln w="25400">
          <a:noFill/>
        </a:ln>
      </c:spPr>
    </c:title>
    <c:autoTitleDeleted val="0"/>
    <c:plotArea>
      <c:layout>
        <c:manualLayout>
          <c:layoutTarget val="inner"/>
          <c:xMode val="edge"/>
          <c:yMode val="edge"/>
          <c:x val="0.17399292284356441"/>
          <c:y val="0.10979940599595329"/>
          <c:w val="0.78571569102651961"/>
          <c:h val="0.70070979700710012"/>
        </c:manualLayout>
      </c:layout>
      <c:scatterChart>
        <c:scatterStyle val="smoothMarker"/>
        <c:varyColors val="0"/>
        <c:ser>
          <c:idx val="0"/>
          <c:order val="0"/>
          <c:spPr>
            <a:ln w="28575">
              <a:noFill/>
            </a:ln>
          </c:spPr>
          <c:marker>
            <c:symbol val="diamond"/>
            <c:size val="5"/>
            <c:spPr>
              <a:solidFill>
                <a:srgbClr val="09007E"/>
              </a:solidFill>
              <a:ln>
                <a:solidFill>
                  <a:srgbClr val="09007E"/>
                </a:solidFill>
                <a:prstDash val="solid"/>
              </a:ln>
            </c:spPr>
          </c:marker>
          <c:xVal>
            <c:numRef>
              <c:f>Regression!$A$41:$A$162</c:f>
              <c:numCache>
                <c:formatCode>0.000</c:formatCode>
                <c:ptCount val="122"/>
                <c:pt idx="0">
                  <c:v>0</c:v>
                </c:pt>
                <c:pt idx="1">
                  <c:v>0.87795368308434263</c:v>
                </c:pt>
                <c:pt idx="2">
                  <c:v>1.6979725172859617</c:v>
                </c:pt>
                <c:pt idx="3">
                  <c:v>2.4511264302418567</c:v>
                </c:pt>
                <c:pt idx="4">
                  <c:v>3.1349450364359654</c:v>
                </c:pt>
                <c:pt idx="5">
                  <c:v>3.7547393163549714</c:v>
                </c:pt>
                <c:pt idx="6">
                  <c:v>4.3231222967733629</c:v>
                </c:pt>
                <c:pt idx="7">
                  <c:v>4.8577314577414654</c:v>
                </c:pt>
                <c:pt idx="8">
                  <c:v>5.3776574277435429</c:v>
                </c:pt>
                <c:pt idx="9">
                  <c:v>5.8992317426600493</c:v>
                </c:pt>
                <c:pt idx="10">
                  <c:v>6.4320653895265423</c:v>
                </c:pt>
                <c:pt idx="11">
                  <c:v>6.9767121531185694</c:v>
                </c:pt>
                <c:pt idx="12">
                  <c:v>7.5253937233355828</c:v>
                </c:pt>
                <c:pt idx="13">
                  <c:v>8.0660327701480128</c:v>
                </c:pt>
                <c:pt idx="14">
                  <c:v>8.5878766272799112</c:v>
                </c:pt>
                <c:pt idx="15">
                  <c:v>9.0860306183458306</c:v>
                </c:pt>
                <c:pt idx="16">
                  <c:v>9.5631117394077592</c:v>
                </c:pt>
                <c:pt idx="17">
                  <c:v>10.027885822637472</c:v>
                </c:pt>
                <c:pt idx="18">
                  <c:v>10.491771616216283</c:v>
                </c:pt>
                <c:pt idx="19">
                  <c:v>10.964314219017979</c:v>
                </c:pt>
                <c:pt idx="20">
                  <c:v>11.448833580652718</c:v>
                </c:pt>
                <c:pt idx="21">
                  <c:v>11.939793326018844</c:v>
                </c:pt>
                <c:pt idx="22">
                  <c:v>12.423383911664132</c:v>
                </c:pt>
                <c:pt idx="23">
                  <c:v>12.881495391775388</c:v>
                </c:pt>
                <c:pt idx="24">
                  <c:v>13.297209756274242</c:v>
                </c:pt>
                <c:pt idx="25">
                  <c:v>13.659096746414434</c:v>
                </c:pt>
                <c:pt idx="26">
                  <c:v>13.962769800855312</c:v>
                </c:pt>
                <c:pt idx="27">
                  <c:v>14.210002183972392</c:v>
                </c:pt>
                <c:pt idx="28">
                  <c:v>14.406663844420109</c:v>
                </c:pt>
                <c:pt idx="29">
                  <c:v>14.560617950337473</c:v>
                </c:pt>
                <c:pt idx="30">
                  <c:v>14.680155283713248</c:v>
                </c:pt>
                <c:pt idx="31">
                  <c:v>14.773074111144524</c:v>
                </c:pt>
                <c:pt idx="32">
                  <c:v>14.84628180769505</c:v>
                </c:pt>
                <c:pt idx="33">
                  <c:v>14.905741201073397</c:v>
                </c:pt>
                <c:pt idx="34">
                  <c:v>14.956614199036267</c:v>
                </c:pt>
                <c:pt idx="35">
                  <c:v>15.003504943160806</c:v>
                </c:pt>
                <c:pt idx="36">
                  <c:v>15.050747345958371</c:v>
                </c:pt>
                <c:pt idx="37">
                  <c:v>15.102709837083239</c:v>
                </c:pt>
                <c:pt idx="38">
                  <c:v>15.16410350886872</c:v>
                </c:pt>
                <c:pt idx="39">
                  <c:v>15.240280378202442</c:v>
                </c:pt>
                <c:pt idx="40">
                  <c:v>15.337496060237754</c:v>
                </c:pt>
                <c:pt idx="41">
                  <c:v>15.463084501971025</c:v>
                </c:pt>
                <c:pt idx="42">
                  <c:v>15.625451547384728</c:v>
                </c:pt>
                <c:pt idx="43">
                  <c:v>15.83374493784504</c:v>
                </c:pt>
                <c:pt idx="44">
                  <c:v>16.097023374459241</c:v>
                </c:pt>
                <c:pt idx="45">
                  <c:v>16.422776044055354</c:v>
                </c:pt>
                <c:pt idx="46">
                  <c:v>16.814808531489689</c:v>
                </c:pt>
                <c:pt idx="47">
                  <c:v>17.270861055294517</c:v>
                </c:pt>
                <c:pt idx="48">
                  <c:v>17.780781710462179</c:v>
                </c:pt>
                <c:pt idx="49">
                  <c:v>18.326342337240931</c:v>
                </c:pt>
                <c:pt idx="50">
                  <c:v>18.883451000147033</c:v>
                </c:pt>
                <c:pt idx="51">
                  <c:v>19.426484357973095</c:v>
                </c:pt>
                <c:pt idx="52">
                  <c:v>19.933300970296841</c:v>
                </c:pt>
                <c:pt idx="53">
                  <c:v>20.389101548062172</c:v>
                </c:pt>
                <c:pt idx="54">
                  <c:v>20.788013354467694</c:v>
                </c:pt>
                <c:pt idx="55">
                  <c:v>21.132498390215915</c:v>
                </c:pt>
                <c:pt idx="56">
                  <c:v>21.431539957120549</c:v>
                </c:pt>
                <c:pt idx="57">
                  <c:v>21.698694249789696</c:v>
                </c:pt>
                <c:pt idx="58">
                  <c:v>21.950749414099846</c:v>
                </c:pt>
                <c:pt idx="59">
                  <c:v>22.207322194299195</c:v>
                </c:pt>
                <c:pt idx="60">
                  <c:v>22.491481258475687</c:v>
                </c:pt>
                <c:pt idx="61">
                  <c:v>22.831461780879181</c:v>
                </c:pt>
                <c:pt idx="62">
                  <c:v>23.263700974348467</c:v>
                </c:pt>
                <c:pt idx="63">
                  <c:v>23.837788712990005</c:v>
                </c:pt>
                <c:pt idx="64">
                  <c:v>24.624625903379638</c:v>
                </c:pt>
                <c:pt idx="65">
                  <c:v>25.730517484771553</c:v>
                </c:pt>
                <c:pt idx="66">
                  <c:v>27.32318145717727</c:v>
                </c:pt>
                <c:pt idx="67">
                  <c:v>29.683852127345745</c:v>
                </c:pt>
                <c:pt idx="68">
                  <c:v>33.322947287524585</c:v>
                </c:pt>
                <c:pt idx="69">
                  <c:v>39.274074586865027</c:v>
                </c:pt>
                <c:pt idx="70">
                  <c:v>49.999999995634425</c:v>
                </c:pt>
              </c:numCache>
            </c:numRef>
          </c:xVal>
          <c:yVal>
            <c:numRef>
              <c:f>Regression!$AW$41:$AW$162</c:f>
              <c:numCache>
                <c:formatCode>0.0000</c:formatCode>
                <c:ptCount val="122"/>
                <c:pt idx="0">
                  <c:v>-4.3076272932615289E-2</c:v>
                </c:pt>
                <c:pt idx="1">
                  <c:v>1.2768326071093128E-3</c:v>
                </c:pt>
                <c:pt idx="2">
                  <c:v>3.9224702342913975E-2</c:v>
                </c:pt>
                <c:pt idx="3">
                  <c:v>1.0509961131958345E-2</c:v>
                </c:pt>
                <c:pt idx="4">
                  <c:v>-9.0319709481616606E-3</c:v>
                </c:pt>
                <c:pt idx="5">
                  <c:v>-6.5997689069736687E-3</c:v>
                </c:pt>
                <c:pt idx="6">
                  <c:v>3.322964466734124E-2</c:v>
                </c:pt>
                <c:pt idx="7">
                  <c:v>8.5407008854598843E-4</c:v>
                </c:pt>
                <c:pt idx="8">
                  <c:v>-5.06259783831986E-3</c:v>
                </c:pt>
                <c:pt idx="9">
                  <c:v>1.0591277517741915E-2</c:v>
                </c:pt>
                <c:pt idx="10">
                  <c:v>-1.5396815322306523E-2</c:v>
                </c:pt>
                <c:pt idx="11">
                  <c:v>5.6602309940911866E-3</c:v>
                </c:pt>
                <c:pt idx="12">
                  <c:v>2.3492941444228421E-2</c:v>
                </c:pt>
                <c:pt idx="13">
                  <c:v>2.708326095099256E-2</c:v>
                </c:pt>
                <c:pt idx="14">
                  <c:v>-2.8699296891783632E-2</c:v>
                </c:pt>
                <c:pt idx="15">
                  <c:v>2.1919198686803476E-2</c:v>
                </c:pt>
                <c:pt idx="16">
                  <c:v>-5.5630644385082029E-2</c:v>
                </c:pt>
                <c:pt idx="17">
                  <c:v>1.4839810581934287E-2</c:v>
                </c:pt>
                <c:pt idx="18">
                  <c:v>-1.7958028295863571E-2</c:v>
                </c:pt>
                <c:pt idx="19">
                  <c:v>2.1515174338464504E-3</c:v>
                </c:pt>
                <c:pt idx="20">
                  <c:v>5.7748767978367255E-3</c:v>
                </c:pt>
                <c:pt idx="21">
                  <c:v>1.8254304049253989E-2</c:v>
                </c:pt>
                <c:pt idx="22">
                  <c:v>2.6635480083110785E-2</c:v>
                </c:pt>
                <c:pt idx="23">
                  <c:v>1.8224174718960207E-2</c:v>
                </c:pt>
                <c:pt idx="24">
                  <c:v>3.7434238968867994E-2</c:v>
                </c:pt>
                <c:pt idx="25">
                  <c:v>-6.6430760616179363E-2</c:v>
                </c:pt>
                <c:pt idx="26">
                  <c:v>1.1783429702965975E-2</c:v>
                </c:pt>
                <c:pt idx="27">
                  <c:v>-1.3230953920988497E-3</c:v>
                </c:pt>
                <c:pt idx="28">
                  <c:v>-1.2274659841539304E-2</c:v>
                </c:pt>
                <c:pt idx="29">
                  <c:v>-2.257866329463365E-2</c:v>
                </c:pt>
                <c:pt idx="30">
                  <c:v>-2.5846662407418286E-2</c:v>
                </c:pt>
                <c:pt idx="31">
                  <c:v>7.7741536607227602E-3</c:v>
                </c:pt>
                <c:pt idx="32">
                  <c:v>-1.8333305362973285E-2</c:v>
                </c:pt>
                <c:pt idx="33">
                  <c:v>6.6475769166327581E-3</c:v>
                </c:pt>
                <c:pt idx="34">
                  <c:v>-5.2379315133896043E-2</c:v>
                </c:pt>
                <c:pt idx="35">
                  <c:v>-3.3926349994112925E-2</c:v>
                </c:pt>
                <c:pt idx="36">
                  <c:v>-1.2625413614856029E-2</c:v>
                </c:pt>
                <c:pt idx="37">
                  <c:v>-3.0648991538543058E-2</c:v>
                </c:pt>
                <c:pt idx="38">
                  <c:v>-6.0317195783987643E-4</c:v>
                </c:pt>
                <c:pt idx="39">
                  <c:v>-1.5867222330895103E-2</c:v>
                </c:pt>
                <c:pt idx="40">
                  <c:v>-1.2405974719580826E-2</c:v>
                </c:pt>
                <c:pt idx="41">
                  <c:v>2.2690939683551292E-2</c:v>
                </c:pt>
                <c:pt idx="42">
                  <c:v>-3.6913116852536731E-2</c:v>
                </c:pt>
                <c:pt idx="43">
                  <c:v>2.311530708350773E-3</c:v>
                </c:pt>
                <c:pt idx="44">
                  <c:v>1.0247714893617754E-2</c:v>
                </c:pt>
                <c:pt idx="45">
                  <c:v>7.5851582218113833E-3</c:v>
                </c:pt>
                <c:pt idx="46">
                  <c:v>1.5857362542810449E-3</c:v>
                </c:pt>
                <c:pt idx="47">
                  <c:v>-2.0899382075810991E-2</c:v>
                </c:pt>
                <c:pt idx="48">
                  <c:v>1.1904974538781588E-2</c:v>
                </c:pt>
                <c:pt idx="49">
                  <c:v>1.1890787226233712E-2</c:v>
                </c:pt>
                <c:pt idx="50">
                  <c:v>2.2711242984632563E-2</c:v>
                </c:pt>
                <c:pt idx="51">
                  <c:v>-2.7481383537162785E-2</c:v>
                </c:pt>
                <c:pt idx="52">
                  <c:v>2.3227544876540662E-3</c:v>
                </c:pt>
                <c:pt idx="53">
                  <c:v>-3.283138140715991E-2</c:v>
                </c:pt>
                <c:pt idx="54">
                  <c:v>1.5119783274366583E-2</c:v>
                </c:pt>
                <c:pt idx="55">
                  <c:v>2.3361383440983374E-2</c:v>
                </c:pt>
                <c:pt idx="56">
                  <c:v>2.2365058061195597E-2</c:v>
                </c:pt>
                <c:pt idx="57">
                  <c:v>-2.2140944296966225E-2</c:v>
                </c:pt>
                <c:pt idx="58">
                  <c:v>-1.9845332522866244E-2</c:v>
                </c:pt>
                <c:pt idx="59">
                  <c:v>3.3415275012593781E-3</c:v>
                </c:pt>
                <c:pt idx="60">
                  <c:v>1.1580041343009384E-2</c:v>
                </c:pt>
                <c:pt idx="61">
                  <c:v>-1.3010971418017547E-2</c:v>
                </c:pt>
                <c:pt idx="62">
                  <c:v>-2.1588199061321589E-2</c:v>
                </c:pt>
                <c:pt idx="63">
                  <c:v>-1.0016881052475668E-2</c:v>
                </c:pt>
                <c:pt idx="64">
                  <c:v>-4.4644068693946437E-2</c:v>
                </c:pt>
                <c:pt idx="65">
                  <c:v>-3.3145736202749632E-2</c:v>
                </c:pt>
                <c:pt idx="66">
                  <c:v>1.7650135928050759E-2</c:v>
                </c:pt>
                <c:pt idx="67">
                  <c:v>3.5264625494159318E-2</c:v>
                </c:pt>
                <c:pt idx="68">
                  <c:v>-7.3265943896831942E-3</c:v>
                </c:pt>
                <c:pt idx="69">
                  <c:v>1.6182801458061391E-2</c:v>
                </c:pt>
                <c:pt idx="70">
                  <c:v>-1.0782632794239078E-2</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numCache>
            </c:numRef>
          </c:yVal>
          <c:smooth val="1"/>
          <c:extLst>
            <c:ext xmlns:c16="http://schemas.microsoft.com/office/drawing/2014/chart" uri="{C3380CC4-5D6E-409C-BE32-E72D297353CC}">
              <c16:uniqueId val="{00000000-0332-4363-9A10-B9738F70AB83}"/>
            </c:ext>
          </c:extLst>
        </c:ser>
        <c:dLbls>
          <c:showLegendKey val="0"/>
          <c:showVal val="0"/>
          <c:showCatName val="0"/>
          <c:showSerName val="0"/>
          <c:showPercent val="0"/>
          <c:showBubbleSize val="0"/>
        </c:dLbls>
        <c:axId val="159587328"/>
        <c:axId val="159622656"/>
      </c:scatterChart>
      <c:valAx>
        <c:axId val="159587328"/>
        <c:scaling>
          <c:orientation val="minMax"/>
        </c:scaling>
        <c:delete val="0"/>
        <c:axPos val="b"/>
        <c:majorGridlines/>
        <c:title>
          <c:tx>
            <c:rich>
              <a:bodyPr/>
              <a:lstStyle/>
              <a:p>
                <a:pPr>
                  <a:defRPr sz="1075" b="1" i="0" u="none" strike="noStrike" baseline="0">
                    <a:solidFill>
                      <a:srgbClr val="000000"/>
                    </a:solidFill>
                    <a:latin typeface="Arial"/>
                    <a:ea typeface="Arial"/>
                    <a:cs typeface="Arial"/>
                  </a:defRPr>
                </a:pPr>
                <a:r>
                  <a:rPr lang="pt-BR"/>
                  <a:t>Titrant volume (mL)</a:t>
                </a:r>
              </a:p>
            </c:rich>
          </c:tx>
          <c:layout>
            <c:manualLayout>
              <c:xMode val="edge"/>
              <c:yMode val="edge"/>
              <c:x val="0.43223526427226538"/>
              <c:y val="0.90470388928656642"/>
            </c:manualLayout>
          </c:layout>
          <c:overlay val="0"/>
          <c:spPr>
            <a:noFill/>
            <a:ln w="25400">
              <a:noFill/>
            </a:ln>
          </c:spPr>
        </c:title>
        <c:numFmt formatCode="0.0" sourceLinked="0"/>
        <c:majorTickMark val="out"/>
        <c:minorTickMark val="none"/>
        <c:tickLblPos val="low"/>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159622656"/>
        <c:crosses val="autoZero"/>
        <c:crossBetween val="midCat"/>
      </c:valAx>
      <c:valAx>
        <c:axId val="159622656"/>
        <c:scaling>
          <c:orientation val="minMax"/>
        </c:scaling>
        <c:delete val="0"/>
        <c:axPos val="l"/>
        <c:majorGridlines>
          <c:spPr>
            <a:ln w="3175">
              <a:solidFill>
                <a:srgbClr val="000000"/>
              </a:solidFill>
              <a:prstDash val="solid"/>
            </a:ln>
          </c:spPr>
        </c:majorGridlines>
        <c:title>
          <c:tx>
            <c:rich>
              <a:bodyPr/>
              <a:lstStyle/>
              <a:p>
                <a:pPr>
                  <a:defRPr sz="1100" b="0" i="0" u="none" strike="noStrike" baseline="0">
                    <a:solidFill>
                      <a:srgbClr val="000000"/>
                    </a:solidFill>
                    <a:latin typeface="Calibri"/>
                    <a:ea typeface="Calibri"/>
                    <a:cs typeface="Calibri"/>
                  </a:defRPr>
                </a:pPr>
                <a:r>
                  <a:rPr lang="pt-BR" sz="1075" b="1" i="0" strike="noStrike">
                    <a:solidFill>
                      <a:srgbClr val="000000"/>
                    </a:solidFill>
                    <a:latin typeface="Arial"/>
                    <a:cs typeface="Arial"/>
                  </a:rPr>
                  <a:t>pH</a:t>
                </a:r>
                <a:r>
                  <a:rPr lang="pt-BR" sz="725" b="1" i="0" strike="noStrike">
                    <a:solidFill>
                      <a:srgbClr val="000000"/>
                    </a:solidFill>
                    <a:latin typeface="Arial"/>
                    <a:cs typeface="Arial"/>
                  </a:rPr>
                  <a:t>Reg</a:t>
                </a:r>
                <a:r>
                  <a:rPr lang="pt-BR" sz="1075" b="1" i="0" strike="noStrike">
                    <a:solidFill>
                      <a:srgbClr val="000000"/>
                    </a:solidFill>
                    <a:latin typeface="Arial"/>
                    <a:cs typeface="Arial"/>
                  </a:rPr>
                  <a:t>-pH</a:t>
                </a:r>
              </a:p>
              <a:p>
                <a:pPr>
                  <a:defRPr sz="1100" b="0" i="0" u="none" strike="noStrike" baseline="0">
                    <a:solidFill>
                      <a:srgbClr val="000000"/>
                    </a:solidFill>
                    <a:latin typeface="Calibri"/>
                    <a:ea typeface="Calibri"/>
                    <a:cs typeface="Calibri"/>
                  </a:defRPr>
                </a:pPr>
                <a:endParaRPr lang="pt-BR" sz="1075" b="1" i="0" strike="noStrike">
                  <a:solidFill>
                    <a:srgbClr val="000000"/>
                  </a:solidFill>
                  <a:latin typeface="Arial"/>
                  <a:cs typeface="Arial"/>
                </a:endParaRPr>
              </a:p>
            </c:rich>
          </c:tx>
          <c:layout>
            <c:manualLayout>
              <c:xMode val="edge"/>
              <c:yMode val="edge"/>
              <c:x val="7.1428153265228464E-3"/>
              <c:y val="0.3124080171796822"/>
            </c:manualLayout>
          </c:layout>
          <c:overlay val="0"/>
          <c:spPr>
            <a:noFill/>
            <a:ln w="25400">
              <a:noFill/>
            </a:ln>
          </c:spPr>
        </c:title>
        <c:numFmt formatCode="0.0E+00" sourceLinked="0"/>
        <c:majorTickMark val="out"/>
        <c:minorTickMark val="none"/>
        <c:tickLblPos val="nextTo"/>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159587328"/>
        <c:crosses val="autoZero"/>
        <c:crossBetween val="midCat"/>
      </c:valAx>
      <c:spPr>
        <a:noFill/>
        <a:ln w="12700">
          <a:solidFill>
            <a:schemeClr val="tx1"/>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75" b="0" i="0" u="none" strike="noStrike" baseline="0">
          <a:solidFill>
            <a:srgbClr val="000000"/>
          </a:solidFill>
          <a:latin typeface="Arial"/>
          <a:ea typeface="Arial"/>
          <a:cs typeface="Arial"/>
        </a:defRPr>
      </a:pPr>
      <a:endParaRPr lang="en-US"/>
    </a:p>
  </c:txPr>
  <c:printSettings>
    <c:headerFooter alignWithMargins="0"/>
    <c:pageMargins b="0.98425196899999956" l="0.78740157499999996" r="0.78740157499999996" t="0.98425196899999956" header="0.49212598500001148" footer="0.49212598500001148"/>
    <c:pageSetup paperSize="9" orientation="landscape"/>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000000"/>
                </a:solidFill>
                <a:latin typeface="Arial"/>
                <a:ea typeface="Arial"/>
                <a:cs typeface="Arial"/>
              </a:defRPr>
            </a:pPr>
            <a:r>
              <a:rPr lang="pt-BR"/>
              <a:t>Titration curve(s) and/or derivative(s)</a:t>
            </a:r>
          </a:p>
        </c:rich>
      </c:tx>
      <c:layout>
        <c:manualLayout>
          <c:xMode val="edge"/>
          <c:yMode val="edge"/>
          <c:x val="0.30557386762299077"/>
          <c:y val="3.7650466105530011E-3"/>
        </c:manualLayout>
      </c:layout>
      <c:overlay val="0"/>
      <c:spPr>
        <a:noFill/>
        <a:ln w="25400">
          <a:noFill/>
        </a:ln>
      </c:spPr>
    </c:title>
    <c:autoTitleDeleted val="0"/>
    <c:plotArea>
      <c:layout>
        <c:manualLayout>
          <c:layoutTarget val="inner"/>
          <c:xMode val="edge"/>
          <c:yMode val="edge"/>
          <c:x val="9.9889636380643507E-2"/>
          <c:y val="6.6322963841114524E-2"/>
          <c:w val="0.87128712871287128"/>
          <c:h val="0.80651491879734682"/>
        </c:manualLayout>
      </c:layout>
      <c:scatterChart>
        <c:scatterStyle val="smoothMarker"/>
        <c:varyColors val="0"/>
        <c:ser>
          <c:idx val="1"/>
          <c:order val="0"/>
          <c:tx>
            <c:v>Sim_0</c:v>
          </c:tx>
          <c:spPr>
            <a:ln w="25400">
              <a:solidFill>
                <a:srgbClr val="FF0000"/>
              </a:solidFill>
              <a:prstDash val="solid"/>
            </a:ln>
          </c:spPr>
          <c:marker>
            <c:symbol val="circle"/>
            <c:size val="6"/>
            <c:spPr>
              <a:solidFill>
                <a:srgbClr val="F4EE00"/>
              </a:solidFill>
              <a:ln>
                <a:solidFill>
                  <a:srgbClr val="FF0000"/>
                </a:solidFill>
                <a:prstDash val="solid"/>
              </a:ln>
            </c:spPr>
          </c:marker>
          <c:xVal>
            <c:numRef>
              <c:f>Graphs!$R$11:$R$312</c:f>
              <c:numCache>
                <c:formatCode>General</c:formatCode>
                <c:ptCount val="302"/>
                <c:pt idx="0">
                  <c:v>0</c:v>
                </c:pt>
                <c:pt idx="1">
                  <c:v>2.1570917087956332</c:v>
                </c:pt>
                <c:pt idx="2">
                  <c:v>4.0960384285426699</c:v>
                </c:pt>
                <c:pt idx="3">
                  <c:v>5.7539623652701266</c:v>
                </c:pt>
                <c:pt idx="4">
                  <c:v>7.0770850390545093</c:v>
                </c:pt>
                <c:pt idx="5">
                  <c:v>8.060804101114627</c:v>
                </c:pt>
                <c:pt idx="6">
                  <c:v>8.7492475504404865</c:v>
                </c:pt>
                <c:pt idx="7">
                  <c:v>9.2095433516078629</c:v>
                </c:pt>
                <c:pt idx="8">
                  <c:v>9.5078176775132306</c:v>
                </c:pt>
                <c:pt idx="9">
                  <c:v>9.6974923231755383</c:v>
                </c:pt>
                <c:pt idx="10">
                  <c:v>9.8172888814588077</c:v>
                </c:pt>
                <c:pt idx="11">
                  <c:v>9.8936794631299563</c:v>
                </c:pt>
                <c:pt idx="12">
                  <c:v>9.9443849801900797</c:v>
                </c:pt>
                <c:pt idx="13">
                  <c:v>9.9815251436666586</c:v>
                </c:pt>
                <c:pt idx="14">
                  <c:v>10.014129265618976</c:v>
                </c:pt>
                <c:pt idx="15">
                  <c:v>10.050161390972789</c:v>
                </c:pt>
                <c:pt idx="16">
                  <c:v>10.09834472934017</c:v>
                </c:pt>
                <c:pt idx="17">
                  <c:v>10.170080677198712</c:v>
                </c:pt>
                <c:pt idx="18">
                  <c:v>10.281694422883447</c:v>
                </c:pt>
                <c:pt idx="19">
                  <c:v>10.45702534756856</c:v>
                </c:pt>
                <c:pt idx="20">
                  <c:v>10.729793940845411</c:v>
                </c:pt>
                <c:pt idx="21">
                  <c:v>11.143875245761592</c:v>
                </c:pt>
                <c:pt idx="22">
                  <c:v>11.747540258511435</c:v>
                </c:pt>
                <c:pt idx="23">
                  <c:v>12.576544815965462</c:v>
                </c:pt>
                <c:pt idx="24">
                  <c:v>13.625772965315264</c:v>
                </c:pt>
                <c:pt idx="25">
                  <c:v>14.824491734907497</c:v>
                </c:pt>
                <c:pt idx="26">
                  <c:v>16.043755009013694</c:v>
                </c:pt>
                <c:pt idx="27">
                  <c:v>17.145786933542695</c:v>
                </c:pt>
                <c:pt idx="28">
                  <c:v>18.040535067848396</c:v>
                </c:pt>
                <c:pt idx="29">
                  <c:v>18.705899156339001</c:v>
                </c:pt>
                <c:pt idx="30">
                  <c:v>19.169210402469616</c:v>
                </c:pt>
                <c:pt idx="31">
                  <c:v>19.477512511366513</c:v>
                </c:pt>
                <c:pt idx="32">
                  <c:v>19.67695818602806</c:v>
                </c:pt>
                <c:pt idx="33">
                  <c:v>19.804373894294258</c:v>
                </c:pt>
                <c:pt idx="34">
                  <c:v>19.886334486363921</c:v>
                </c:pt>
                <c:pt idx="35">
                  <c:v>19.94123642652994</c:v>
                </c:pt>
                <c:pt idx="36">
                  <c:v>19.981976119743194</c:v>
                </c:pt>
                <c:pt idx="37">
                  <c:v>20.018397706735414</c:v>
                </c:pt>
                <c:pt idx="38">
                  <c:v>20.059441142075229</c:v>
                </c:pt>
                <c:pt idx="39">
                  <c:v>20.115236625133548</c:v>
                </c:pt>
                <c:pt idx="40">
                  <c:v>20.199536230938975</c:v>
                </c:pt>
                <c:pt idx="41">
                  <c:v>20.332998641242739</c:v>
                </c:pt>
                <c:pt idx="42">
                  <c:v>20.548015915846918</c:v>
                </c:pt>
                <c:pt idx="43">
                  <c:v>20.896024066314567</c:v>
                </c:pt>
                <c:pt idx="44">
                  <c:v>21.458622148202267</c:v>
                </c:pt>
                <c:pt idx="45">
                  <c:v>22.364652594842482</c:v>
                </c:pt>
                <c:pt idx="46">
                  <c:v>23.818284484150354</c:v>
                </c:pt>
                <c:pt idx="47">
                  <c:v>26.154666273214389</c:v>
                </c:pt>
                <c:pt idx="48">
                  <c:v>29.98321672930615</c:v>
                </c:pt>
                <c:pt idx="49">
                  <c:v>36.643806887150276</c:v>
                </c:pt>
                <c:pt idx="50">
                  <c:v>49.999999998544808</c:v>
                </c:pt>
              </c:numCache>
            </c:numRef>
          </c:xVal>
          <c:yVal>
            <c:numRef>
              <c:f>Graphs!$S$11:$S$312</c:f>
              <c:numCache>
                <c:formatCode>General</c:formatCode>
                <c:ptCount val="302"/>
                <c:pt idx="0">
                  <c:v>1.8059327094815671</c:v>
                </c:pt>
                <c:pt idx="1">
                  <c:v>2.0204353218153117</c:v>
                </c:pt>
                <c:pt idx="2">
                  <c:v>2.2349379341490567</c:v>
                </c:pt>
                <c:pt idx="3">
                  <c:v>2.4494405464828013</c:v>
                </c:pt>
                <c:pt idx="4">
                  <c:v>2.6639431588165463</c:v>
                </c:pt>
                <c:pt idx="5">
                  <c:v>2.8784457711502909</c:v>
                </c:pt>
                <c:pt idx="6">
                  <c:v>3.0929483834840354</c:v>
                </c:pt>
                <c:pt idx="7">
                  <c:v>3.3074509958177805</c:v>
                </c:pt>
                <c:pt idx="8">
                  <c:v>3.5219536081515255</c:v>
                </c:pt>
                <c:pt idx="9">
                  <c:v>3.73645622048527</c:v>
                </c:pt>
                <c:pt idx="10">
                  <c:v>3.9509588328190146</c:v>
                </c:pt>
                <c:pt idx="11">
                  <c:v>4.1654614451527596</c:v>
                </c:pt>
                <c:pt idx="12">
                  <c:v>4.3799640574865037</c:v>
                </c:pt>
                <c:pt idx="13">
                  <c:v>4.5944666698202496</c:v>
                </c:pt>
                <c:pt idx="14">
                  <c:v>4.8089692821539938</c:v>
                </c:pt>
                <c:pt idx="15">
                  <c:v>5.0234718944877388</c:v>
                </c:pt>
                <c:pt idx="16">
                  <c:v>5.2379745068214838</c:v>
                </c:pt>
                <c:pt idx="17">
                  <c:v>5.4524771191552279</c:v>
                </c:pt>
                <c:pt idx="18">
                  <c:v>5.6669797314889729</c:v>
                </c:pt>
                <c:pt idx="19">
                  <c:v>5.881482343822718</c:v>
                </c:pt>
                <c:pt idx="20">
                  <c:v>6.0959849561564621</c:v>
                </c:pt>
                <c:pt idx="21">
                  <c:v>6.3104875684902071</c:v>
                </c:pt>
                <c:pt idx="22">
                  <c:v>6.5249901808239521</c:v>
                </c:pt>
                <c:pt idx="23">
                  <c:v>6.7394927931576971</c:v>
                </c:pt>
                <c:pt idx="24">
                  <c:v>6.9539954054914412</c:v>
                </c:pt>
                <c:pt idx="25">
                  <c:v>7.1684980178251863</c:v>
                </c:pt>
                <c:pt idx="26">
                  <c:v>7.3830006301589313</c:v>
                </c:pt>
                <c:pt idx="27">
                  <c:v>7.5975032424926754</c:v>
                </c:pt>
                <c:pt idx="28">
                  <c:v>7.8120058548264204</c:v>
                </c:pt>
                <c:pt idx="29">
                  <c:v>8.0265084671601663</c:v>
                </c:pt>
                <c:pt idx="30">
                  <c:v>8.2410110794939104</c:v>
                </c:pt>
                <c:pt idx="31">
                  <c:v>8.4555136918276546</c:v>
                </c:pt>
                <c:pt idx="32">
                  <c:v>8.6700163041614005</c:v>
                </c:pt>
                <c:pt idx="33">
                  <c:v>8.8845189164951446</c:v>
                </c:pt>
                <c:pt idx="34">
                  <c:v>9.0990215288288887</c:v>
                </c:pt>
                <c:pt idx="35">
                  <c:v>9.3135241411626346</c:v>
                </c:pt>
                <c:pt idx="36">
                  <c:v>9.5280267534963787</c:v>
                </c:pt>
                <c:pt idx="37">
                  <c:v>9.7425293658301229</c:v>
                </c:pt>
                <c:pt idx="38">
                  <c:v>9.9570319781638688</c:v>
                </c:pt>
                <c:pt idx="39">
                  <c:v>10.171534590497613</c:v>
                </c:pt>
                <c:pt idx="40">
                  <c:v>10.386037202831357</c:v>
                </c:pt>
                <c:pt idx="41">
                  <c:v>10.600539815165103</c:v>
                </c:pt>
                <c:pt idx="42">
                  <c:v>10.815042427498847</c:v>
                </c:pt>
                <c:pt idx="43">
                  <c:v>11.029545039832591</c:v>
                </c:pt>
                <c:pt idx="44">
                  <c:v>11.244047652166337</c:v>
                </c:pt>
                <c:pt idx="45">
                  <c:v>11.458550264500081</c:v>
                </c:pt>
                <c:pt idx="46">
                  <c:v>11.673052876833827</c:v>
                </c:pt>
                <c:pt idx="47">
                  <c:v>11.887555489167571</c:v>
                </c:pt>
                <c:pt idx="48">
                  <c:v>12.102058101501315</c:v>
                </c:pt>
                <c:pt idx="49">
                  <c:v>12.316560713835061</c:v>
                </c:pt>
                <c:pt idx="50">
                  <c:v>12.531063326168805</c:v>
                </c:pt>
              </c:numCache>
            </c:numRef>
          </c:yVal>
          <c:smooth val="1"/>
          <c:extLst>
            <c:ext xmlns:c16="http://schemas.microsoft.com/office/drawing/2014/chart" uri="{C3380CC4-5D6E-409C-BE32-E72D297353CC}">
              <c16:uniqueId val="{00000000-C7A6-4386-BBFF-8191249A89FB}"/>
            </c:ext>
          </c:extLst>
        </c:ser>
        <c:ser>
          <c:idx val="0"/>
          <c:order val="1"/>
          <c:tx>
            <c:v>Sim_Disp_0</c:v>
          </c:tx>
          <c:spPr>
            <a:ln w="25400">
              <a:solidFill>
                <a:srgbClr val="09007E"/>
              </a:solidFill>
              <a:prstDash val="solid"/>
            </a:ln>
          </c:spPr>
          <c:marker>
            <c:symbol val="diamond"/>
            <c:size val="4"/>
            <c:spPr>
              <a:solidFill>
                <a:srgbClr val="09007E"/>
              </a:solidFill>
              <a:ln>
                <a:solidFill>
                  <a:srgbClr val="09007E"/>
                </a:solidFill>
                <a:prstDash val="solid"/>
              </a:ln>
            </c:spPr>
          </c:marker>
          <c:xVal>
            <c:numRef>
              <c:f>Graphs!$V$11:$V$312</c:f>
              <c:numCache>
                <c:formatCode>General</c:formatCode>
                <c:ptCount val="302"/>
              </c:numCache>
            </c:numRef>
          </c:xVal>
          <c:yVal>
            <c:numRef>
              <c:f>Graphs!$W$11:$W$312</c:f>
              <c:numCache>
                <c:formatCode>General</c:formatCode>
                <c:ptCount val="302"/>
              </c:numCache>
            </c:numRef>
          </c:yVal>
          <c:smooth val="1"/>
          <c:extLst>
            <c:ext xmlns:c16="http://schemas.microsoft.com/office/drawing/2014/chart" uri="{C3380CC4-5D6E-409C-BE32-E72D297353CC}">
              <c16:uniqueId val="{00000001-C7A6-4386-BBFF-8191249A89FB}"/>
            </c:ext>
          </c:extLst>
        </c:ser>
        <c:ser>
          <c:idx val="2"/>
          <c:order val="2"/>
          <c:tx>
            <c:v>An_In_0</c:v>
          </c:tx>
          <c:spPr>
            <a:ln w="25400">
              <a:solidFill>
                <a:srgbClr val="339966"/>
              </a:solidFill>
              <a:prstDash val="solid"/>
            </a:ln>
          </c:spPr>
          <c:marker>
            <c:symbol val="triangle"/>
            <c:size val="5"/>
            <c:spPr>
              <a:solidFill>
                <a:srgbClr val="FFFF00"/>
              </a:solidFill>
              <a:ln>
                <a:solidFill>
                  <a:srgbClr val="339966"/>
                </a:solidFill>
                <a:prstDash val="solid"/>
              </a:ln>
            </c:spPr>
          </c:marker>
          <c:xVal>
            <c:numRef>
              <c:f>Graphs!$Z$11:$Z$312</c:f>
              <c:numCache>
                <c:formatCode>General</c:formatCode>
                <c:ptCount val="302"/>
                <c:pt idx="0">
                  <c:v>0</c:v>
                </c:pt>
                <c:pt idx="1">
                  <c:v>2.498869968985673</c:v>
                </c:pt>
                <c:pt idx="2">
                  <c:v>4.6176066432963125</c:v>
                </c:pt>
                <c:pt idx="3">
                  <c:v>6.2783207700704224</c:v>
                </c:pt>
                <c:pt idx="4">
                  <c:v>7.4992138441302814</c:v>
                </c:pt>
                <c:pt idx="5">
                  <c:v>8.3545435321866535</c:v>
                </c:pt>
                <c:pt idx="6">
                  <c:v>8.933838079974521</c:v>
                </c:pt>
                <c:pt idx="7">
                  <c:v>9.3177054906846024</c:v>
                </c:pt>
                <c:pt idx="8">
                  <c:v>9.5692240152857266</c:v>
                </c:pt>
                <c:pt idx="9">
                  <c:v>9.7341329892515205</c:v>
                </c:pt>
                <c:pt idx="10">
                  <c:v>9.8443795563071035</c:v>
                </c:pt>
                <c:pt idx="11">
                  <c:v>9.9221950062201358</c:v>
                </c:pt>
                <c:pt idx="12">
                  <c:v>9.9836717694415711</c:v>
                </c:pt>
                <c:pt idx="13">
                  <c:v>10.041700130386744</c:v>
                </c:pt>
                <c:pt idx="14">
                  <c:v>10.108475277957041</c:v>
                </c:pt>
                <c:pt idx="15">
                  <c:v>10.197893586882856</c:v>
                </c:pt>
                <c:pt idx="16">
                  <c:v>10.328164369275328</c:v>
                </c:pt>
                <c:pt idx="17">
                  <c:v>10.524891586101148</c:v>
                </c:pt>
                <c:pt idx="18">
                  <c:v>10.824641671206336</c:v>
                </c:pt>
                <c:pt idx="19">
                  <c:v>11.278386386402417</c:v>
                </c:pt>
                <c:pt idx="20">
                  <c:v>11.952848396322224</c:v>
                </c:pt>
                <c:pt idx="21">
                  <c:v>12.925509912020061</c:v>
                </c:pt>
                <c:pt idx="22">
                  <c:v>14.266958106600214</c:v>
                </c:pt>
                <c:pt idx="23">
                  <c:v>16.006536425265949</c:v>
                </c:pt>
                <c:pt idx="24">
                  <c:v>18.090350537386257</c:v>
                </c:pt>
                <c:pt idx="25">
                  <c:v>20.361693068116438</c:v>
                </c:pt>
                <c:pt idx="26">
                  <c:v>22.596293150854763</c:v>
                </c:pt>
                <c:pt idx="27">
                  <c:v>24.583749643352348</c:v>
                </c:pt>
                <c:pt idx="28">
                  <c:v>26.198946092335973</c:v>
                </c:pt>
                <c:pt idx="29">
                  <c:v>27.418202777334955</c:v>
                </c:pt>
                <c:pt idx="30">
                  <c:v>28.288458079623524</c:v>
                </c:pt>
                <c:pt idx="31">
                  <c:v>28.885414720571134</c:v>
                </c:pt>
                <c:pt idx="32">
                  <c:v>29.284366952197161</c:v>
                </c:pt>
                <c:pt idx="33">
                  <c:v>29.547248141898308</c:v>
                </c:pt>
                <c:pt idx="34">
                  <c:v>29.720264744537417</c:v>
                </c:pt>
                <c:pt idx="35">
                  <c:v>29.83625626511639</c:v>
                </c:pt>
                <c:pt idx="36">
                  <c:v>29.918337061826605</c:v>
                </c:pt>
                <c:pt idx="37">
                  <c:v>29.98338512115879</c:v>
                </c:pt>
                <c:pt idx="38">
                  <c:v>30.045040389813948</c:v>
                </c:pt>
                <c:pt idx="39">
                  <c:v>30.116360024840105</c:v>
                </c:pt>
                <c:pt idx="40">
                  <c:v>30.212474045401905</c:v>
                </c:pt>
                <c:pt idx="41">
                  <c:v>30.353687058959622</c:v>
                </c:pt>
                <c:pt idx="42">
                  <c:v>30.569570830266457</c:v>
                </c:pt>
                <c:pt idx="43">
                  <c:v>30.904717471275944</c:v>
                </c:pt>
                <c:pt idx="44">
                  <c:v>31.426960798853543</c:v>
                </c:pt>
                <c:pt idx="45">
                  <c:v>32.239001510606613</c:v>
                </c:pt>
                <c:pt idx="46">
                  <c:v>33.494635509850923</c:v>
                </c:pt>
                <c:pt idx="47">
                  <c:v>35.422255621233489</c:v>
                </c:pt>
                <c:pt idx="48">
                  <c:v>38.365417947352398</c:v>
                </c:pt>
                <c:pt idx="49">
                  <c:v>42.877503424824681</c:v>
                </c:pt>
                <c:pt idx="50">
                  <c:v>49.999999995634425</c:v>
                </c:pt>
              </c:numCache>
            </c:numRef>
          </c:xVal>
          <c:yVal>
            <c:numRef>
              <c:f>Graphs!$AA$11:$AA$312</c:f>
              <c:numCache>
                <c:formatCode>General</c:formatCode>
                <c:ptCount val="302"/>
                <c:pt idx="0">
                  <c:v>2.2653477877937256</c:v>
                </c:pt>
                <c:pt idx="1">
                  <c:v>2.3861369323544204</c:v>
                </c:pt>
                <c:pt idx="2">
                  <c:v>2.6641118475981056</c:v>
                </c:pt>
                <c:pt idx="3">
                  <c:v>2.7841898506693541</c:v>
                </c:pt>
                <c:pt idx="4">
                  <c:v>3.0585092287696898</c:v>
                </c:pt>
                <c:pt idx="5">
                  <c:v>3.3024845674820242</c:v>
                </c:pt>
                <c:pt idx="6">
                  <c:v>3.43747849104926</c:v>
                </c:pt>
                <c:pt idx="7">
                  <c:v>3.552244313005358</c:v>
                </c:pt>
                <c:pt idx="8">
                  <c:v>3.823462932128459</c:v>
                </c:pt>
                <c:pt idx="9">
                  <c:v>3.8905521011166275</c:v>
                </c:pt>
                <c:pt idx="10">
                  <c:v>4.3014524261839684</c:v>
                </c:pt>
                <c:pt idx="11">
                  <c:v>4.1180299079231917</c:v>
                </c:pt>
                <c:pt idx="12">
                  <c:v>4.4222375270910561</c:v>
                </c:pt>
                <c:pt idx="13">
                  <c:v>4.8408818402700122</c:v>
                </c:pt>
                <c:pt idx="14">
                  <c:v>5.18642603373155</c:v>
                </c:pt>
                <c:pt idx="15">
                  <c:v>5.1923094727657739</c:v>
                </c:pt>
                <c:pt idx="16">
                  <c:v>5.3796424258686599</c:v>
                </c:pt>
                <c:pt idx="17">
                  <c:v>5.5674684633873399</c:v>
                </c:pt>
                <c:pt idx="18">
                  <c:v>5.7681651949696242</c:v>
                </c:pt>
                <c:pt idx="19">
                  <c:v>6.0832747816853221</c:v>
                </c:pt>
                <c:pt idx="20">
                  <c:v>6.2216419441439212</c:v>
                </c:pt>
                <c:pt idx="21">
                  <c:v>6.4441657189466062</c:v>
                </c:pt>
                <c:pt idx="22">
                  <c:v>6.6170152428187432</c:v>
                </c:pt>
                <c:pt idx="23">
                  <c:v>6.8276927663199602</c:v>
                </c:pt>
                <c:pt idx="24">
                  <c:v>6.9951606211625039</c:v>
                </c:pt>
                <c:pt idx="25">
                  <c:v>7.2242915053851906</c:v>
                </c:pt>
                <c:pt idx="26">
                  <c:v>7.5369926953129474</c:v>
                </c:pt>
                <c:pt idx="27">
                  <c:v>7.6312835094146427</c:v>
                </c:pt>
                <c:pt idx="28">
                  <c:v>7.78317475317046</c:v>
                </c:pt>
                <c:pt idx="29">
                  <c:v>7.9825341033004227</c:v>
                </c:pt>
                <c:pt idx="30">
                  <c:v>8.2847767613641921</c:v>
                </c:pt>
                <c:pt idx="31">
                  <c:v>8.4060754944570366</c:v>
                </c:pt>
                <c:pt idx="32">
                  <c:v>8.6294696083106093</c:v>
                </c:pt>
                <c:pt idx="33">
                  <c:v>8.7976750612445169</c:v>
                </c:pt>
                <c:pt idx="34">
                  <c:v>9.0960117106325917</c:v>
                </c:pt>
                <c:pt idx="35">
                  <c:v>9.0847907523252065</c:v>
                </c:pt>
                <c:pt idx="36">
                  <c:v>9.400064428430051</c:v>
                </c:pt>
                <c:pt idx="37">
                  <c:v>9.4506547726504504</c:v>
                </c:pt>
                <c:pt idx="38">
                  <c:v>9.8117745951004327</c:v>
                </c:pt>
                <c:pt idx="39">
                  <c:v>10.284517781157046</c:v>
                </c:pt>
                <c:pt idx="40">
                  <c:v>10.294536398407072</c:v>
                </c:pt>
                <c:pt idx="41">
                  <c:v>10.521781745608896</c:v>
                </c:pt>
                <c:pt idx="42">
                  <c:v>10.627726228442043</c:v>
                </c:pt>
                <c:pt idx="43">
                  <c:v>10.915235111545771</c:v>
                </c:pt>
                <c:pt idx="44">
                  <c:v>11.084914463479072</c:v>
                </c:pt>
                <c:pt idx="45">
                  <c:v>11.226372458133847</c:v>
                </c:pt>
                <c:pt idx="46">
                  <c:v>11.385016548875718</c:v>
                </c:pt>
                <c:pt idx="47">
                  <c:v>11.676670697722583</c:v>
                </c:pt>
                <c:pt idx="48">
                  <c:v>11.805349126476795</c:v>
                </c:pt>
                <c:pt idx="49">
                  <c:v>12.00734264222905</c:v>
                </c:pt>
                <c:pt idx="50">
                  <c:v>12.223539364431053</c:v>
                </c:pt>
              </c:numCache>
            </c:numRef>
          </c:yVal>
          <c:smooth val="1"/>
          <c:extLst>
            <c:ext xmlns:c16="http://schemas.microsoft.com/office/drawing/2014/chart" uri="{C3380CC4-5D6E-409C-BE32-E72D297353CC}">
              <c16:uniqueId val="{00000002-C7A6-4386-BBFF-8191249A89FB}"/>
            </c:ext>
          </c:extLst>
        </c:ser>
        <c:ser>
          <c:idx val="3"/>
          <c:order val="3"/>
          <c:tx>
            <c:v>An_In_1</c:v>
          </c:tx>
          <c:spPr>
            <a:ln w="12700">
              <a:solidFill>
                <a:srgbClr val="008000"/>
              </a:solidFill>
              <a:prstDash val="solid"/>
            </a:ln>
          </c:spPr>
          <c:marker>
            <c:symbol val="x"/>
            <c:size val="5"/>
            <c:spPr>
              <a:noFill/>
              <a:ln>
                <a:solidFill>
                  <a:srgbClr val="008000"/>
                </a:solidFill>
                <a:prstDash val="solid"/>
              </a:ln>
            </c:spPr>
          </c:marker>
          <c:xVal>
            <c:numRef>
              <c:f>Graphs!$AB$11:$AB$312</c:f>
              <c:numCache>
                <c:formatCode>General</c:formatCode>
                <c:ptCount val="302"/>
              </c:numCache>
            </c:numRef>
          </c:xVal>
          <c:yVal>
            <c:numRef>
              <c:f>Graphs!$AC$11:$AC$312</c:f>
              <c:numCache>
                <c:formatCode>General</c:formatCode>
                <c:ptCount val="302"/>
              </c:numCache>
            </c:numRef>
          </c:yVal>
          <c:smooth val="1"/>
          <c:extLst>
            <c:ext xmlns:c16="http://schemas.microsoft.com/office/drawing/2014/chart" uri="{C3380CC4-5D6E-409C-BE32-E72D297353CC}">
              <c16:uniqueId val="{00000003-C7A6-4386-BBFF-8191249A89FB}"/>
            </c:ext>
          </c:extLst>
        </c:ser>
        <c:ser>
          <c:idx val="4"/>
          <c:order val="4"/>
          <c:tx>
            <c:v>Sim_Disp_1</c:v>
          </c:tx>
          <c:spPr>
            <a:ln w="12700">
              <a:solidFill>
                <a:srgbClr val="800080"/>
              </a:solidFill>
              <a:prstDash val="solid"/>
            </a:ln>
          </c:spPr>
          <c:marker>
            <c:symbol val="star"/>
            <c:size val="5"/>
            <c:spPr>
              <a:noFill/>
              <a:ln>
                <a:solidFill>
                  <a:srgbClr val="800080"/>
                </a:solidFill>
                <a:prstDash val="solid"/>
              </a:ln>
            </c:spPr>
          </c:marker>
          <c:xVal>
            <c:numRef>
              <c:f>Graphs!$X$11:$X$312</c:f>
              <c:numCache>
                <c:formatCode>General</c:formatCode>
                <c:ptCount val="302"/>
              </c:numCache>
            </c:numRef>
          </c:xVal>
          <c:yVal>
            <c:numRef>
              <c:f>Graphs!$Y$11:$Y$312</c:f>
              <c:numCache>
                <c:formatCode>General</c:formatCode>
                <c:ptCount val="302"/>
              </c:numCache>
            </c:numRef>
          </c:yVal>
          <c:smooth val="1"/>
          <c:extLst>
            <c:ext xmlns:c16="http://schemas.microsoft.com/office/drawing/2014/chart" uri="{C3380CC4-5D6E-409C-BE32-E72D297353CC}">
              <c16:uniqueId val="{00000004-C7A6-4386-BBFF-8191249A89FB}"/>
            </c:ext>
          </c:extLst>
        </c:ser>
        <c:ser>
          <c:idx val="5"/>
          <c:order val="5"/>
          <c:tx>
            <c:v>Sim_1</c:v>
          </c:tx>
          <c:spPr>
            <a:ln w="12700">
              <a:solidFill>
                <a:srgbClr val="FF0000"/>
              </a:solidFill>
              <a:prstDash val="solid"/>
            </a:ln>
          </c:spPr>
          <c:marker>
            <c:symbol val="circle"/>
            <c:size val="5"/>
            <c:spPr>
              <a:solidFill>
                <a:srgbClr val="F4EE00"/>
              </a:solidFill>
              <a:ln>
                <a:solidFill>
                  <a:srgbClr val="FF0000"/>
                </a:solidFill>
                <a:prstDash val="solid"/>
              </a:ln>
            </c:spPr>
          </c:marker>
          <c:xVal>
            <c:numRef>
              <c:f>Graphs!$T$11:$T$312</c:f>
              <c:numCache>
                <c:formatCode>General</c:formatCode>
                <c:ptCount val="302"/>
              </c:numCache>
            </c:numRef>
          </c:xVal>
          <c:yVal>
            <c:numRef>
              <c:f>Graphs!$U$11:$U$312</c:f>
              <c:numCache>
                <c:formatCode>General</c:formatCode>
                <c:ptCount val="302"/>
              </c:numCache>
            </c:numRef>
          </c:yVal>
          <c:smooth val="1"/>
          <c:extLst>
            <c:ext xmlns:c16="http://schemas.microsoft.com/office/drawing/2014/chart" uri="{C3380CC4-5D6E-409C-BE32-E72D297353CC}">
              <c16:uniqueId val="{00000005-C7A6-4386-BBFF-8191249A89FB}"/>
            </c:ext>
          </c:extLst>
        </c:ser>
        <c:ser>
          <c:idx val="6"/>
          <c:order val="6"/>
          <c:tx>
            <c:v>An_In_Al_0</c:v>
          </c:tx>
          <c:spPr>
            <a:ln w="12700">
              <a:solidFill>
                <a:srgbClr val="FF00FF"/>
              </a:solidFill>
              <a:prstDash val="solid"/>
            </a:ln>
          </c:spPr>
          <c:marker>
            <c:symbol val="plus"/>
            <c:size val="5"/>
            <c:spPr>
              <a:noFill/>
              <a:ln>
                <a:solidFill>
                  <a:srgbClr val="FF00FF"/>
                </a:solidFill>
                <a:prstDash val="solid"/>
              </a:ln>
            </c:spPr>
          </c:marker>
          <c:xVal>
            <c:numRef>
              <c:f>Graphs!$AD$11:$AD$312</c:f>
              <c:numCache>
                <c:formatCode>General</c:formatCode>
                <c:ptCount val="302"/>
              </c:numCache>
            </c:numRef>
          </c:xVal>
          <c:yVal>
            <c:numRef>
              <c:f>Graphs!$AE$11:$AE$312</c:f>
              <c:numCache>
                <c:formatCode>General</c:formatCode>
                <c:ptCount val="302"/>
              </c:numCache>
            </c:numRef>
          </c:yVal>
          <c:smooth val="1"/>
          <c:extLst>
            <c:ext xmlns:c16="http://schemas.microsoft.com/office/drawing/2014/chart" uri="{C3380CC4-5D6E-409C-BE32-E72D297353CC}">
              <c16:uniqueId val="{00000006-C7A6-4386-BBFF-8191249A89FB}"/>
            </c:ext>
          </c:extLst>
        </c:ser>
        <c:ser>
          <c:idx val="7"/>
          <c:order val="7"/>
          <c:tx>
            <c:v>An_In_Al_1</c:v>
          </c:tx>
          <c:spPr>
            <a:ln w="12700">
              <a:solidFill>
                <a:srgbClr val="FF6600"/>
              </a:solidFill>
              <a:prstDash val="solid"/>
            </a:ln>
          </c:spPr>
          <c:marker>
            <c:symbol val="dot"/>
            <c:size val="5"/>
            <c:spPr>
              <a:noFill/>
              <a:ln>
                <a:solidFill>
                  <a:srgbClr val="FF6600"/>
                </a:solidFill>
                <a:prstDash val="solid"/>
              </a:ln>
            </c:spPr>
          </c:marker>
          <c:xVal>
            <c:numRef>
              <c:f>Graphs!$AF$11:$AF$312</c:f>
              <c:numCache>
                <c:formatCode>General</c:formatCode>
                <c:ptCount val="302"/>
                <c:pt idx="1">
                  <c:v>8.3333333326057371E-2</c:v>
                </c:pt>
                <c:pt idx="2">
                  <c:v>0.24999999997817213</c:v>
                </c:pt>
                <c:pt idx="3">
                  <c:v>0.41666666663028684</c:v>
                </c:pt>
                <c:pt idx="4">
                  <c:v>0.58333333328240156</c:v>
                </c:pt>
                <c:pt idx="5">
                  <c:v>0.74999999993451638</c:v>
                </c:pt>
                <c:pt idx="6">
                  <c:v>0.9166666665866311</c:v>
                </c:pt>
                <c:pt idx="7">
                  <c:v>1.0833333332387458</c:v>
                </c:pt>
                <c:pt idx="8">
                  <c:v>1.2499999998908606</c:v>
                </c:pt>
                <c:pt idx="9">
                  <c:v>1.4166666665429752</c:v>
                </c:pt>
                <c:pt idx="10">
                  <c:v>1.5833333331950901</c:v>
                </c:pt>
                <c:pt idx="11">
                  <c:v>1.7499999998472049</c:v>
                </c:pt>
                <c:pt idx="12">
                  <c:v>1.9166666664993195</c:v>
                </c:pt>
                <c:pt idx="13">
                  <c:v>2.0833333331514341</c:v>
                </c:pt>
                <c:pt idx="14">
                  <c:v>2.2499999998035491</c:v>
                </c:pt>
                <c:pt idx="15">
                  <c:v>2.4166666664556637</c:v>
                </c:pt>
                <c:pt idx="16">
                  <c:v>2.5833333331077784</c:v>
                </c:pt>
                <c:pt idx="17">
                  <c:v>2.7499999997598934</c:v>
                </c:pt>
                <c:pt idx="18">
                  <c:v>2.916666666412008</c:v>
                </c:pt>
                <c:pt idx="19">
                  <c:v>3.0833333330641226</c:v>
                </c:pt>
                <c:pt idx="20">
                  <c:v>3.2499999997162377</c:v>
                </c:pt>
                <c:pt idx="21">
                  <c:v>3.4166666663683523</c:v>
                </c:pt>
                <c:pt idx="22">
                  <c:v>3.5833333330204669</c:v>
                </c:pt>
                <c:pt idx="23">
                  <c:v>3.7499999996725819</c:v>
                </c:pt>
                <c:pt idx="24">
                  <c:v>3.9166666663246965</c:v>
                </c:pt>
                <c:pt idx="25">
                  <c:v>4.0833333329768111</c:v>
                </c:pt>
                <c:pt idx="26">
                  <c:v>4.2499999996289262</c:v>
                </c:pt>
                <c:pt idx="27">
                  <c:v>4.4166666662810403</c:v>
                </c:pt>
                <c:pt idx="28">
                  <c:v>4.5833333329331554</c:v>
                </c:pt>
                <c:pt idx="29">
                  <c:v>4.7499999995852704</c:v>
                </c:pt>
                <c:pt idx="30">
                  <c:v>4.9166666662373846</c:v>
                </c:pt>
                <c:pt idx="31">
                  <c:v>5.0833333328894996</c:v>
                </c:pt>
                <c:pt idx="32">
                  <c:v>5.2499999995416147</c:v>
                </c:pt>
                <c:pt idx="33">
                  <c:v>5.4166666661937288</c:v>
                </c:pt>
                <c:pt idx="34">
                  <c:v>5.5833333328458439</c:v>
                </c:pt>
                <c:pt idx="35">
                  <c:v>5.7499999994979589</c:v>
                </c:pt>
                <c:pt idx="36">
                  <c:v>5.9166666661500731</c:v>
                </c:pt>
                <c:pt idx="37">
                  <c:v>6.0833333328021881</c:v>
                </c:pt>
                <c:pt idx="38">
                  <c:v>6.2499999994543032</c:v>
                </c:pt>
                <c:pt idx="39">
                  <c:v>6.4166666661064173</c:v>
                </c:pt>
                <c:pt idx="40">
                  <c:v>6.5833333327585324</c:v>
                </c:pt>
                <c:pt idx="41">
                  <c:v>6.7499999994106474</c:v>
                </c:pt>
                <c:pt idx="42">
                  <c:v>6.9166666660627616</c:v>
                </c:pt>
                <c:pt idx="43">
                  <c:v>7.0833333327148766</c:v>
                </c:pt>
                <c:pt idx="44">
                  <c:v>7.2499999993669917</c:v>
                </c:pt>
                <c:pt idx="45">
                  <c:v>7.4166666660191058</c:v>
                </c:pt>
                <c:pt idx="46">
                  <c:v>7.5833333326712209</c:v>
                </c:pt>
                <c:pt idx="47">
                  <c:v>7.7499999993233359</c:v>
                </c:pt>
                <c:pt idx="48">
                  <c:v>7.9166666659754501</c:v>
                </c:pt>
                <c:pt idx="49">
                  <c:v>8.0833333326275643</c:v>
                </c:pt>
                <c:pt idx="50">
                  <c:v>8.2499999992796802</c:v>
                </c:pt>
                <c:pt idx="51">
                  <c:v>8.4166666659317944</c:v>
                </c:pt>
                <c:pt idx="52">
                  <c:v>8.5833333325839085</c:v>
                </c:pt>
                <c:pt idx="53">
                  <c:v>8.7499999992360245</c:v>
                </c:pt>
                <c:pt idx="54">
                  <c:v>8.9166666658881386</c:v>
                </c:pt>
                <c:pt idx="55">
                  <c:v>9.0833333325402528</c:v>
                </c:pt>
                <c:pt idx="56">
                  <c:v>9.2499999991923687</c:v>
                </c:pt>
                <c:pt idx="57">
                  <c:v>9.4166666658444829</c:v>
                </c:pt>
                <c:pt idx="58">
                  <c:v>9.583333332496597</c:v>
                </c:pt>
                <c:pt idx="59">
                  <c:v>9.749999999148713</c:v>
                </c:pt>
                <c:pt idx="60">
                  <c:v>9.9166666658008271</c:v>
                </c:pt>
                <c:pt idx="61">
                  <c:v>10.083333332452941</c:v>
                </c:pt>
                <c:pt idx="62">
                  <c:v>10.249999999105057</c:v>
                </c:pt>
                <c:pt idx="63">
                  <c:v>10.416666665757171</c:v>
                </c:pt>
                <c:pt idx="64">
                  <c:v>10.583333332409286</c:v>
                </c:pt>
                <c:pt idx="65">
                  <c:v>10.749999999061401</c:v>
                </c:pt>
                <c:pt idx="66">
                  <c:v>10.916666665713516</c:v>
                </c:pt>
                <c:pt idx="67">
                  <c:v>11.08333333236563</c:v>
                </c:pt>
                <c:pt idx="68">
                  <c:v>11.249999999017746</c:v>
                </c:pt>
                <c:pt idx="69">
                  <c:v>11.41666666566986</c:v>
                </c:pt>
                <c:pt idx="70">
                  <c:v>11.583333332321974</c:v>
                </c:pt>
                <c:pt idx="71">
                  <c:v>11.74999999897409</c:v>
                </c:pt>
                <c:pt idx="72">
                  <c:v>11.916666665626204</c:v>
                </c:pt>
                <c:pt idx="73">
                  <c:v>12.083333332278318</c:v>
                </c:pt>
                <c:pt idx="74">
                  <c:v>12.249999998930434</c:v>
                </c:pt>
                <c:pt idx="75">
                  <c:v>12.416666665582548</c:v>
                </c:pt>
                <c:pt idx="76">
                  <c:v>12.583333332234663</c:v>
                </c:pt>
                <c:pt idx="77">
                  <c:v>12.749999998886778</c:v>
                </c:pt>
                <c:pt idx="78">
                  <c:v>12.916666665538893</c:v>
                </c:pt>
                <c:pt idx="79">
                  <c:v>13.083333332191007</c:v>
                </c:pt>
                <c:pt idx="80">
                  <c:v>13.249999998843123</c:v>
                </c:pt>
                <c:pt idx="81">
                  <c:v>13.416666665495237</c:v>
                </c:pt>
                <c:pt idx="82">
                  <c:v>13.583333332147351</c:v>
                </c:pt>
                <c:pt idx="83">
                  <c:v>13.749999998799467</c:v>
                </c:pt>
                <c:pt idx="84">
                  <c:v>13.916666665451581</c:v>
                </c:pt>
                <c:pt idx="85">
                  <c:v>14.083333332103695</c:v>
                </c:pt>
                <c:pt idx="86">
                  <c:v>14.249999998755811</c:v>
                </c:pt>
                <c:pt idx="87">
                  <c:v>14.416666665407925</c:v>
                </c:pt>
                <c:pt idx="88">
                  <c:v>14.58333333206004</c:v>
                </c:pt>
                <c:pt idx="89">
                  <c:v>14.749999998712156</c:v>
                </c:pt>
                <c:pt idx="90">
                  <c:v>14.91666666536427</c:v>
                </c:pt>
                <c:pt idx="91">
                  <c:v>15.083333332016384</c:v>
                </c:pt>
                <c:pt idx="92">
                  <c:v>15.2499999986685</c:v>
                </c:pt>
                <c:pt idx="93">
                  <c:v>15.416666665320614</c:v>
                </c:pt>
                <c:pt idx="94">
                  <c:v>15.583333331972728</c:v>
                </c:pt>
                <c:pt idx="95">
                  <c:v>15.749999998624844</c:v>
                </c:pt>
                <c:pt idx="96">
                  <c:v>15.916666665276958</c:v>
                </c:pt>
                <c:pt idx="97">
                  <c:v>16.083333331929072</c:v>
                </c:pt>
                <c:pt idx="98">
                  <c:v>16.249999998581188</c:v>
                </c:pt>
                <c:pt idx="99">
                  <c:v>16.416666665233301</c:v>
                </c:pt>
                <c:pt idx="100">
                  <c:v>16.583333331885417</c:v>
                </c:pt>
                <c:pt idx="101">
                  <c:v>16.749999998537533</c:v>
                </c:pt>
                <c:pt idx="102">
                  <c:v>16.916666665189645</c:v>
                </c:pt>
                <c:pt idx="103">
                  <c:v>17.083333331841761</c:v>
                </c:pt>
                <c:pt idx="104">
                  <c:v>17.249999998493877</c:v>
                </c:pt>
                <c:pt idx="105">
                  <c:v>17.416666665145989</c:v>
                </c:pt>
                <c:pt idx="106">
                  <c:v>17.583333331798105</c:v>
                </c:pt>
                <c:pt idx="107">
                  <c:v>17.749999998450221</c:v>
                </c:pt>
                <c:pt idx="108">
                  <c:v>17.916666665102333</c:v>
                </c:pt>
                <c:pt idx="109">
                  <c:v>18.083333331754449</c:v>
                </c:pt>
                <c:pt idx="110">
                  <c:v>18.249999998406565</c:v>
                </c:pt>
                <c:pt idx="111">
                  <c:v>18.416666665058678</c:v>
                </c:pt>
                <c:pt idx="112">
                  <c:v>18.583333331710794</c:v>
                </c:pt>
                <c:pt idx="113">
                  <c:v>18.74999999836291</c:v>
                </c:pt>
                <c:pt idx="114">
                  <c:v>18.916666665015022</c:v>
                </c:pt>
                <c:pt idx="115">
                  <c:v>19.083333331667138</c:v>
                </c:pt>
                <c:pt idx="116">
                  <c:v>19.249999998319254</c:v>
                </c:pt>
                <c:pt idx="117">
                  <c:v>19.416666664971366</c:v>
                </c:pt>
                <c:pt idx="118">
                  <c:v>19.583333331623482</c:v>
                </c:pt>
                <c:pt idx="119">
                  <c:v>19.749999998275598</c:v>
                </c:pt>
                <c:pt idx="120">
                  <c:v>19.91666666492771</c:v>
                </c:pt>
                <c:pt idx="121">
                  <c:v>20.083333331579826</c:v>
                </c:pt>
                <c:pt idx="122">
                  <c:v>20.249999998231942</c:v>
                </c:pt>
                <c:pt idx="123">
                  <c:v>20.416666664884055</c:v>
                </c:pt>
                <c:pt idx="124">
                  <c:v>20.583333331536171</c:v>
                </c:pt>
                <c:pt idx="125">
                  <c:v>20.749999998188287</c:v>
                </c:pt>
                <c:pt idx="126">
                  <c:v>20.916666664840399</c:v>
                </c:pt>
                <c:pt idx="127">
                  <c:v>21.083333331492515</c:v>
                </c:pt>
                <c:pt idx="128">
                  <c:v>21.249999998144631</c:v>
                </c:pt>
                <c:pt idx="129">
                  <c:v>21.416666664796743</c:v>
                </c:pt>
                <c:pt idx="130">
                  <c:v>21.583333331448859</c:v>
                </c:pt>
                <c:pt idx="131">
                  <c:v>21.749999998100975</c:v>
                </c:pt>
                <c:pt idx="132">
                  <c:v>21.916666664753087</c:v>
                </c:pt>
                <c:pt idx="133">
                  <c:v>22.083333331405203</c:v>
                </c:pt>
                <c:pt idx="134">
                  <c:v>22.249999998057319</c:v>
                </c:pt>
                <c:pt idx="135">
                  <c:v>22.416666664709432</c:v>
                </c:pt>
                <c:pt idx="136">
                  <c:v>22.583333331361548</c:v>
                </c:pt>
                <c:pt idx="137">
                  <c:v>22.749999998013664</c:v>
                </c:pt>
                <c:pt idx="138">
                  <c:v>22.916666664665776</c:v>
                </c:pt>
                <c:pt idx="139">
                  <c:v>23.083333331317892</c:v>
                </c:pt>
                <c:pt idx="140">
                  <c:v>23.249999997970008</c:v>
                </c:pt>
                <c:pt idx="141">
                  <c:v>23.41666666462212</c:v>
                </c:pt>
                <c:pt idx="142">
                  <c:v>23.583333331274236</c:v>
                </c:pt>
                <c:pt idx="143">
                  <c:v>23.749999997926352</c:v>
                </c:pt>
                <c:pt idx="144">
                  <c:v>23.916666664578464</c:v>
                </c:pt>
                <c:pt idx="145">
                  <c:v>24.08333333123058</c:v>
                </c:pt>
                <c:pt idx="146">
                  <c:v>24.249999997882696</c:v>
                </c:pt>
                <c:pt idx="147">
                  <c:v>24.416666664534809</c:v>
                </c:pt>
                <c:pt idx="148">
                  <c:v>24.583333331186925</c:v>
                </c:pt>
                <c:pt idx="149">
                  <c:v>24.749999997839041</c:v>
                </c:pt>
                <c:pt idx="150">
                  <c:v>24.916666664491153</c:v>
                </c:pt>
                <c:pt idx="151">
                  <c:v>25.083333331143269</c:v>
                </c:pt>
                <c:pt idx="152">
                  <c:v>25.249999997795385</c:v>
                </c:pt>
                <c:pt idx="153">
                  <c:v>25.416666664447497</c:v>
                </c:pt>
                <c:pt idx="154">
                  <c:v>25.583333331099613</c:v>
                </c:pt>
                <c:pt idx="155">
                  <c:v>25.749999997751729</c:v>
                </c:pt>
                <c:pt idx="156">
                  <c:v>25.916666664403841</c:v>
                </c:pt>
                <c:pt idx="157">
                  <c:v>26.083333331055957</c:v>
                </c:pt>
                <c:pt idx="158">
                  <c:v>26.249999997708073</c:v>
                </c:pt>
                <c:pt idx="159">
                  <c:v>26.416666664360186</c:v>
                </c:pt>
                <c:pt idx="160">
                  <c:v>26.583333331012302</c:v>
                </c:pt>
                <c:pt idx="161">
                  <c:v>26.749999997664418</c:v>
                </c:pt>
                <c:pt idx="162">
                  <c:v>26.91666666431653</c:v>
                </c:pt>
                <c:pt idx="163">
                  <c:v>27.083333330968646</c:v>
                </c:pt>
                <c:pt idx="164">
                  <c:v>27.249999997620762</c:v>
                </c:pt>
                <c:pt idx="165">
                  <c:v>27.416666664272874</c:v>
                </c:pt>
                <c:pt idx="166">
                  <c:v>27.58333333092499</c:v>
                </c:pt>
                <c:pt idx="167">
                  <c:v>27.749999997577106</c:v>
                </c:pt>
                <c:pt idx="168">
                  <c:v>27.916666664229218</c:v>
                </c:pt>
                <c:pt idx="169">
                  <c:v>28.083333330881334</c:v>
                </c:pt>
                <c:pt idx="170">
                  <c:v>28.24999999753345</c:v>
                </c:pt>
                <c:pt idx="171">
                  <c:v>28.416666664185563</c:v>
                </c:pt>
                <c:pt idx="172">
                  <c:v>28.583333330837679</c:v>
                </c:pt>
                <c:pt idx="173">
                  <c:v>28.749999997489795</c:v>
                </c:pt>
                <c:pt idx="174">
                  <c:v>28.916666664141907</c:v>
                </c:pt>
                <c:pt idx="175">
                  <c:v>29.083333330794023</c:v>
                </c:pt>
                <c:pt idx="176">
                  <c:v>29.249999997446139</c:v>
                </c:pt>
                <c:pt idx="177">
                  <c:v>29.416666664098251</c:v>
                </c:pt>
                <c:pt idx="178">
                  <c:v>29.583333330750367</c:v>
                </c:pt>
                <c:pt idx="179">
                  <c:v>29.749999997402483</c:v>
                </c:pt>
                <c:pt idx="180">
                  <c:v>29.916666664054596</c:v>
                </c:pt>
                <c:pt idx="181">
                  <c:v>30.083333330706711</c:v>
                </c:pt>
                <c:pt idx="182">
                  <c:v>30.249999997358827</c:v>
                </c:pt>
                <c:pt idx="183">
                  <c:v>30.41666666401094</c:v>
                </c:pt>
                <c:pt idx="184">
                  <c:v>30.583333330663056</c:v>
                </c:pt>
                <c:pt idx="185">
                  <c:v>30.749999997315172</c:v>
                </c:pt>
                <c:pt idx="186">
                  <c:v>30.916666663967284</c:v>
                </c:pt>
                <c:pt idx="187">
                  <c:v>31.0833333306194</c:v>
                </c:pt>
                <c:pt idx="188">
                  <c:v>31.249999997271516</c:v>
                </c:pt>
                <c:pt idx="189">
                  <c:v>31.416666663923628</c:v>
                </c:pt>
                <c:pt idx="190">
                  <c:v>31.583333330575744</c:v>
                </c:pt>
                <c:pt idx="191">
                  <c:v>31.74999999722786</c:v>
                </c:pt>
                <c:pt idx="192">
                  <c:v>31.916666663879973</c:v>
                </c:pt>
                <c:pt idx="193">
                  <c:v>32.083333330532085</c:v>
                </c:pt>
                <c:pt idx="194">
                  <c:v>32.249999997184204</c:v>
                </c:pt>
                <c:pt idx="195">
                  <c:v>32.416666663836317</c:v>
                </c:pt>
                <c:pt idx="196">
                  <c:v>32.583333330488429</c:v>
                </c:pt>
                <c:pt idx="197">
                  <c:v>32.749999997140549</c:v>
                </c:pt>
                <c:pt idx="198">
                  <c:v>32.916666663792661</c:v>
                </c:pt>
                <c:pt idx="199">
                  <c:v>33.083333330444773</c:v>
                </c:pt>
                <c:pt idx="200">
                  <c:v>33.249999997096893</c:v>
                </c:pt>
                <c:pt idx="201">
                  <c:v>33.416666663749005</c:v>
                </c:pt>
                <c:pt idx="202">
                  <c:v>33.583333330401118</c:v>
                </c:pt>
                <c:pt idx="203">
                  <c:v>33.749999997053237</c:v>
                </c:pt>
                <c:pt idx="204">
                  <c:v>33.91666666370535</c:v>
                </c:pt>
                <c:pt idx="205">
                  <c:v>34.083333330357462</c:v>
                </c:pt>
                <c:pt idx="206">
                  <c:v>34.249999997009581</c:v>
                </c:pt>
                <c:pt idx="207">
                  <c:v>34.416666663661694</c:v>
                </c:pt>
                <c:pt idx="208">
                  <c:v>34.583333330313806</c:v>
                </c:pt>
                <c:pt idx="209">
                  <c:v>34.749999996965926</c:v>
                </c:pt>
                <c:pt idx="210">
                  <c:v>34.916666663618038</c:v>
                </c:pt>
                <c:pt idx="211">
                  <c:v>35.08333333027015</c:v>
                </c:pt>
                <c:pt idx="212">
                  <c:v>35.24999999692227</c:v>
                </c:pt>
                <c:pt idx="213">
                  <c:v>35.416666663574382</c:v>
                </c:pt>
                <c:pt idx="214">
                  <c:v>35.583333330226495</c:v>
                </c:pt>
                <c:pt idx="215">
                  <c:v>35.749999996878614</c:v>
                </c:pt>
                <c:pt idx="216">
                  <c:v>35.916666663530727</c:v>
                </c:pt>
                <c:pt idx="217">
                  <c:v>36.083333330182839</c:v>
                </c:pt>
                <c:pt idx="218">
                  <c:v>36.249999996834958</c:v>
                </c:pt>
                <c:pt idx="219">
                  <c:v>36.416666663487071</c:v>
                </c:pt>
                <c:pt idx="220">
                  <c:v>36.583333330139183</c:v>
                </c:pt>
                <c:pt idx="221">
                  <c:v>36.749999996791303</c:v>
                </c:pt>
                <c:pt idx="222">
                  <c:v>36.916666663443415</c:v>
                </c:pt>
                <c:pt idx="223">
                  <c:v>37.083333330095527</c:v>
                </c:pt>
                <c:pt idx="224">
                  <c:v>37.249999996747647</c:v>
                </c:pt>
                <c:pt idx="225">
                  <c:v>37.416666663399759</c:v>
                </c:pt>
                <c:pt idx="226">
                  <c:v>37.583333330051872</c:v>
                </c:pt>
                <c:pt idx="227">
                  <c:v>37.749999996703991</c:v>
                </c:pt>
                <c:pt idx="228">
                  <c:v>37.916666663356104</c:v>
                </c:pt>
                <c:pt idx="229">
                  <c:v>38.083333330008216</c:v>
                </c:pt>
                <c:pt idx="230">
                  <c:v>38.249999996660335</c:v>
                </c:pt>
                <c:pt idx="231">
                  <c:v>38.416666663312448</c:v>
                </c:pt>
                <c:pt idx="232">
                  <c:v>38.58333332996456</c:v>
                </c:pt>
                <c:pt idx="233">
                  <c:v>38.74999999661668</c:v>
                </c:pt>
                <c:pt idx="234">
                  <c:v>38.916666663268792</c:v>
                </c:pt>
                <c:pt idx="235">
                  <c:v>39.083333329920904</c:v>
                </c:pt>
                <c:pt idx="236">
                  <c:v>39.249999996573024</c:v>
                </c:pt>
                <c:pt idx="237">
                  <c:v>39.416666663225136</c:v>
                </c:pt>
                <c:pt idx="238">
                  <c:v>39.583333329877249</c:v>
                </c:pt>
                <c:pt idx="239">
                  <c:v>39.749999996529368</c:v>
                </c:pt>
                <c:pt idx="240">
                  <c:v>39.916666663181481</c:v>
                </c:pt>
                <c:pt idx="241">
                  <c:v>40.083333329833593</c:v>
                </c:pt>
                <c:pt idx="242">
                  <c:v>40.249999996485712</c:v>
                </c:pt>
                <c:pt idx="243">
                  <c:v>40.416666663137825</c:v>
                </c:pt>
                <c:pt idx="244">
                  <c:v>40.583333329789937</c:v>
                </c:pt>
                <c:pt idx="245">
                  <c:v>40.749999996442057</c:v>
                </c:pt>
                <c:pt idx="246">
                  <c:v>40.916666663094169</c:v>
                </c:pt>
                <c:pt idx="247">
                  <c:v>41.083333329746281</c:v>
                </c:pt>
                <c:pt idx="248">
                  <c:v>41.249999996398401</c:v>
                </c:pt>
                <c:pt idx="249">
                  <c:v>41.416666663050513</c:v>
                </c:pt>
                <c:pt idx="250">
                  <c:v>41.583333329702626</c:v>
                </c:pt>
                <c:pt idx="251">
                  <c:v>41.749999996354745</c:v>
                </c:pt>
                <c:pt idx="252">
                  <c:v>41.916666663006858</c:v>
                </c:pt>
                <c:pt idx="253">
                  <c:v>42.08333332965897</c:v>
                </c:pt>
                <c:pt idx="254">
                  <c:v>42.249999996311089</c:v>
                </c:pt>
                <c:pt idx="255">
                  <c:v>42.416666662963202</c:v>
                </c:pt>
                <c:pt idx="256">
                  <c:v>42.583333329615314</c:v>
                </c:pt>
                <c:pt idx="257">
                  <c:v>42.749999996267434</c:v>
                </c:pt>
                <c:pt idx="258">
                  <c:v>42.916666662919546</c:v>
                </c:pt>
                <c:pt idx="259">
                  <c:v>43.083333329571659</c:v>
                </c:pt>
                <c:pt idx="260">
                  <c:v>43.249999996223778</c:v>
                </c:pt>
                <c:pt idx="261">
                  <c:v>43.41666666287589</c:v>
                </c:pt>
                <c:pt idx="262">
                  <c:v>43.583333329528003</c:v>
                </c:pt>
                <c:pt idx="263">
                  <c:v>43.749999996180122</c:v>
                </c:pt>
                <c:pt idx="264">
                  <c:v>43.916666662832235</c:v>
                </c:pt>
                <c:pt idx="265">
                  <c:v>44.083333329484347</c:v>
                </c:pt>
                <c:pt idx="266">
                  <c:v>44.249999996136467</c:v>
                </c:pt>
                <c:pt idx="267">
                  <c:v>44.416666662788579</c:v>
                </c:pt>
                <c:pt idx="268">
                  <c:v>44.583333329440691</c:v>
                </c:pt>
                <c:pt idx="269">
                  <c:v>44.749999996092811</c:v>
                </c:pt>
                <c:pt idx="270">
                  <c:v>44.916666662744923</c:v>
                </c:pt>
                <c:pt idx="271">
                  <c:v>45.083333329397036</c:v>
                </c:pt>
                <c:pt idx="272">
                  <c:v>45.249999996049155</c:v>
                </c:pt>
                <c:pt idx="273">
                  <c:v>45.416666662701267</c:v>
                </c:pt>
                <c:pt idx="274">
                  <c:v>45.58333332935338</c:v>
                </c:pt>
                <c:pt idx="275">
                  <c:v>45.749999996005499</c:v>
                </c:pt>
                <c:pt idx="276">
                  <c:v>45.916666662657612</c:v>
                </c:pt>
                <c:pt idx="277">
                  <c:v>46.083333329309724</c:v>
                </c:pt>
                <c:pt idx="278">
                  <c:v>46.249999995961844</c:v>
                </c:pt>
                <c:pt idx="279">
                  <c:v>46.416666662613956</c:v>
                </c:pt>
                <c:pt idx="280">
                  <c:v>46.583333329266068</c:v>
                </c:pt>
                <c:pt idx="281">
                  <c:v>46.749999995918188</c:v>
                </c:pt>
                <c:pt idx="282">
                  <c:v>46.9166666625703</c:v>
                </c:pt>
                <c:pt idx="283">
                  <c:v>47.083333329222413</c:v>
                </c:pt>
                <c:pt idx="284">
                  <c:v>47.249999995874532</c:v>
                </c:pt>
                <c:pt idx="285">
                  <c:v>47.416666662526644</c:v>
                </c:pt>
                <c:pt idx="286">
                  <c:v>47.583333329178757</c:v>
                </c:pt>
                <c:pt idx="287">
                  <c:v>47.749999995830876</c:v>
                </c:pt>
                <c:pt idx="288">
                  <c:v>47.916666662482989</c:v>
                </c:pt>
                <c:pt idx="289">
                  <c:v>48.083333329135101</c:v>
                </c:pt>
                <c:pt idx="290">
                  <c:v>48.249999995787221</c:v>
                </c:pt>
                <c:pt idx="291">
                  <c:v>48.416666662439333</c:v>
                </c:pt>
                <c:pt idx="292">
                  <c:v>48.583333329091445</c:v>
                </c:pt>
                <c:pt idx="293">
                  <c:v>48.749999995743565</c:v>
                </c:pt>
                <c:pt idx="294">
                  <c:v>48.916666662395677</c:v>
                </c:pt>
                <c:pt idx="295">
                  <c:v>49.08333332904779</c:v>
                </c:pt>
                <c:pt idx="296">
                  <c:v>49.249999995699909</c:v>
                </c:pt>
                <c:pt idx="297">
                  <c:v>49.416666662352021</c:v>
                </c:pt>
                <c:pt idx="298">
                  <c:v>49.583333329004134</c:v>
                </c:pt>
                <c:pt idx="299">
                  <c:v>49.749999995656253</c:v>
                </c:pt>
                <c:pt idx="300">
                  <c:v>49.916666662308366</c:v>
                </c:pt>
              </c:numCache>
            </c:numRef>
          </c:xVal>
          <c:yVal>
            <c:numRef>
              <c:f>Graphs!$AG$11:$AG$312</c:f>
              <c:numCache>
                <c:formatCode>General</c:formatCode>
                <c:ptCount val="302"/>
                <c:pt idx="1">
                  <c:v>1.7520986416828761E-2</c:v>
                </c:pt>
                <c:pt idx="2">
                  <c:v>1.8362835528923274E-2</c:v>
                </c:pt>
                <c:pt idx="3">
                  <c:v>2.0046533753117626E-2</c:v>
                </c:pt>
                <c:pt idx="4">
                  <c:v>2.2572081089406497E-2</c:v>
                </c:pt>
                <c:pt idx="5">
                  <c:v>2.5939477537792542E-2</c:v>
                </c:pt>
                <c:pt idx="6">
                  <c:v>3.0148723098275744E-2</c:v>
                </c:pt>
                <c:pt idx="7">
                  <c:v>3.5199817770856186E-2</c:v>
                </c:pt>
                <c:pt idx="8">
                  <c:v>4.1092761555531043E-2</c:v>
                </c:pt>
                <c:pt idx="9">
                  <c:v>4.7827554452303127E-2</c:v>
                </c:pt>
                <c:pt idx="10">
                  <c:v>5.5404196461172457E-2</c:v>
                </c:pt>
                <c:pt idx="11">
                  <c:v>6.3822687582138826E-2</c:v>
                </c:pt>
                <c:pt idx="12">
                  <c:v>7.3083027815199764E-2</c:v>
                </c:pt>
                <c:pt idx="13">
                  <c:v>8.3185217160357997E-2</c:v>
                </c:pt>
                <c:pt idx="14">
                  <c:v>9.4129255617615981E-2</c:v>
                </c:pt>
                <c:pt idx="15">
                  <c:v>0.10591514302217735</c:v>
                </c:pt>
                <c:pt idx="16">
                  <c:v>0.11800336451524747</c:v>
                </c:pt>
                <c:pt idx="17">
                  <c:v>0.1282793109455409</c:v>
                </c:pt>
                <c:pt idx="18">
                  <c:v>0.13622497476391454</c:v>
                </c:pt>
                <c:pt idx="19">
                  <c:v>0.14184035597035616</c:v>
                </c:pt>
                <c:pt idx="20">
                  <c:v>0.1451254545648753</c:v>
                </c:pt>
                <c:pt idx="21">
                  <c:v>0.14608027054746395</c:v>
                </c:pt>
                <c:pt idx="22">
                  <c:v>0.14470480391813131</c:v>
                </c:pt>
                <c:pt idx="23">
                  <c:v>0.14099905467686816</c:v>
                </c:pt>
                <c:pt idx="24">
                  <c:v>0.13496302282368255</c:v>
                </c:pt>
                <c:pt idx="25">
                  <c:v>0.12659670835856526</c:v>
                </c:pt>
                <c:pt idx="26">
                  <c:v>0.11590011128152719</c:v>
                </c:pt>
                <c:pt idx="27">
                  <c:v>0.10287323159255969</c:v>
                </c:pt>
                <c:pt idx="28">
                  <c:v>8.7545481368905539E-2</c:v>
                </c:pt>
                <c:pt idx="29">
                  <c:v>7.2299869115006049E-2</c:v>
                </c:pt>
                <c:pt idx="30">
                  <c:v>6.1237749785455084E-2</c:v>
                </c:pt>
                <c:pt idx="31">
                  <c:v>5.476429407357998E-2</c:v>
                </c:pt>
                <c:pt idx="32">
                  <c:v>5.2879501979374556E-2</c:v>
                </c:pt>
                <c:pt idx="33">
                  <c:v>5.5583373502847658E-2</c:v>
                </c:pt>
                <c:pt idx="34">
                  <c:v>6.2875908643991354E-2</c:v>
                </c:pt>
                <c:pt idx="35">
                  <c:v>7.4757107402807291E-2</c:v>
                </c:pt>
                <c:pt idx="36">
                  <c:v>9.1226969779299158E-2</c:v>
                </c:pt>
                <c:pt idx="37">
                  <c:v>0.11228549577346186</c:v>
                </c:pt>
                <c:pt idx="38">
                  <c:v>0.13788956154991522</c:v>
                </c:pt>
                <c:pt idx="39">
                  <c:v>0.16538998895541748</c:v>
                </c:pt>
                <c:pt idx="40">
                  <c:v>0.19064464761456792</c:v>
                </c:pt>
                <c:pt idx="41">
                  <c:v>0.21329299556238734</c:v>
                </c:pt>
                <c:pt idx="42">
                  <c:v>0.23333503279887352</c:v>
                </c:pt>
                <c:pt idx="43">
                  <c:v>0.25077075932402937</c:v>
                </c:pt>
                <c:pt idx="44">
                  <c:v>0.2656001751378616</c:v>
                </c:pt>
                <c:pt idx="45">
                  <c:v>0.27782328012886875</c:v>
                </c:pt>
                <c:pt idx="46">
                  <c:v>0.28636268375169016</c:v>
                </c:pt>
                <c:pt idx="47">
                  <c:v>0.28696937644847303</c:v>
                </c:pt>
                <c:pt idx="48">
                  <c:v>0.27859603188108878</c:v>
                </c:pt>
                <c:pt idx="49">
                  <c:v>0.26124265004952396</c:v>
                </c:pt>
                <c:pt idx="50">
                  <c:v>0.23490923095379432</c:v>
                </c:pt>
                <c:pt idx="51">
                  <c:v>0.20330271463889535</c:v>
                </c:pt>
                <c:pt idx="52">
                  <c:v>0.18822174925058086</c:v>
                </c:pt>
                <c:pt idx="53">
                  <c:v>0.19760833012114573</c:v>
                </c:pt>
                <c:pt idx="54">
                  <c:v>0.23236967615874882</c:v>
                </c:pt>
                <c:pt idx="55">
                  <c:v>0.32795836615556778</c:v>
                </c:pt>
                <c:pt idx="56">
                  <c:v>0.53079586060204731</c:v>
                </c:pt>
                <c:pt idx="57">
                  <c:v>0.8420478352269879</c:v>
                </c:pt>
                <c:pt idx="58">
                  <c:v>1.2593830244773367</c:v>
                </c:pt>
                <c:pt idx="59">
                  <c:v>1.826495888656358</c:v>
                </c:pt>
                <c:pt idx="60">
                  <c:v>2.3964619072744928</c:v>
                </c:pt>
                <c:pt idx="61">
                  <c:v>2.4675417395465375</c:v>
                </c:pt>
                <c:pt idx="62">
                  <c:v>1.8842722453797238</c:v>
                </c:pt>
                <c:pt idx="63">
                  <c:v>1.3087855288571792</c:v>
                </c:pt>
                <c:pt idx="64">
                  <c:v>0.921572568866873</c:v>
                </c:pt>
                <c:pt idx="65">
                  <c:v>0.70149690203552661</c:v>
                </c:pt>
                <c:pt idx="66">
                  <c:v>0.60130068344842647</c:v>
                </c:pt>
                <c:pt idx="67">
                  <c:v>0.51132573932293945</c:v>
                </c:pt>
                <c:pt idx="68">
                  <c:v>0.40841060685393238</c:v>
                </c:pt>
                <c:pt idx="69">
                  <c:v>0.30917598783804112</c:v>
                </c:pt>
                <c:pt idx="70">
                  <c:v>0.23963659806365117</c:v>
                </c:pt>
                <c:pt idx="71">
                  <c:v>0.20206005164477692</c:v>
                </c:pt>
                <c:pt idx="72">
                  <c:v>0.1963004492861376</c:v>
                </c:pt>
                <c:pt idx="73">
                  <c:v>0.20933639749566119</c:v>
                </c:pt>
                <c:pt idx="74">
                  <c:v>0.21805115613761233</c:v>
                </c:pt>
                <c:pt idx="75">
                  <c:v>0.22006880548156704</c:v>
                </c:pt>
                <c:pt idx="76">
                  <c:v>0.21538934552754307</c:v>
                </c:pt>
                <c:pt idx="77">
                  <c:v>0.20401277627554401</c:v>
                </c:pt>
                <c:pt idx="78">
                  <c:v>0.18608739878924188</c:v>
                </c:pt>
                <c:pt idx="79">
                  <c:v>0.16605208387032477</c:v>
                </c:pt>
                <c:pt idx="80">
                  <c:v>0.14900524070362345</c:v>
                </c:pt>
                <c:pt idx="81">
                  <c:v>0.13522787205415585</c:v>
                </c:pt>
                <c:pt idx="82">
                  <c:v>0.12471997792191034</c:v>
                </c:pt>
                <c:pt idx="83">
                  <c:v>0.11748155830689855</c:v>
                </c:pt>
                <c:pt idx="84">
                  <c:v>0.11351261320911539</c:v>
                </c:pt>
                <c:pt idx="85">
                  <c:v>0.11281314262855918</c:v>
                </c:pt>
                <c:pt idx="86">
                  <c:v>0.11533739722649425</c:v>
                </c:pt>
                <c:pt idx="87">
                  <c:v>0.11928835796265741</c:v>
                </c:pt>
                <c:pt idx="88">
                  <c:v>0.12232086636709838</c:v>
                </c:pt>
                <c:pt idx="89">
                  <c:v>0.12427710375881723</c:v>
                </c:pt>
                <c:pt idx="90">
                  <c:v>0.12515707013784055</c:v>
                </c:pt>
                <c:pt idx="91">
                  <c:v>0.12496076550415104</c:v>
                </c:pt>
                <c:pt idx="92">
                  <c:v>0.12368818985775001</c:v>
                </c:pt>
                <c:pt idx="93">
                  <c:v>0.12133934319864285</c:v>
                </c:pt>
                <c:pt idx="94">
                  <c:v>0.11791422552682276</c:v>
                </c:pt>
                <c:pt idx="95">
                  <c:v>0.1134128368423072</c:v>
                </c:pt>
                <c:pt idx="96">
                  <c:v>0.10783517714506964</c:v>
                </c:pt>
                <c:pt idx="97">
                  <c:v>0.1014433852911675</c:v>
                </c:pt>
                <c:pt idx="98">
                  <c:v>9.541705956487255E-2</c:v>
                </c:pt>
                <c:pt idx="99">
                  <c:v>9.008785369935815E-2</c:v>
                </c:pt>
                <c:pt idx="100">
                  <c:v>8.5455785523850039E-2</c:v>
                </c:pt>
                <c:pt idx="101">
                  <c:v>8.1520855038342763E-2</c:v>
                </c:pt>
                <c:pt idx="102">
                  <c:v>7.828306224283646E-2</c:v>
                </c:pt>
                <c:pt idx="103">
                  <c:v>7.5742407137341594E-2</c:v>
                </c:pt>
                <c:pt idx="104">
                  <c:v>7.3898889721837308E-2</c:v>
                </c:pt>
                <c:pt idx="105">
                  <c:v>7.2752509996344444E-2</c:v>
                </c:pt>
                <c:pt idx="106">
                  <c:v>7.2303267960852277E-2</c:v>
                </c:pt>
                <c:pt idx="107">
                  <c:v>7.2551163615356171E-2</c:v>
                </c:pt>
                <c:pt idx="108">
                  <c:v>7.3496196959876747E-2</c:v>
                </c:pt>
                <c:pt idx="109">
                  <c:v>7.5133520329930481E-2</c:v>
                </c:pt>
                <c:pt idx="110">
                  <c:v>7.7326061928494422E-2</c:v>
                </c:pt>
                <c:pt idx="111">
                  <c:v>7.9920828230207422E-2</c:v>
                </c:pt>
                <c:pt idx="112">
                  <c:v>8.2909775165519839E-2</c:v>
                </c:pt>
                <c:pt idx="113">
                  <c:v>8.6292902734442345E-2</c:v>
                </c:pt>
                <c:pt idx="114">
                  <c:v>9.007021093698557E-2</c:v>
                </c:pt>
                <c:pt idx="115">
                  <c:v>9.4241699773128434E-2</c:v>
                </c:pt>
                <c:pt idx="116">
                  <c:v>9.8807369242886245E-2</c:v>
                </c:pt>
                <c:pt idx="117">
                  <c:v>0.10376721934625435</c:v>
                </c:pt>
                <c:pt idx="118">
                  <c:v>0.10912125008322775</c:v>
                </c:pt>
                <c:pt idx="119">
                  <c:v>0.11486946145382078</c:v>
                </c:pt>
                <c:pt idx="120">
                  <c:v>0.12101185345800845</c:v>
                </c:pt>
                <c:pt idx="121">
                  <c:v>0.12754842609582312</c:v>
                </c:pt>
                <c:pt idx="122">
                  <c:v>0.1344791793672353</c:v>
                </c:pt>
                <c:pt idx="123">
                  <c:v>0.14160797815626891</c:v>
                </c:pt>
                <c:pt idx="124">
                  <c:v>0.14761650342760793</c:v>
                </c:pt>
                <c:pt idx="125">
                  <c:v>0.151961593588511</c:v>
                </c:pt>
                <c:pt idx="126">
                  <c:v>0.15464155769155732</c:v>
                </c:pt>
                <c:pt idx="127">
                  <c:v>0.1556563957367364</c:v>
                </c:pt>
                <c:pt idx="128">
                  <c:v>0.15500610772404896</c:v>
                </c:pt>
                <c:pt idx="129">
                  <c:v>0.15269069365349963</c:v>
                </c:pt>
                <c:pt idx="130">
                  <c:v>0.14871015352508293</c:v>
                </c:pt>
                <c:pt idx="131">
                  <c:v>0.14306448733880531</c:v>
                </c:pt>
                <c:pt idx="132">
                  <c:v>0.13575369509466031</c:v>
                </c:pt>
                <c:pt idx="133">
                  <c:v>0.12677777679264748</c:v>
                </c:pt>
                <c:pt idx="134">
                  <c:v>0.11613673243278003</c:v>
                </c:pt>
                <c:pt idx="135">
                  <c:v>0.10383056201503937</c:v>
                </c:pt>
                <c:pt idx="136">
                  <c:v>8.9906052114709534E-2</c:v>
                </c:pt>
                <c:pt idx="137">
                  <c:v>7.5964023248672199E-2</c:v>
                </c:pt>
                <c:pt idx="138">
                  <c:v>6.3965995328551267E-2</c:v>
                </c:pt>
                <c:pt idx="139">
                  <c:v>5.4031829870492848E-2</c:v>
                </c:pt>
                <c:pt idx="140">
                  <c:v>4.6161526874493479E-2</c:v>
                </c:pt>
                <c:pt idx="141">
                  <c:v>4.0355086340567274E-2</c:v>
                </c:pt>
                <c:pt idx="142">
                  <c:v>3.6612508268697878E-2</c:v>
                </c:pt>
                <c:pt idx="143">
                  <c:v>3.4933792658898934E-2</c:v>
                </c:pt>
                <c:pt idx="144">
                  <c:v>3.5318939511162127E-2</c:v>
                </c:pt>
                <c:pt idx="145">
                  <c:v>3.7767948825492809E-2</c:v>
                </c:pt>
                <c:pt idx="146">
                  <c:v>4.228082060188857E-2</c:v>
                </c:pt>
                <c:pt idx="147">
                  <c:v>4.8857554840346484E-2</c:v>
                </c:pt>
                <c:pt idx="148">
                  <c:v>5.7439512940736973E-2</c:v>
                </c:pt>
                <c:pt idx="149">
                  <c:v>6.6662055449120503E-2</c:v>
                </c:pt>
                <c:pt idx="150">
                  <c:v>7.5151621610090577E-2</c:v>
                </c:pt>
                <c:pt idx="151">
                  <c:v>8.2847788539458372E-2</c:v>
                </c:pt>
                <c:pt idx="152">
                  <c:v>8.9750556237218615E-2</c:v>
                </c:pt>
                <c:pt idx="153">
                  <c:v>9.5859924703381907E-2</c:v>
                </c:pt>
                <c:pt idx="154">
                  <c:v>0.10117589393794334</c:v>
                </c:pt>
                <c:pt idx="155">
                  <c:v>0.10569846394089642</c:v>
                </c:pt>
                <c:pt idx="156">
                  <c:v>0.1094276347122423</c:v>
                </c:pt>
                <c:pt idx="157">
                  <c:v>0.1123634062519972</c:v>
                </c:pt>
                <c:pt idx="158">
                  <c:v>0.11508205385489322</c:v>
                </c:pt>
                <c:pt idx="159">
                  <c:v>0.12175718881585262</c:v>
                </c:pt>
                <c:pt idx="160">
                  <c:v>0.13422652480214406</c:v>
                </c:pt>
                <c:pt idx="161">
                  <c:v>0.15249804788904869</c:v>
                </c:pt>
                <c:pt idx="162">
                  <c:v>0.17657175807655384</c:v>
                </c:pt>
                <c:pt idx="163">
                  <c:v>0.20644765536466098</c:v>
                </c:pt>
                <c:pt idx="164">
                  <c:v>0.24212573975337293</c:v>
                </c:pt>
                <c:pt idx="165">
                  <c:v>0.28310922957602935</c:v>
                </c:pt>
                <c:pt idx="166">
                  <c:v>0.31746202944684476</c:v>
                </c:pt>
                <c:pt idx="167">
                  <c:v>0.3329575732644624</c:v>
                </c:pt>
                <c:pt idx="168">
                  <c:v>0.329040974690542</c:v>
                </c:pt>
                <c:pt idx="169">
                  <c:v>0.30571223372504053</c:v>
                </c:pt>
                <c:pt idx="170">
                  <c:v>0.2631675792191504</c:v>
                </c:pt>
                <c:pt idx="171">
                  <c:v>0.22117775902827652</c:v>
                </c:pt>
                <c:pt idx="172">
                  <c:v>0.216170024982519</c:v>
                </c:pt>
                <c:pt idx="173">
                  <c:v>0.25206714139149361</c:v>
                </c:pt>
                <c:pt idx="174">
                  <c:v>0.32915854914321141</c:v>
                </c:pt>
                <c:pt idx="175">
                  <c:v>0.45056664487274362</c:v>
                </c:pt>
                <c:pt idx="176">
                  <c:v>0.61867786007492631</c:v>
                </c:pt>
                <c:pt idx="177">
                  <c:v>0.87270413890670839</c:v>
                </c:pt>
                <c:pt idx="178">
                  <c:v>1.2764828972090887</c:v>
                </c:pt>
                <c:pt idx="179">
                  <c:v>1.8048521982907617</c:v>
                </c:pt>
                <c:pt idx="180">
                  <c:v>2.3931021396266883</c:v>
                </c:pt>
                <c:pt idx="181">
                  <c:v>2.4973357056717607</c:v>
                </c:pt>
                <c:pt idx="182">
                  <c:v>1.9225486378828645</c:v>
                </c:pt>
                <c:pt idx="183">
                  <c:v>1.3006088829506488</c:v>
                </c:pt>
                <c:pt idx="184">
                  <c:v>0.89625419527482442</c:v>
                </c:pt>
                <c:pt idx="185">
                  <c:v>0.65107521624318399</c:v>
                </c:pt>
                <c:pt idx="186">
                  <c:v>0.47780170775976849</c:v>
                </c:pt>
                <c:pt idx="187">
                  <c:v>0.35571868723664779</c:v>
                </c:pt>
                <c:pt idx="188">
                  <c:v>0.26968385138480933</c:v>
                </c:pt>
                <c:pt idx="189">
                  <c:v>0.21881269666809935</c:v>
                </c:pt>
                <c:pt idx="190">
                  <c:v>0.18972480920995394</c:v>
                </c:pt>
                <c:pt idx="191">
                  <c:v>0.16669765408738055</c:v>
                </c:pt>
                <c:pt idx="192">
                  <c:v>0.14883215197007402</c:v>
                </c:pt>
                <c:pt idx="193">
                  <c:v>0.13612830285805455</c:v>
                </c:pt>
                <c:pt idx="194">
                  <c:v>0.12848686601436729</c:v>
                </c:pt>
                <c:pt idx="195">
                  <c:v>0.12420282086034509</c:v>
                </c:pt>
                <c:pt idx="196">
                  <c:v>0.12184110181865952</c:v>
                </c:pt>
                <c:pt idx="197">
                  <c:v>0.12135696249578826</c:v>
                </c:pt>
                <c:pt idx="198">
                  <c:v>0.12275040289172072</c:v>
                </c:pt>
                <c:pt idx="199">
                  <c:v>0.12602142300646196</c:v>
                </c:pt>
                <c:pt idx="200">
                  <c:v>0.13117002283999624</c:v>
                </c:pt>
                <c:pt idx="201">
                  <c:v>0.13819618120141258</c:v>
                </c:pt>
                <c:pt idx="202">
                  <c:v>0.14640112857684265</c:v>
                </c:pt>
                <c:pt idx="203">
                  <c:v>0.15324677494474701</c:v>
                </c:pt>
                <c:pt idx="204">
                  <c:v>0.15815703602187484</c:v>
                </c:pt>
                <c:pt idx="205">
                  <c:v>0.16113191180824638</c:v>
                </c:pt>
                <c:pt idx="206">
                  <c:v>0.16217140230386268</c:v>
                </c:pt>
                <c:pt idx="207">
                  <c:v>0.161275507508713</c:v>
                </c:pt>
                <c:pt idx="208">
                  <c:v>0.15844422742279662</c:v>
                </c:pt>
                <c:pt idx="209">
                  <c:v>0.15367756204612487</c:v>
                </c:pt>
                <c:pt idx="210">
                  <c:v>0.14697551137869841</c:v>
                </c:pt>
                <c:pt idx="211">
                  <c:v>0.13833807542050405</c:v>
                </c:pt>
                <c:pt idx="212">
                  <c:v>0.12776525417153362</c:v>
                </c:pt>
                <c:pt idx="213">
                  <c:v>0.11530569902056638</c:v>
                </c:pt>
                <c:pt idx="214">
                  <c:v>0.10227645274777315</c:v>
                </c:pt>
                <c:pt idx="215">
                  <c:v>9.011500264408677E-2</c:v>
                </c:pt>
                <c:pt idx="216">
                  <c:v>7.8894146840654392E-2</c:v>
                </c:pt>
                <c:pt idx="217">
                  <c:v>6.8613885337464819E-2</c:v>
                </c:pt>
                <c:pt idx="218">
                  <c:v>5.9274218134539897E-2</c:v>
                </c:pt>
                <c:pt idx="219">
                  <c:v>5.0875145231870179E-2</c:v>
                </c:pt>
                <c:pt idx="220">
                  <c:v>4.3416666629462176E-2</c:v>
                </c:pt>
                <c:pt idx="221">
                  <c:v>3.6898782327309379E-2</c:v>
                </c:pt>
                <c:pt idx="222">
                  <c:v>3.1321492325412613E-2</c:v>
                </c:pt>
                <c:pt idx="223">
                  <c:v>2.6684796623765238E-2</c:v>
                </c:pt>
                <c:pt idx="224">
                  <c:v>2.2988695222395217E-2</c:v>
                </c:pt>
                <c:pt idx="225">
                  <c:v>2.0233188121271044E-2</c:v>
                </c:pt>
                <c:pt idx="226">
                  <c:v>1.8418275320395316E-2</c:v>
                </c:pt>
                <c:pt idx="227">
                  <c:v>1.7543956819786752E-2</c:v>
                </c:pt>
                <c:pt idx="228">
                  <c:v>1.7610232619434812E-2</c:v>
                </c:pt>
                <c:pt idx="229">
                  <c:v>1.8617102719341746E-2</c:v>
                </c:pt>
                <c:pt idx="230">
                  <c:v>2.0564567119494646E-2</c:v>
                </c:pt>
                <c:pt idx="231">
                  <c:v>2.3356216252526051E-2</c:v>
                </c:pt>
                <c:pt idx="232">
                  <c:v>2.6296417933168805E-2</c:v>
                </c:pt>
                <c:pt idx="233">
                  <c:v>2.9079878171368929E-2</c:v>
                </c:pt>
                <c:pt idx="234">
                  <c:v>3.1705290647934474E-2</c:v>
                </c:pt>
                <c:pt idx="235">
                  <c:v>3.417265536283752E-2</c:v>
                </c:pt>
                <c:pt idx="236">
                  <c:v>3.6481972316116634E-2</c:v>
                </c:pt>
                <c:pt idx="237">
                  <c:v>3.8633241507718241E-2</c:v>
                </c:pt>
                <c:pt idx="238">
                  <c:v>4.0626462937679256E-2</c:v>
                </c:pt>
                <c:pt idx="239">
                  <c:v>4.2461636606005396E-2</c:v>
                </c:pt>
                <c:pt idx="240">
                  <c:v>4.4138762512664444E-2</c:v>
                </c:pt>
                <c:pt idx="241">
                  <c:v>4.5657840657683371E-2</c:v>
                </c:pt>
                <c:pt idx="242">
                  <c:v>4.701887104105653E-2</c:v>
                </c:pt>
                <c:pt idx="243">
                  <c:v>4.8221853662773081E-2</c:v>
                </c:pt>
                <c:pt idx="244">
                  <c:v>4.9266788522839201E-2</c:v>
                </c:pt>
                <c:pt idx="245">
                  <c:v>5.015367562127003E-2</c:v>
                </c:pt>
                <c:pt idx="246">
                  <c:v>5.088251495803349E-2</c:v>
                </c:pt>
                <c:pt idx="247">
                  <c:v>5.1453306533157397E-2</c:v>
                </c:pt>
                <c:pt idx="248">
                  <c:v>5.1866050346635245E-2</c:v>
                </c:pt>
                <c:pt idx="249">
                  <c:v>5.2120746398466984E-2</c:v>
                </c:pt>
                <c:pt idx="250">
                  <c:v>5.2217394688637966E-2</c:v>
                </c:pt>
                <c:pt idx="251">
                  <c:v>5.2155995217162833E-2</c:v>
                </c:pt>
                <c:pt idx="252">
                  <c:v>5.1936547984052256E-2</c:v>
                </c:pt>
                <c:pt idx="253">
                  <c:v>5.155905298927025E-2</c:v>
                </c:pt>
                <c:pt idx="254">
                  <c:v>5.1023510232852794E-2</c:v>
                </c:pt>
                <c:pt idx="255">
                  <c:v>5.0329919714789305E-2</c:v>
                </c:pt>
                <c:pt idx="256">
                  <c:v>4.9478281435075558E-2</c:v>
                </c:pt>
                <c:pt idx="257">
                  <c:v>4.846859539370512E-2</c:v>
                </c:pt>
                <c:pt idx="258">
                  <c:v>4.7313192936234538E-2</c:v>
                </c:pt>
                <c:pt idx="259">
                  <c:v>4.6124955050639301E-2</c:v>
                </c:pt>
                <c:pt idx="260">
                  <c:v>4.4964444180639968E-2</c:v>
                </c:pt>
                <c:pt idx="261">
                  <c:v>4.383223845381988E-2</c:v>
                </c:pt>
                <c:pt idx="262">
                  <c:v>4.2728337870163322E-2</c:v>
                </c:pt>
                <c:pt idx="263">
                  <c:v>4.1652742429696674E-2</c:v>
                </c:pt>
                <c:pt idx="264">
                  <c:v>4.0605452132377436E-2</c:v>
                </c:pt>
                <c:pt idx="265">
                  <c:v>3.9586466978232107E-2</c:v>
                </c:pt>
                <c:pt idx="266">
                  <c:v>3.8595786967266163E-2</c:v>
                </c:pt>
                <c:pt idx="267">
                  <c:v>3.7633412099469077E-2</c:v>
                </c:pt>
                <c:pt idx="268">
                  <c:v>3.6699342374834992E-2</c:v>
                </c:pt>
                <c:pt idx="269">
                  <c:v>3.5793577793391075E-2</c:v>
                </c:pt>
                <c:pt idx="270">
                  <c:v>3.4916118355094804E-2</c:v>
                </c:pt>
                <c:pt idx="271">
                  <c:v>3.406696405997197E-2</c:v>
                </c:pt>
                <c:pt idx="272">
                  <c:v>3.3246114908028764E-2</c:v>
                </c:pt>
                <c:pt idx="273">
                  <c:v>3.2453570899254623E-2</c:v>
                </c:pt>
                <c:pt idx="274">
                  <c:v>3.1689332033653712E-2</c:v>
                </c:pt>
                <c:pt idx="275">
                  <c:v>3.0953398311211213E-2</c:v>
                </c:pt>
                <c:pt idx="276">
                  <c:v>3.0245769731959193E-2</c:v>
                </c:pt>
                <c:pt idx="277">
                  <c:v>2.9566446295858893E-2</c:v>
                </c:pt>
                <c:pt idx="278">
                  <c:v>2.8915428002927759E-2</c:v>
                </c:pt>
                <c:pt idx="279">
                  <c:v>2.8292714853187191E-2</c:v>
                </c:pt>
                <c:pt idx="280">
                  <c:v>2.7698306846598172E-2</c:v>
                </c:pt>
                <c:pt idx="281">
                  <c:v>2.7132203983189062E-2</c:v>
                </c:pt>
                <c:pt idx="282">
                  <c:v>2.6594406262949274E-2</c:v>
                </c:pt>
                <c:pt idx="283">
                  <c:v>2.608491368588221E-2</c:v>
                </c:pt>
                <c:pt idx="284">
                  <c:v>2.5603726251984468E-2</c:v>
                </c:pt>
                <c:pt idx="285">
                  <c:v>2.515084396124545E-2</c:v>
                </c:pt>
                <c:pt idx="286">
                  <c:v>2.4726266813689689E-2</c:v>
                </c:pt>
                <c:pt idx="287">
                  <c:v>2.4329994809303312E-2</c:v>
                </c:pt>
                <c:pt idx="288">
                  <c:v>2.396202794808637E-2</c:v>
                </c:pt>
                <c:pt idx="289">
                  <c:v>2.3622366230041925E-2</c:v>
                </c:pt>
                <c:pt idx="290">
                  <c:v>2.3311009655166914E-2</c:v>
                </c:pt>
                <c:pt idx="291">
                  <c:v>2.3027958223461379E-2</c:v>
                </c:pt>
                <c:pt idx="292">
                  <c:v>2.2773211934917603E-2</c:v>
                </c:pt>
                <c:pt idx="293">
                  <c:v>2.2546770789564616E-2</c:v>
                </c:pt>
                <c:pt idx="294">
                  <c:v>2.2348634787359819E-2</c:v>
                </c:pt>
                <c:pt idx="295">
                  <c:v>2.2178803928348697E-2</c:v>
                </c:pt>
                <c:pt idx="296">
                  <c:v>2.2037278212485762E-2</c:v>
                </c:pt>
                <c:pt idx="297">
                  <c:v>2.1924057639803003E-2</c:v>
                </c:pt>
                <c:pt idx="298">
                  <c:v>2.183914221029257E-2</c:v>
                </c:pt>
                <c:pt idx="299">
                  <c:v>2.1782531923962321E-2</c:v>
                </c:pt>
                <c:pt idx="300">
                  <c:v>2.1754226780780279E-2</c:v>
                </c:pt>
              </c:numCache>
            </c:numRef>
          </c:yVal>
          <c:smooth val="1"/>
          <c:extLst>
            <c:ext xmlns:c16="http://schemas.microsoft.com/office/drawing/2014/chart" uri="{C3380CC4-5D6E-409C-BE32-E72D297353CC}">
              <c16:uniqueId val="{00000007-C7A6-4386-BBFF-8191249A89FB}"/>
            </c:ext>
          </c:extLst>
        </c:ser>
        <c:ser>
          <c:idx val="8"/>
          <c:order val="8"/>
          <c:tx>
            <c:v>An_0</c:v>
          </c:tx>
          <c:spPr>
            <a:ln w="25400">
              <a:solidFill>
                <a:srgbClr val="993300"/>
              </a:solidFill>
              <a:prstDash val="solid"/>
            </a:ln>
          </c:spPr>
          <c:marker>
            <c:symbol val="triangle"/>
            <c:size val="5"/>
            <c:spPr>
              <a:solidFill>
                <a:srgbClr val="F4EE00"/>
              </a:solidFill>
              <a:ln>
                <a:solidFill>
                  <a:srgbClr val="993300"/>
                </a:solidFill>
                <a:prstDash val="solid"/>
              </a:ln>
            </c:spPr>
          </c:marker>
          <c:xVal>
            <c:numRef>
              <c:f>Graphs!$AH$11:$AH$134</c:f>
              <c:numCache>
                <c:formatCode>General</c:formatCode>
                <c:ptCount val="124"/>
                <c:pt idx="0">
                  <c:v>0</c:v>
                </c:pt>
                <c:pt idx="1">
                  <c:v>0.89688894076971337</c:v>
                </c:pt>
                <c:pt idx="2">
                  <c:v>1.8641394926817156</c:v>
                </c:pt>
                <c:pt idx="3">
                  <c:v>2.9605798234115355</c:v>
                </c:pt>
                <c:pt idx="4">
                  <c:v>4.1980953348684125</c:v>
                </c:pt>
                <c:pt idx="5">
                  <c:v>5.5483564428868704</c:v>
                </c:pt>
                <c:pt idx="6">
                  <c:v>6.9703873581602238</c:v>
                </c:pt>
                <c:pt idx="7">
                  <c:v>8.4402233464061283</c:v>
                </c:pt>
                <c:pt idx="8">
                  <c:v>9.9575227286550216</c:v>
                </c:pt>
                <c:pt idx="9">
                  <c:v>11.527829080296215</c:v>
                </c:pt>
                <c:pt idx="10">
                  <c:v>13.142040256934706</c:v>
                </c:pt>
                <c:pt idx="11">
                  <c:v>14.768722133885603</c:v>
                </c:pt>
                <c:pt idx="12">
                  <c:v>16.356732237909455</c:v>
                </c:pt>
                <c:pt idx="13">
                  <c:v>17.844781892199535</c:v>
                </c:pt>
                <c:pt idx="14">
                  <c:v>19.181782512168866</c:v>
                </c:pt>
                <c:pt idx="15">
                  <c:v>20.351667587237898</c:v>
                </c:pt>
                <c:pt idx="16">
                  <c:v>21.384160743036773</c:v>
                </c:pt>
                <c:pt idx="17">
                  <c:v>22.342685637704562</c:v>
                </c:pt>
                <c:pt idx="18">
                  <c:v>23.297000558522996</c:v>
                </c:pt>
                <c:pt idx="19">
                  <c:v>24.292349834286142</c:v>
                </c:pt>
                <c:pt idx="20">
                  <c:v>25.326453409797978</c:v>
                </c:pt>
                <c:pt idx="21">
                  <c:v>26.347641290340107</c:v>
                </c:pt>
                <c:pt idx="22">
                  <c:v>27.280329070345033</c:v>
                </c:pt>
                <c:pt idx="23">
                  <c:v>28.062663164746482</c:v>
                </c:pt>
                <c:pt idx="24">
                  <c:v>28.669746332161594</c:v>
                </c:pt>
                <c:pt idx="25">
                  <c:v>29.111924824246671</c:v>
                </c:pt>
                <c:pt idx="26">
                  <c:v>29.419084104301874</c:v>
                </c:pt>
                <c:pt idx="27">
                  <c:v>29.625479625246953</c:v>
                </c:pt>
                <c:pt idx="28">
                  <c:v>29.761181406502146</c:v>
                </c:pt>
                <c:pt idx="29">
                  <c:v>29.849311058933381</c:v>
                </c:pt>
                <c:pt idx="30">
                  <c:v>29.90638507908443</c:v>
                </c:pt>
                <c:pt idx="31">
                  <c:v>29.94375132402638</c:v>
                </c:pt>
                <c:pt idx="32">
                  <c:v>29.969121598696802</c:v>
                </c:pt>
                <c:pt idx="33">
                  <c:v>29.987858388631139</c:v>
                </c:pt>
                <c:pt idx="34">
                  <c:v>30.003981960180681</c:v>
                </c:pt>
                <c:pt idx="35">
                  <c:v>30.020979327673558</c:v>
                </c:pt>
                <c:pt idx="36">
                  <c:v>30.042530830542091</c:v>
                </c:pt>
                <c:pt idx="37">
                  <c:v>30.073280991928186</c:v>
                </c:pt>
                <c:pt idx="38">
                  <c:v>30.119792056211736</c:v>
                </c:pt>
                <c:pt idx="39">
                  <c:v>30.191834959259722</c:v>
                </c:pt>
                <c:pt idx="40">
                  <c:v>30.304181580140721</c:v>
                </c:pt>
                <c:pt idx="41">
                  <c:v>30.479027204273734</c:v>
                </c:pt>
                <c:pt idx="42">
                  <c:v>30.749027973797638</c:v>
                </c:pt>
                <c:pt idx="43">
                  <c:v>31.160632845421787</c:v>
                </c:pt>
                <c:pt idx="44">
                  <c:v>31.777109763061162</c:v>
                </c:pt>
                <c:pt idx="45">
                  <c:v>32.681422297901008</c:v>
                </c:pt>
                <c:pt idx="46">
                  <c:v>33.983392054506112</c:v>
                </c:pt>
                <c:pt idx="47">
                  <c:v>35.846407026110683</c:v>
                </c:pt>
                <c:pt idx="48">
                  <c:v>38.567444209184032</c:v>
                </c:pt>
                <c:pt idx="49">
                  <c:v>42.780707859492395</c:v>
                </c:pt>
                <c:pt idx="50">
                  <c:v>49.999999983992893</c:v>
                </c:pt>
              </c:numCache>
            </c:numRef>
          </c:xVal>
          <c:yVal>
            <c:numRef>
              <c:f>Graphs!$AI$11:$AI$134</c:f>
              <c:numCache>
                <c:formatCode>General</c:formatCode>
                <c:ptCount val="124"/>
                <c:pt idx="0">
                  <c:v>2.2808282657451926</c:v>
                </c:pt>
                <c:pt idx="1">
                  <c:v>2.4714166043065489</c:v>
                </c:pt>
                <c:pt idx="2">
                  <c:v>2.662466105993837</c:v>
                </c:pt>
                <c:pt idx="3">
                  <c:v>2.8605852687023581</c:v>
                </c:pt>
                <c:pt idx="4">
                  <c:v>3.0949879734255372</c:v>
                </c:pt>
                <c:pt idx="5">
                  <c:v>3.2735308732353152</c:v>
                </c:pt>
                <c:pt idx="6">
                  <c:v>3.4831263395957648</c:v>
                </c:pt>
                <c:pt idx="7">
                  <c:v>3.6744159386791289</c:v>
                </c:pt>
                <c:pt idx="8">
                  <c:v>3.8778446124009789</c:v>
                </c:pt>
                <c:pt idx="9">
                  <c:v>4.0878315094076099</c:v>
                </c:pt>
                <c:pt idx="10">
                  <c:v>4.2595044983066614</c:v>
                </c:pt>
                <c:pt idx="11">
                  <c:v>4.4838214059062302</c:v>
                </c:pt>
                <c:pt idx="12">
                  <c:v>4.6824077536202964</c:v>
                </c:pt>
                <c:pt idx="13">
                  <c:v>4.8893591124005615</c:v>
                </c:pt>
                <c:pt idx="14">
                  <c:v>5.0960081052444872</c:v>
                </c:pt>
                <c:pt idx="15">
                  <c:v>5.295324570912868</c:v>
                </c:pt>
                <c:pt idx="16">
                  <c:v>5.5011578789688649</c:v>
                </c:pt>
                <c:pt idx="17">
                  <c:v>5.6875888803489509</c:v>
                </c:pt>
                <c:pt idx="18">
                  <c:v>5.8781362815611065</c:v>
                </c:pt>
                <c:pt idx="19">
                  <c:v>6.0934056529216472</c:v>
                </c:pt>
                <c:pt idx="20">
                  <c:v>6.3068681297414004</c:v>
                </c:pt>
                <c:pt idx="21">
                  <c:v>6.4901526380963626</c:v>
                </c:pt>
                <c:pt idx="22">
                  <c:v>6.6984786649681629</c:v>
                </c:pt>
                <c:pt idx="23">
                  <c:v>6.8921215216629204</c:v>
                </c:pt>
                <c:pt idx="24">
                  <c:v>7.0865812115333977</c:v>
                </c:pt>
                <c:pt idx="25">
                  <c:v>7.3027161829434339</c:v>
                </c:pt>
                <c:pt idx="26">
                  <c:v>7.5183351617865268</c:v>
                </c:pt>
                <c:pt idx="27">
                  <c:v>7.7038716139905157</c:v>
                </c:pt>
                <c:pt idx="28">
                  <c:v>7.9083233626820144</c:v>
                </c:pt>
                <c:pt idx="29">
                  <c:v>8.1149909251295025</c:v>
                </c:pt>
                <c:pt idx="30">
                  <c:v>8.2506355920545751</c:v>
                </c:pt>
                <c:pt idx="31">
                  <c:v>8.5722924061678345</c:v>
                </c:pt>
                <c:pt idx="32">
                  <c:v>8.6735323605053125</c:v>
                </c:pt>
                <c:pt idx="33">
                  <c:v>8.949234131556004</c:v>
                </c:pt>
                <c:pt idx="34">
                  <c:v>9.1845845668949195</c:v>
                </c:pt>
                <c:pt idx="35">
                  <c:v>9.2019186423607167</c:v>
                </c:pt>
                <c:pt idx="36">
                  <c:v>9.5545939252935348</c:v>
                </c:pt>
                <c:pt idx="37">
                  <c:v>9.7397145399264993</c:v>
                </c:pt>
                <c:pt idx="38">
                  <c:v>9.921328281220049</c:v>
                </c:pt>
                <c:pt idx="39">
                  <c:v>10.118093901764601</c:v>
                </c:pt>
                <c:pt idx="40">
                  <c:v>10.340274881910533</c:v>
                </c:pt>
                <c:pt idx="41">
                  <c:v>10.526514122683555</c:v>
                </c:pt>
                <c:pt idx="42">
                  <c:v>10.716714065384119</c:v>
                </c:pt>
                <c:pt idx="43">
                  <c:v>10.92176637821272</c:v>
                </c:pt>
                <c:pt idx="44">
                  <c:v>11.123641830880194</c:v>
                </c:pt>
                <c:pt idx="45">
                  <c:v>11.335130838844925</c:v>
                </c:pt>
                <c:pt idx="46">
                  <c:v>11.515661543425173</c:v>
                </c:pt>
                <c:pt idx="47">
                  <c:v>11.742123357553035</c:v>
                </c:pt>
                <c:pt idx="48">
                  <c:v>11.919127186704428</c:v>
                </c:pt>
                <c:pt idx="49">
                  <c:v>12.134579030226917</c:v>
                </c:pt>
                <c:pt idx="50">
                  <c:v>12.329984020184726</c:v>
                </c:pt>
              </c:numCache>
            </c:numRef>
          </c:yVal>
          <c:smooth val="1"/>
          <c:extLst>
            <c:ext xmlns:c16="http://schemas.microsoft.com/office/drawing/2014/chart" uri="{C3380CC4-5D6E-409C-BE32-E72D297353CC}">
              <c16:uniqueId val="{00000008-C7A6-4386-BBFF-8191249A89FB}"/>
            </c:ext>
          </c:extLst>
        </c:ser>
        <c:ser>
          <c:idx val="9"/>
          <c:order val="9"/>
          <c:tx>
            <c:v>An_1</c:v>
          </c:tx>
          <c:spPr>
            <a:ln w="12700">
              <a:solidFill>
                <a:srgbClr val="993300"/>
              </a:solidFill>
              <a:prstDash val="solid"/>
            </a:ln>
          </c:spPr>
          <c:marker>
            <c:symbol val="diamond"/>
            <c:size val="6"/>
            <c:spPr>
              <a:solidFill>
                <a:srgbClr val="F4EE00"/>
              </a:solidFill>
              <a:ln>
                <a:solidFill>
                  <a:srgbClr val="993300"/>
                </a:solidFill>
                <a:prstDash val="solid"/>
              </a:ln>
            </c:spPr>
          </c:marker>
          <c:xVal>
            <c:numRef>
              <c:f>Graphs!$AJ$11:$AJ$134</c:f>
              <c:numCache>
                <c:formatCode>General</c:formatCode>
                <c:ptCount val="124"/>
              </c:numCache>
            </c:numRef>
          </c:xVal>
          <c:yVal>
            <c:numRef>
              <c:f>Graphs!$AK$11:$AK$134</c:f>
              <c:numCache>
                <c:formatCode>General</c:formatCode>
                <c:ptCount val="124"/>
              </c:numCache>
            </c:numRef>
          </c:yVal>
          <c:smooth val="1"/>
          <c:extLst>
            <c:ext xmlns:c16="http://schemas.microsoft.com/office/drawing/2014/chart" uri="{C3380CC4-5D6E-409C-BE32-E72D297353CC}">
              <c16:uniqueId val="{00000009-C7A6-4386-BBFF-8191249A89FB}"/>
            </c:ext>
          </c:extLst>
        </c:ser>
        <c:ser>
          <c:idx val="10"/>
          <c:order val="10"/>
          <c:tx>
            <c:v>An_Aj_0</c:v>
          </c:tx>
          <c:spPr>
            <a:ln w="25400">
              <a:solidFill>
                <a:srgbClr val="003366"/>
              </a:solidFill>
              <a:prstDash val="solid"/>
            </a:ln>
          </c:spPr>
          <c:marker>
            <c:symbol val="square"/>
            <c:size val="5"/>
            <c:spPr>
              <a:solidFill>
                <a:srgbClr val="CCFFCC"/>
              </a:solidFill>
              <a:ln>
                <a:solidFill>
                  <a:srgbClr val="993300"/>
                </a:solidFill>
                <a:prstDash val="solid"/>
              </a:ln>
            </c:spPr>
          </c:marker>
          <c:xVal>
            <c:numRef>
              <c:f>Graphs!$AL$11:$AL$134</c:f>
              <c:numCache>
                <c:formatCode>General</c:formatCode>
                <c:ptCount val="124"/>
              </c:numCache>
            </c:numRef>
          </c:xVal>
          <c:yVal>
            <c:numRef>
              <c:f>Graphs!$AM$11:$AM$134</c:f>
              <c:numCache>
                <c:formatCode>General</c:formatCode>
                <c:ptCount val="124"/>
              </c:numCache>
            </c:numRef>
          </c:yVal>
          <c:smooth val="1"/>
          <c:extLst>
            <c:ext xmlns:c16="http://schemas.microsoft.com/office/drawing/2014/chart" uri="{C3380CC4-5D6E-409C-BE32-E72D297353CC}">
              <c16:uniqueId val="{0000000A-C7A6-4386-BBFF-8191249A89FB}"/>
            </c:ext>
          </c:extLst>
        </c:ser>
        <c:ser>
          <c:idx val="11"/>
          <c:order val="11"/>
          <c:tx>
            <c:v>An_Aj_1</c:v>
          </c:tx>
          <c:spPr>
            <a:ln w="12700">
              <a:solidFill>
                <a:srgbClr val="993300"/>
              </a:solidFill>
              <a:prstDash val="solid"/>
            </a:ln>
          </c:spPr>
          <c:marker>
            <c:symbol val="triangle"/>
            <c:size val="5"/>
            <c:spPr>
              <a:solidFill>
                <a:srgbClr val="FFFF99"/>
              </a:solidFill>
              <a:ln>
                <a:solidFill>
                  <a:srgbClr val="993300"/>
                </a:solidFill>
                <a:prstDash val="solid"/>
              </a:ln>
            </c:spPr>
          </c:marker>
          <c:xVal>
            <c:numRef>
              <c:f>Graphs!$AN$11:$AN$134</c:f>
              <c:numCache>
                <c:formatCode>General</c:formatCode>
                <c:ptCount val="124"/>
              </c:numCache>
            </c:numRef>
          </c:xVal>
          <c:yVal>
            <c:numRef>
              <c:f>Graphs!$AO$11:$AO$134</c:f>
              <c:numCache>
                <c:formatCode>General</c:formatCode>
                <c:ptCount val="124"/>
              </c:numCache>
            </c:numRef>
          </c:yVal>
          <c:smooth val="1"/>
          <c:extLst>
            <c:ext xmlns:c16="http://schemas.microsoft.com/office/drawing/2014/chart" uri="{C3380CC4-5D6E-409C-BE32-E72D297353CC}">
              <c16:uniqueId val="{0000000B-C7A6-4386-BBFF-8191249A89FB}"/>
            </c:ext>
          </c:extLst>
        </c:ser>
        <c:dLbls>
          <c:showLegendKey val="0"/>
          <c:showVal val="0"/>
          <c:showCatName val="0"/>
          <c:showSerName val="0"/>
          <c:showPercent val="0"/>
          <c:showBubbleSize val="0"/>
        </c:dLbls>
        <c:axId val="159929472"/>
        <c:axId val="159931776"/>
      </c:scatterChart>
      <c:valAx>
        <c:axId val="159929472"/>
        <c:scaling>
          <c:orientation val="minMax"/>
          <c:max val="60"/>
        </c:scaling>
        <c:delete val="0"/>
        <c:axPos val="b"/>
        <c:majorGridlines/>
        <c:title>
          <c:tx>
            <c:rich>
              <a:bodyPr/>
              <a:lstStyle/>
              <a:p>
                <a:pPr>
                  <a:defRPr sz="1400" b="1" i="0" u="none" strike="noStrike" baseline="0">
                    <a:solidFill>
                      <a:srgbClr val="000000"/>
                    </a:solidFill>
                    <a:latin typeface="Arial"/>
                    <a:ea typeface="Arial"/>
                    <a:cs typeface="Arial"/>
                  </a:defRPr>
                </a:pPr>
                <a:r>
                  <a:rPr lang="pt-BR"/>
                  <a:t>Titrant Volume (mL)</a:t>
                </a:r>
              </a:p>
            </c:rich>
          </c:tx>
          <c:layout>
            <c:manualLayout>
              <c:xMode val="edge"/>
              <c:yMode val="edge"/>
              <c:x val="0.40473116602998876"/>
              <c:y val="0.94804356352008701"/>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400" b="0" i="0" u="none" strike="noStrike" baseline="0">
                <a:solidFill>
                  <a:srgbClr val="000000"/>
                </a:solidFill>
                <a:latin typeface="Arial"/>
                <a:ea typeface="Arial"/>
                <a:cs typeface="Arial"/>
              </a:defRPr>
            </a:pPr>
            <a:endParaRPr lang="en-US"/>
          </a:p>
        </c:txPr>
        <c:crossAx val="159931776"/>
        <c:crosses val="autoZero"/>
        <c:crossBetween val="midCat"/>
      </c:valAx>
      <c:valAx>
        <c:axId val="159931776"/>
        <c:scaling>
          <c:orientation val="minMax"/>
        </c:scaling>
        <c:delete val="0"/>
        <c:axPos val="l"/>
        <c:majorGridlines>
          <c:spPr>
            <a:ln w="3175">
              <a:solidFill>
                <a:srgbClr val="000000"/>
              </a:solidFill>
              <a:prstDash val="solid"/>
            </a:ln>
          </c:spPr>
        </c:majorGridlines>
        <c:title>
          <c:tx>
            <c:rich>
              <a:bodyPr/>
              <a:lstStyle/>
              <a:p>
                <a:pPr>
                  <a:defRPr sz="1625" b="1" i="0" u="none" strike="noStrike" baseline="0">
                    <a:solidFill>
                      <a:srgbClr val="000000"/>
                    </a:solidFill>
                    <a:latin typeface="Arial"/>
                    <a:ea typeface="Arial"/>
                    <a:cs typeface="Arial"/>
                  </a:defRPr>
                </a:pPr>
                <a:r>
                  <a:rPr lang="pt-BR"/>
                  <a:t>pH</a:t>
                </a:r>
              </a:p>
            </c:rich>
          </c:tx>
          <c:layout>
            <c:manualLayout>
              <c:xMode val="edge"/>
              <c:yMode val="edge"/>
              <c:x val="4.9950884852265854E-3"/>
              <c:y val="0.40754035055962834"/>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400" b="0" i="0" u="none" strike="noStrike" baseline="0">
                <a:solidFill>
                  <a:srgbClr val="000000"/>
                </a:solidFill>
                <a:latin typeface="Arial"/>
                <a:ea typeface="Arial"/>
                <a:cs typeface="Arial"/>
              </a:defRPr>
            </a:pPr>
            <a:endParaRPr lang="en-US"/>
          </a:p>
        </c:txPr>
        <c:crossAx val="159929472"/>
        <c:crosses val="autoZero"/>
        <c:crossBetween val="midCat"/>
      </c:valAx>
      <c:spPr>
        <a:noFill/>
        <a:ln w="12700">
          <a:solidFill>
            <a:schemeClr val="tx1"/>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625" b="0" i="0" u="none" strike="noStrike" baseline="0">
          <a:solidFill>
            <a:srgbClr val="000000"/>
          </a:solidFill>
          <a:latin typeface="Arial"/>
          <a:ea typeface="Arial"/>
          <a:cs typeface="Arial"/>
        </a:defRPr>
      </a:pPr>
      <a:endParaRPr lang="en-US"/>
    </a:p>
  </c:txPr>
  <c:printSettings>
    <c:headerFooter alignWithMargins="0"/>
    <c:pageMargins b="0.98425196899999956" l="0.78740157499999996" r="0.78740157499999996" t="0.98425196899999956" header="0.49212598500001148" footer="0.49212598500001148"/>
    <c:pageSetup/>
  </c:printSettings>
  <c:userShapes r:id="rId1"/>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Lines="10" dropStyle="combo" dx="16" fmlaLink="$K$2" fmlaRange="Database!$C$22:$N$301" noThreeD="1" sel="8" val="5"/>
</file>

<file path=xl/ctrlProps/ctrlProp3.xml><?xml version="1.0" encoding="utf-8"?>
<formControlPr xmlns="http://schemas.microsoft.com/office/spreadsheetml/2009/9/main" objectType="Drop" dropLines="10" dropStyle="combo" dx="16" fmlaLink="$L$2" fmlaRange="Database!$C$22:$C$301" noThreeD="1" sel="1" val="0"/>
</file>

<file path=xl/ctrlProps/ctrlProp4.xml><?xml version="1.0" encoding="utf-8"?>
<formControlPr xmlns="http://schemas.microsoft.com/office/spreadsheetml/2009/9/main" objectType="Drop" dropLines="10" dropStyle="combo" dx="16" fmlaLink="$M$2" fmlaRange="Database!$C$22:$C$301" noThreeD="1" sel="6" val="3"/>
</file>

<file path=xl/ctrlProps/ctrlProp5.xml><?xml version="1.0" encoding="utf-8"?>
<formControlPr xmlns="http://schemas.microsoft.com/office/spreadsheetml/2009/9/main" objectType="Drop" dropLines="10" dropStyle="combo" dx="16" fmlaLink="$N$2" fmlaRange="Database!$C$22:$C$301" noThreeD="1" sel="3" val="2"/>
</file>

<file path=xl/ctrlProps/ctrlProp6.xml><?xml version="1.0" encoding="utf-8"?>
<formControlPr xmlns="http://schemas.microsoft.com/office/spreadsheetml/2009/9/main" objectType="Drop" dropLines="10" dropStyle="combo" dx="16" fmlaLink="$O$2" fmlaRange="Database!$C$22:$C$301" noThreeD="1" sel="7" val="4"/>
</file>

<file path=xl/ctrlProps/ctrlProp7.xml><?xml version="1.0" encoding="utf-8"?>
<formControlPr xmlns="http://schemas.microsoft.com/office/spreadsheetml/2009/9/main" objectType="Drop" dropLines="10" dropStyle="combo" dx="16" fmlaLink="$P$2" fmlaRange="Database!$C$22:$C$301" noThreeD="1" sel="2" val="0"/>
</file>

<file path=xl/ctrlProps/ctrlProp8.xml><?xml version="1.0" encoding="utf-8"?>
<formControlPr xmlns="http://schemas.microsoft.com/office/spreadsheetml/2009/9/main" objectType="Drop" dropLines="10" dropStyle="combo" dx="16" fmlaLink="$Q$2" fmlaRange="Database!$C$22:$C$301" noThreeD="1" sel="5" val="2"/>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Drop" dropLines="10" dropStyle="combo" dx="16" fmlaLink="$K$2" fmlaRange="Database!$C$22:$N$301" noThreeD="1" sel="8" val="5"/>
</file>

<file path=xl/ctrlProps/ctrlProp15.xml><?xml version="1.0" encoding="utf-8"?>
<formControlPr xmlns="http://schemas.microsoft.com/office/spreadsheetml/2009/9/main" objectType="Drop" dropLines="10" dropStyle="combo" dx="16" fmlaLink="$L$2" fmlaRange="Database!$C$22:$C$301" noThreeD="1" sel="3" val="2"/>
</file>

<file path=xl/ctrlProps/ctrlProp16.xml><?xml version="1.0" encoding="utf-8"?>
<formControlPr xmlns="http://schemas.microsoft.com/office/spreadsheetml/2009/9/main" objectType="Drop" dropLines="10" dropStyle="combo" dx="16" fmlaLink="$M$2" fmlaRange="Database!$C$22:$C$301" noThreeD="1" sel="1" val="0"/>
</file>

<file path=xl/ctrlProps/ctrlProp17.xml><?xml version="1.0" encoding="utf-8"?>
<formControlPr xmlns="http://schemas.microsoft.com/office/spreadsheetml/2009/9/main" objectType="Drop" dropLines="10" dropStyle="combo" dx="16" fmlaLink="$N$2" fmlaRange="Database!$C$22:$C$301" noThreeD="1" sel="260" val="258"/>
</file>

<file path=xl/ctrlProps/ctrlProp18.xml><?xml version="1.0" encoding="utf-8"?>
<formControlPr xmlns="http://schemas.microsoft.com/office/spreadsheetml/2009/9/main" objectType="Drop" dropLines="10" dropStyle="combo" dx="16" fmlaLink="$O$2" fmlaRange="Database!$C$22:$C$301" noThreeD="1" sel="2" val="0"/>
</file>

<file path=xl/ctrlProps/ctrlProp19.xml><?xml version="1.0" encoding="utf-8"?>
<formControlPr xmlns="http://schemas.microsoft.com/office/spreadsheetml/2009/9/main" objectType="Drop" dropLines="10" dropStyle="combo" dx="16" fmlaLink="$P$2" fmlaRange="Database!$C$22:$C$301" noThreeD="1" sel="7" val="6"/>
</file>

<file path=xl/ctrlProps/ctrlProp20.xml><?xml version="1.0" encoding="utf-8"?>
<formControlPr xmlns="http://schemas.microsoft.com/office/spreadsheetml/2009/9/main" objectType="Drop" dropLines="10" dropStyle="combo" dx="16" fmlaLink="$Q$2" fmlaRange="Database!$C$22:$C$301" noThreeD="1" sel="103" val="5"/>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CheckBox" checked="Checked" fmlaLink="$F$25" lockText="1" noThreeD="1"/>
</file>

<file path=xl/ctrlProps/ctrlProp33.xml><?xml version="1.0" encoding="utf-8"?>
<formControlPr xmlns="http://schemas.microsoft.com/office/spreadsheetml/2009/9/main" objectType="CheckBox" checked="Checked" fmlaLink="$F$26" lockText="1" noThreeD="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Drop" dropLines="10" dropStyle="combo" dx="16" fmlaLink="$K$2" fmlaRange="Database!$C$22:$N$301" noThreeD="1" sel="198" val="197"/>
</file>

<file path=xl/ctrlProps/ctrlProp41.xml><?xml version="1.0" encoding="utf-8"?>
<formControlPr xmlns="http://schemas.microsoft.com/office/spreadsheetml/2009/9/main" objectType="Drop" dropLines="10" dropStyle="combo" dx="16" fmlaLink="$L$2" fmlaRange="Database!$C$22:$C$301" noThreeD="1" sel="8" val="0"/>
</file>

<file path=xl/ctrlProps/ctrlProp42.xml><?xml version="1.0" encoding="utf-8"?>
<formControlPr xmlns="http://schemas.microsoft.com/office/spreadsheetml/2009/9/main" objectType="Drop" dropLines="10" dropStyle="combo" dx="16" fmlaLink="$M$2" fmlaRange="Database!$C$22:$C$301" noThreeD="1" sel="121" val="114"/>
</file>

<file path=xl/ctrlProps/ctrlProp43.xml><?xml version="1.0" encoding="utf-8"?>
<formControlPr xmlns="http://schemas.microsoft.com/office/spreadsheetml/2009/9/main" objectType="Drop" dropLines="10" dropStyle="combo" dx="16" fmlaLink="$N$2" fmlaRange="Database!$C$22:$C$301" noThreeD="1" sel="1" val="0"/>
</file>

<file path=xl/ctrlProps/ctrlProp44.xml><?xml version="1.0" encoding="utf-8"?>
<formControlPr xmlns="http://schemas.microsoft.com/office/spreadsheetml/2009/9/main" objectType="Drop" dropLines="10" dropStyle="combo" dx="16" fmlaLink="$O$2" fmlaRange="Database!$C$22:$C$301" noThreeD="1" sel="2" val="0"/>
</file>

<file path=xl/ctrlProps/ctrlProp45.xml><?xml version="1.0" encoding="utf-8"?>
<formControlPr xmlns="http://schemas.microsoft.com/office/spreadsheetml/2009/9/main" objectType="Drop" dropLines="10" dropStyle="combo" dx="16" fmlaLink="$P$2" fmlaRange="Database!$C$22:$C$301" noThreeD="1" sel="6" val="0"/>
</file>

<file path=xl/ctrlProps/ctrlProp46.xml><?xml version="1.0" encoding="utf-8"?>
<formControlPr xmlns="http://schemas.microsoft.com/office/spreadsheetml/2009/9/main" objectType="Drop" dropLines="10" dropStyle="combo" dx="16" fmlaLink="$Q$2" fmlaRange="Database!$C$22:$C$301" noThreeD="1" sel="3" val="0"/>
</file>

<file path=xl/ctrlProps/ctrlProp47.xml><?xml version="1.0" encoding="utf-8"?>
<formControlPr xmlns="http://schemas.microsoft.com/office/spreadsheetml/2009/9/main" objectType="GBox" noThreeD="1"/>
</file>

<file path=xl/ctrlProps/ctrlProp48.xml><?xml version="1.0" encoding="utf-8"?>
<formControlPr xmlns="http://schemas.microsoft.com/office/spreadsheetml/2009/9/main" objectType="Radio" firstButton="1" fmlaLink="A21" lockText="1" noThreeD="1"/>
</file>

<file path=xl/ctrlProps/ctrlProp49.xml><?xml version="1.0" encoding="utf-8"?>
<formControlPr xmlns="http://schemas.microsoft.com/office/spreadsheetml/2009/9/main" objectType="Radio" checked="Checked" lockText="1" noThreeD="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Drop" dropLines="5" dropStyle="combo" dx="16" fmlaLink="K12" fmlaRange="Distribution!$Z$3:$Z$7" noThreeD="1" sel="2" val="0"/>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Drop" dropLines="10" dropStyle="combo" dx="16" fmlaLink="E3" fmlaRange="Database!$C$22:$N$301" noThreeD="1" sel="8" val="4"/>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Drop" dropLines="10" dropStyle="combo" dx="16" fmlaLink="$K$2" fmlaRange="Database!$C$22:$N$301" noThreeD="1" sel="62" val="60"/>
</file>

<file path=xl/ctrlProps/ctrlProp74.xml><?xml version="1.0" encoding="utf-8"?>
<formControlPr xmlns="http://schemas.microsoft.com/office/spreadsheetml/2009/9/main" objectType="Drop" dropLines="10" dropStyle="combo" dx="16" fmlaLink="$L$2" fmlaRange="Database!$C$22:$C$301" noThreeD="1" sel="103" val="97"/>
</file>

<file path=xl/ctrlProps/ctrlProp75.xml><?xml version="1.0" encoding="utf-8"?>
<formControlPr xmlns="http://schemas.microsoft.com/office/spreadsheetml/2009/9/main" objectType="Drop" dropLines="10" dropStyle="combo" dx="16" fmlaLink="$M$2" fmlaRange="Database!$C$22:$C$301" noThreeD="1" sel="31" val="28"/>
</file>

<file path=xl/ctrlProps/ctrlProp76.xml><?xml version="1.0" encoding="utf-8"?>
<formControlPr xmlns="http://schemas.microsoft.com/office/spreadsheetml/2009/9/main" objectType="Drop" dropLines="10" dropStyle="combo" dx="16" fmlaLink="$N$2" fmlaRange="Database!$C$22:$C$301" noThreeD="1" sel="1" val="0"/>
</file>

<file path=xl/ctrlProps/ctrlProp77.xml><?xml version="1.0" encoding="utf-8"?>
<formControlPr xmlns="http://schemas.microsoft.com/office/spreadsheetml/2009/9/main" objectType="Drop" dropLines="10" dropStyle="combo" dx="16" fmlaLink="$O$2" fmlaRange="Database!$C$22:$C$301" noThreeD="1" sel="2" val="0"/>
</file>

<file path=xl/ctrlProps/ctrlProp78.xml><?xml version="1.0" encoding="utf-8"?>
<formControlPr xmlns="http://schemas.microsoft.com/office/spreadsheetml/2009/9/main" objectType="Drop" dropLines="10" dropStyle="combo" dx="16" fmlaLink="$P$2" fmlaRange="Database!$C$22:$C$301" noThreeD="1" sel="3" val="0"/>
</file>

<file path=xl/ctrlProps/ctrlProp79.xml><?xml version="1.0" encoding="utf-8"?>
<formControlPr xmlns="http://schemas.microsoft.com/office/spreadsheetml/2009/9/main" objectType="Drop" dropLines="10" dropStyle="combo" dx="16" fmlaLink="$Q$2" fmlaRange="Database!$C$22:$C$301" noThreeD="1" sel="6" val="5"/>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CheckBox" checked="Checked" fmlaLink="A3" lockText="1" noThreeD="1"/>
</file>

<file path=xl/ctrlProps/ctrlProp88.xml><?xml version="1.0" encoding="utf-8"?>
<formControlPr xmlns="http://schemas.microsoft.com/office/spreadsheetml/2009/9/main" objectType="CheckBox" fmlaLink="B3" lockText="1" noThreeD="1"/>
</file>

<file path=xl/ctrlProps/ctrlProp89.xml><?xml version="1.0" encoding="utf-8"?>
<formControlPr xmlns="http://schemas.microsoft.com/office/spreadsheetml/2009/9/main" objectType="CheckBox" fmlaLink="D3" lockText="1" noThreeD="1"/>
</file>

<file path=xl/ctrlProps/ctrlProp90.xml><?xml version="1.0" encoding="utf-8"?>
<formControlPr xmlns="http://schemas.microsoft.com/office/spreadsheetml/2009/9/main" objectType="CheckBox" fmlaLink="F3" lockText="1" noThreeD="1"/>
</file>

<file path=xl/ctrlProps/ctrlProp91.xml><?xml version="1.0" encoding="utf-8"?>
<formControlPr xmlns="http://schemas.microsoft.com/office/spreadsheetml/2009/9/main" objectType="CheckBox" checked="Checked" fmlaLink="A4" lockText="1" noThreeD="1"/>
</file>

<file path=xl/ctrlProps/ctrlProp92.xml><?xml version="1.0" encoding="utf-8"?>
<formControlPr xmlns="http://schemas.microsoft.com/office/spreadsheetml/2009/9/main" objectType="CheckBox" checked="Checked" fmlaLink="A5" lockText="1" noThreeD="1"/>
</file>

<file path=xl/ctrlProps/ctrlProp93.xml><?xml version="1.0" encoding="utf-8"?>
<formControlPr xmlns="http://schemas.microsoft.com/office/spreadsheetml/2009/9/main" objectType="CheckBox" fmlaLink="B4" lockText="1" noThreeD="1"/>
</file>

<file path=xl/ctrlProps/ctrlProp94.xml><?xml version="1.0" encoding="utf-8"?>
<formControlPr xmlns="http://schemas.microsoft.com/office/spreadsheetml/2009/9/main" objectType="CheckBox" fmlaLink="D4" lockText="1" noThreeD="1"/>
</file>

<file path=xl/ctrlProps/ctrlProp95.xml><?xml version="1.0" encoding="utf-8"?>
<formControlPr xmlns="http://schemas.microsoft.com/office/spreadsheetml/2009/9/main" objectType="CheckBox" checked="Checked" fmlaLink="F4" lockText="1" noThreeD="1"/>
</file>

<file path=xl/ctrlProps/ctrlProp96.xml><?xml version="1.0" encoding="utf-8"?>
<formControlPr xmlns="http://schemas.microsoft.com/office/spreadsheetml/2009/9/main" objectType="CheckBox" fmlaLink="B5" lockText="1" noThreeD="1"/>
</file>

<file path=xl/ctrlProps/ctrlProp97.xml><?xml version="1.0" encoding="utf-8"?>
<formControlPr xmlns="http://schemas.microsoft.com/office/spreadsheetml/2009/9/main" objectType="CheckBox" fmlaLink="D5" lockText="1" noThreeD="1"/>
</file>

<file path=xl/ctrlProps/ctrlProp98.xml><?xml version="1.0" encoding="utf-8"?>
<formControlPr xmlns="http://schemas.microsoft.com/office/spreadsheetml/2009/9/main" objectType="CheckBox" fmlaLink="F5"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2.xml"/></Relationships>
</file>

<file path=xl/drawings/_rels/drawing6.xml.rels><?xml version="1.0" encoding="UTF-8" standalone="yes"?>
<Relationships xmlns="http://schemas.openxmlformats.org/package/2006/relationships"><Relationship Id="rId8" Type="http://schemas.openxmlformats.org/officeDocument/2006/relationships/chart" Target="../charts/chart10.xml"/><Relationship Id="rId13" Type="http://schemas.openxmlformats.org/officeDocument/2006/relationships/image" Target="../media/image4.png"/><Relationship Id="rId3" Type="http://schemas.openxmlformats.org/officeDocument/2006/relationships/chart" Target="../charts/chart5.xml"/><Relationship Id="rId7" Type="http://schemas.openxmlformats.org/officeDocument/2006/relationships/chart" Target="../charts/chart9.xml"/><Relationship Id="rId12" Type="http://schemas.openxmlformats.org/officeDocument/2006/relationships/chart" Target="../charts/chart14.xml"/><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8.xml"/><Relationship Id="rId11" Type="http://schemas.openxmlformats.org/officeDocument/2006/relationships/chart" Target="../charts/chart13.xml"/><Relationship Id="rId5" Type="http://schemas.openxmlformats.org/officeDocument/2006/relationships/chart" Target="../charts/chart7.xml"/><Relationship Id="rId10" Type="http://schemas.openxmlformats.org/officeDocument/2006/relationships/chart" Target="../charts/chart12.xml"/><Relationship Id="rId4" Type="http://schemas.openxmlformats.org/officeDocument/2006/relationships/chart" Target="../charts/chart6.xml"/><Relationship Id="rId9" Type="http://schemas.openxmlformats.org/officeDocument/2006/relationships/chart" Target="../charts/chart11.xml"/></Relationships>
</file>

<file path=xl/drawings/_rels/drawing7.xml.rels><?xml version="1.0" encoding="UTF-8" standalone="yes"?>
<Relationships xmlns="http://schemas.openxmlformats.org/package/2006/relationships"><Relationship Id="rId1" Type="http://schemas.openxmlformats.org/officeDocument/2006/relationships/image" Target="../media/image4.png"/></Relationships>
</file>

<file path=xl/drawings/_rels/drawing8.xml.rels><?xml version="1.0" encoding="UTF-8" standalone="yes"?>
<Relationships xmlns="http://schemas.openxmlformats.org/package/2006/relationships"><Relationship Id="rId1" Type="http://schemas.openxmlformats.org/officeDocument/2006/relationships/image" Target="../media/image4.png"/></Relationships>
</file>

<file path=xl/drawings/_rels/drawing9.xml.rels><?xml version="1.0" encoding="UTF-8" standalone="yes"?>
<Relationships xmlns="http://schemas.openxmlformats.org/package/2006/relationships"><Relationship Id="rId1" Type="http://schemas.openxmlformats.org/officeDocument/2006/relationships/image" Target="../media/image4.png"/></Relationships>
</file>

<file path=xl/drawings/_rels/drawing10.xml.rels><?xml version="1.0" encoding="UTF-8" standalone="yes"?>
<Relationships xmlns="http://schemas.openxmlformats.org/package/2006/relationships"><Relationship Id="rId1" Type="http://schemas.openxmlformats.org/officeDocument/2006/relationships/image" Target="../media/image4.png"/></Relationships>
</file>

<file path=xl/drawings/_rels/drawing11.xml.rels><?xml version="1.0" encoding="UTF-8" standalone="yes"?>
<Relationships xmlns="http://schemas.openxmlformats.org/package/2006/relationships"><Relationship Id="rId1" Type="http://schemas.openxmlformats.org/officeDocument/2006/relationships/image" Target="../media/image4.png"/></Relationships>
</file>

<file path=xl/drawings/_rels/drawing12.xml.rels><?xml version="1.0" encoding="UTF-8" standalone="yes"?>
<Relationships xmlns="http://schemas.openxmlformats.org/package/2006/relationships"><Relationship Id="rId1" Type="http://schemas.openxmlformats.org/officeDocument/2006/relationships/image" Target="../media/image4.png"/></Relationships>
</file>

<file path=xl/drawings/_rels/drawing13.xml.rels><?xml version="1.0" encoding="UTF-8" standalone="yes"?>
<Relationships xmlns="http://schemas.openxmlformats.org/package/2006/relationships"><Relationship Id="rId1" Type="http://schemas.openxmlformats.org/officeDocument/2006/relationships/image" Target="../media/image4.png"/></Relationships>
</file>

<file path=xl/drawings/_rels/drawing14.xml.rels><?xml version="1.0" encoding="UTF-8" standalone="yes"?>
<Relationships xmlns="http://schemas.openxmlformats.org/package/2006/relationships"><Relationship Id="rId1" Type="http://schemas.openxmlformats.org/officeDocument/2006/relationships/image" Target="../media/image4.png"/></Relationships>
</file>

<file path=xl/drawings/_rels/drawing15.xml.rels><?xml version="1.0" encoding="UTF-8" standalone="yes"?>
<Relationships xmlns="http://schemas.openxmlformats.org/package/2006/relationships"><Relationship Id="rId1" Type="http://schemas.openxmlformats.org/officeDocument/2006/relationships/image" Target="../media/image4.png"/></Relationships>
</file>

<file path=xl/drawings/_rels/drawing16.xml.rels><?xml version="1.0" encoding="UTF-8" standalone="yes"?>
<Relationships xmlns="http://schemas.openxmlformats.org/package/2006/relationships"><Relationship Id="rId1" Type="http://schemas.openxmlformats.org/officeDocument/2006/relationships/image" Target="../media/image4.png"/></Relationships>
</file>

<file path=xl/drawings/_rels/drawing17.xml.rels><?xml version="1.0" encoding="UTF-8" standalone="yes"?>
<Relationships xmlns="http://schemas.openxmlformats.org/package/2006/relationships"><Relationship Id="rId1" Type="http://schemas.openxmlformats.org/officeDocument/2006/relationships/image" Target="../media/image4.png"/></Relationships>
</file>

<file path=xl/drawings/_rels/drawing18.xml.rels><?xml version="1.0" encoding="UTF-8" standalone="yes"?>
<Relationships xmlns="http://schemas.openxmlformats.org/package/2006/relationships"><Relationship Id="rId1" Type="http://schemas.openxmlformats.org/officeDocument/2006/relationships/image" Target="../media/image4.png"/></Relationships>
</file>

<file path=xl/drawings/_rels/drawing1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chart" Target="../charts/chart16.xml"/><Relationship Id="rId1" Type="http://schemas.openxmlformats.org/officeDocument/2006/relationships/chart" Target="../charts/chart15.xml"/></Relationships>
</file>

<file path=xl/drawings/_rels/drawing20.xml.rels><?xml version="1.0" encoding="UTF-8" standalone="yes"?>
<Relationships xmlns="http://schemas.openxmlformats.org/package/2006/relationships"><Relationship Id="rId1" Type="http://schemas.openxmlformats.org/officeDocument/2006/relationships/image" Target="../media/image4.png"/></Relationships>
</file>

<file path=xl/drawings/_rels/drawing21.xml.rels><?xml version="1.0" encoding="UTF-8" standalone="yes"?>
<Relationships xmlns="http://schemas.openxmlformats.org/package/2006/relationships"><Relationship Id="rId1" Type="http://schemas.openxmlformats.org/officeDocument/2006/relationships/image" Target="../media/image4.png"/></Relationships>
</file>

<file path=xl/drawings/_rels/drawing22.xml.rels><?xml version="1.0" encoding="UTF-8" standalone="yes"?>
<Relationships xmlns="http://schemas.openxmlformats.org/package/2006/relationships"><Relationship Id="rId1" Type="http://schemas.openxmlformats.org/officeDocument/2006/relationships/image" Target="../media/image4.png"/></Relationships>
</file>

<file path=xl/drawings/_rels/drawing23.xml.rels><?xml version="1.0" encoding="UTF-8" standalone="yes"?>
<Relationships xmlns="http://schemas.openxmlformats.org/package/2006/relationships"><Relationship Id="rId3" Type="http://schemas.openxmlformats.org/officeDocument/2006/relationships/chart" Target="../charts/chart19.xml"/><Relationship Id="rId2" Type="http://schemas.openxmlformats.org/officeDocument/2006/relationships/chart" Target="../charts/chart18.xml"/><Relationship Id="rId1" Type="http://schemas.openxmlformats.org/officeDocument/2006/relationships/chart" Target="../charts/chart17.xml"/><Relationship Id="rId4" Type="http://schemas.openxmlformats.org/officeDocument/2006/relationships/image" Target="../media/image4.png"/></Relationships>
</file>

<file path=xl/drawings/_rels/drawing24.xml.rels><?xml version="1.0" encoding="UTF-8" standalone="yes"?>
<Relationships xmlns="http://schemas.openxmlformats.org/package/2006/relationships"><Relationship Id="rId1" Type="http://schemas.openxmlformats.org/officeDocument/2006/relationships/image" Target="../media/image4.png"/></Relationships>
</file>

<file path=xl/drawings/_rels/drawing25.xml.rels><?xml version="1.0" encoding="UTF-8" standalone="yes"?>
<Relationships xmlns="http://schemas.openxmlformats.org/package/2006/relationships"><Relationship Id="rId1" Type="http://schemas.openxmlformats.org/officeDocument/2006/relationships/image" Target="../media/image4.png"/></Relationships>
</file>

<file path=xl/drawings/_rels/drawing26.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20.xml"/></Relationships>
</file>

<file path=xl/drawings/_rels/drawing27.xml.rels><?xml version="1.0" encoding="UTF-8" standalone="yes"?>
<Relationships xmlns="http://schemas.openxmlformats.org/package/2006/relationships"><Relationship Id="rId1" Type="http://schemas.openxmlformats.org/officeDocument/2006/relationships/image" Target="../media/image4.png"/></Relationships>
</file>

<file path=xl/drawings/_rels/drawing28.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6.png"/><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15</xdr:col>
      <xdr:colOff>571500</xdr:colOff>
      <xdr:row>29</xdr:row>
      <xdr:rowOff>47625</xdr:rowOff>
    </xdr:to>
    <xdr:pic>
      <xdr:nvPicPr>
        <xdr:cNvPr id="5278387" name="Picture 27" descr="Titula3">
          <a:extLst>
            <a:ext uri="{FF2B5EF4-FFF2-40B4-BE49-F238E27FC236}">
              <a16:creationId xmlns:a16="http://schemas.microsoft.com/office/drawing/2014/main" id="{00000000-0008-0000-0000-0000B38A5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0" y="0"/>
          <a:ext cx="9312088" cy="8373596"/>
        </a:xfrm>
        <a:prstGeom prst="rect">
          <a:avLst/>
        </a:prstGeom>
        <a:noFill/>
        <a:ln w="9525">
          <a:noFill/>
          <a:miter lim="800000"/>
          <a:headEnd/>
          <a:tailEnd/>
        </a:ln>
      </xdr:spPr>
    </xdr:pic>
    <xdr:clientData/>
  </xdr:twoCellAnchor>
  <xdr:twoCellAnchor>
    <xdr:from>
      <xdr:col>0</xdr:col>
      <xdr:colOff>209550</xdr:colOff>
      <xdr:row>7</xdr:row>
      <xdr:rowOff>85725</xdr:rowOff>
    </xdr:from>
    <xdr:to>
      <xdr:col>10</xdr:col>
      <xdr:colOff>219075</xdr:colOff>
      <xdr:row>11</xdr:row>
      <xdr:rowOff>209550</xdr:rowOff>
    </xdr:to>
    <xdr:sp macro="" textlink="">
      <xdr:nvSpPr>
        <xdr:cNvPr id="18460" name="WordArt 28">
          <a:extLst>
            <a:ext uri="{FF2B5EF4-FFF2-40B4-BE49-F238E27FC236}">
              <a16:creationId xmlns:a16="http://schemas.microsoft.com/office/drawing/2014/main" id="{00000000-0008-0000-0000-00001C480000}"/>
            </a:ext>
          </a:extLst>
        </xdr:cNvPr>
        <xdr:cNvSpPr>
          <a:spLocks noChangeArrowheads="1" noChangeShapeType="1" noTextEdit="1"/>
        </xdr:cNvSpPr>
      </xdr:nvSpPr>
      <xdr:spPr bwMode="auto">
        <a:xfrm rot="-2297207">
          <a:off x="209550" y="2228850"/>
          <a:ext cx="5819775" cy="1228725"/>
        </a:xfrm>
        <a:prstGeom prst="rect">
          <a:avLst/>
        </a:prstGeom>
      </xdr:spPr>
      <xdr:txBody>
        <a:bodyPr wrap="none" fromWordArt="1">
          <a:prstTxWarp prst="textWave2">
            <a:avLst>
              <a:gd name="adj1" fmla="val 13005"/>
              <a:gd name="adj2" fmla="val 0"/>
            </a:avLst>
          </a:prstTxWarp>
        </a:bodyPr>
        <a:lstStyle/>
        <a:p>
          <a:pPr algn="ctr" rtl="0"/>
          <a:r>
            <a:rPr lang="pt-BR" sz="3600" b="1" kern="10" spc="0">
              <a:ln w="38100">
                <a:solidFill>
                  <a:srgbClr val="F4EE00"/>
                </a:solidFill>
                <a:round/>
                <a:headEnd/>
                <a:tailEnd/>
              </a:ln>
              <a:solidFill>
                <a:srgbClr val="000080"/>
              </a:solidFill>
              <a:effectLst>
                <a:outerShdw dist="45791" dir="2021404" algn="ctr" rotWithShape="0">
                  <a:srgbClr val="C0C0C0"/>
                </a:outerShdw>
              </a:effectLst>
              <a:latin typeface="Bookman Old Style"/>
            </a:rPr>
            <a:t>CurTiPot</a:t>
          </a:r>
        </a:p>
      </xdr:txBody>
    </xdr:sp>
    <xdr:clientData/>
  </xdr:twoCellAnchor>
  <xdr:twoCellAnchor>
    <xdr:from>
      <xdr:col>8</xdr:col>
      <xdr:colOff>560854</xdr:colOff>
      <xdr:row>19</xdr:row>
      <xdr:rowOff>23110</xdr:rowOff>
    </xdr:from>
    <xdr:to>
      <xdr:col>16</xdr:col>
      <xdr:colOff>189379</xdr:colOff>
      <xdr:row>21</xdr:row>
      <xdr:rowOff>268940</xdr:rowOff>
    </xdr:to>
    <xdr:sp macro="" textlink="">
      <xdr:nvSpPr>
        <xdr:cNvPr id="18461" name="Text Box 29">
          <a:extLst>
            <a:ext uri="{FF2B5EF4-FFF2-40B4-BE49-F238E27FC236}">
              <a16:creationId xmlns:a16="http://schemas.microsoft.com/office/drawing/2014/main" id="{00000000-0008-0000-0000-00001D480000}"/>
            </a:ext>
          </a:extLst>
        </xdr:cNvPr>
        <xdr:cNvSpPr txBox="1">
          <a:spLocks noChangeArrowheads="1"/>
        </xdr:cNvSpPr>
      </xdr:nvSpPr>
      <xdr:spPr bwMode="auto">
        <a:xfrm>
          <a:off x="5222501" y="5547610"/>
          <a:ext cx="4290172" cy="806124"/>
        </a:xfrm>
        <a:prstGeom prst="rect">
          <a:avLst/>
        </a:prstGeom>
        <a:noFill/>
        <a:ln w="9525">
          <a:noFill/>
          <a:miter lim="800000"/>
          <a:headEnd/>
          <a:tailEnd/>
        </a:ln>
        <a:effectLst/>
      </xdr:spPr>
      <xdr:txBody>
        <a:bodyPr vertOverflow="clip" wrap="square" lIns="36576" tIns="32004" rIns="36576" bIns="0" anchor="t" upright="1"/>
        <a:lstStyle/>
        <a:p>
          <a:pPr algn="ctr" rtl="1">
            <a:defRPr sz="1000"/>
          </a:pPr>
          <a:r>
            <a:rPr lang="pt-BR" sz="1600" b="1" i="0" strike="noStrike">
              <a:solidFill>
                <a:srgbClr val="FFFF99"/>
              </a:solidFill>
              <a:latin typeface="Arial"/>
              <a:cs typeface="Arial"/>
            </a:rPr>
            <a:t> Version 4.3.1</a:t>
          </a:r>
          <a:r>
            <a:rPr lang="pt-BR" sz="1600" b="1" i="0" strike="noStrike" baseline="0">
              <a:solidFill>
                <a:srgbClr val="FFFF99"/>
              </a:solidFill>
              <a:latin typeface="Arial"/>
              <a:cs typeface="Arial"/>
            </a:rPr>
            <a:t> </a:t>
          </a:r>
          <a:br>
            <a:rPr lang="pt-BR" sz="1600" b="1" i="0" strike="noStrike">
              <a:solidFill>
                <a:srgbClr val="FFFF99"/>
              </a:solidFill>
              <a:latin typeface="Arial"/>
              <a:cs typeface="Arial"/>
            </a:rPr>
          </a:br>
          <a:r>
            <a:rPr lang="pt-BR" sz="1600" b="0" i="0" strike="noStrike">
              <a:solidFill>
                <a:srgbClr val="FFFF99"/>
              </a:solidFill>
              <a:latin typeface="Arial"/>
              <a:cs typeface="Arial"/>
            </a:rPr>
            <a:t>May/2021</a:t>
          </a:r>
          <a:br>
            <a:rPr lang="pt-BR" sz="1600" b="0" i="0" strike="noStrike">
              <a:solidFill>
                <a:srgbClr val="FFFF99"/>
              </a:solidFill>
              <a:latin typeface="Arial"/>
              <a:cs typeface="Arial"/>
            </a:rPr>
          </a:br>
          <a:r>
            <a:rPr lang="pt-BR" sz="1400" b="0" i="0" strike="noStrike">
              <a:solidFill>
                <a:srgbClr val="FFFF99"/>
              </a:solidFill>
              <a:latin typeface="Arial"/>
              <a:cs typeface="Arial"/>
            </a:rPr>
            <a:t>for Microsoft Excel</a:t>
          </a:r>
          <a:r>
            <a:rPr lang="pt-BR" sz="1400" b="0" i="0" strike="noStrike" baseline="30000">
              <a:solidFill>
                <a:srgbClr val="FFFF99"/>
              </a:solidFill>
              <a:latin typeface="Arial"/>
              <a:cs typeface="Arial"/>
            </a:rPr>
            <a:t>® </a:t>
          </a:r>
          <a:endParaRPr lang="pt-BR" sz="1600" b="0" i="0" strike="noStrike">
            <a:solidFill>
              <a:srgbClr val="FFFF99"/>
            </a:solidFill>
            <a:latin typeface="Arial"/>
            <a:cs typeface="Arial"/>
          </a:endParaRPr>
        </a:p>
        <a:p>
          <a:pPr algn="ctr" rtl="1">
            <a:defRPr sz="1000"/>
          </a:pPr>
          <a:endParaRPr lang="pt-BR" sz="2000" b="0" i="0" strike="noStrike">
            <a:solidFill>
              <a:srgbClr val="F4EE00"/>
            </a:solidFill>
            <a:latin typeface="Arial"/>
            <a:cs typeface="Arial"/>
          </a:endParaRPr>
        </a:p>
        <a:p>
          <a:pPr algn="ctr" rtl="1">
            <a:defRPr sz="1000"/>
          </a:pPr>
          <a:endParaRPr lang="pt-BR" sz="2000" b="0" i="0" strike="noStrike">
            <a:solidFill>
              <a:srgbClr val="F4EE00"/>
            </a:solidFill>
            <a:latin typeface="Arial"/>
            <a:cs typeface="Arial"/>
          </a:endParaRPr>
        </a:p>
      </xdr:txBody>
    </xdr:sp>
    <xdr:clientData/>
  </xdr:twoCellAnchor>
  <xdr:twoCellAnchor>
    <xdr:from>
      <xdr:col>13</xdr:col>
      <xdr:colOff>228600</xdr:colOff>
      <xdr:row>5</xdr:row>
      <xdr:rowOff>173691</xdr:rowOff>
    </xdr:from>
    <xdr:to>
      <xdr:col>16</xdr:col>
      <xdr:colOff>390525</xdr:colOff>
      <xdr:row>6</xdr:row>
      <xdr:rowOff>221316</xdr:rowOff>
    </xdr:to>
    <xdr:sp macro="" textlink="">
      <xdr:nvSpPr>
        <xdr:cNvPr id="1814802" name="Text Box 35">
          <a:extLst>
            <a:ext uri="{FF2B5EF4-FFF2-40B4-BE49-F238E27FC236}">
              <a16:creationId xmlns:a16="http://schemas.microsoft.com/office/drawing/2014/main" id="{00000000-0008-0000-0000-000012B11B00}"/>
            </a:ext>
          </a:extLst>
        </xdr:cNvPr>
        <xdr:cNvSpPr txBox="1">
          <a:spLocks noChangeArrowheads="1"/>
        </xdr:cNvSpPr>
      </xdr:nvSpPr>
      <xdr:spPr bwMode="auto">
        <a:xfrm>
          <a:off x="7803776" y="1776132"/>
          <a:ext cx="1910043" cy="327772"/>
        </a:xfrm>
        <a:prstGeom prst="rect">
          <a:avLst/>
        </a:prstGeom>
        <a:gradFill rotWithShape="0">
          <a:gsLst>
            <a:gs pos="0">
              <a:srgbClr val="001963"/>
            </a:gs>
            <a:gs pos="50000">
              <a:srgbClr val="0033CC"/>
            </a:gs>
            <a:gs pos="100000">
              <a:srgbClr val="001963"/>
            </a:gs>
          </a:gsLst>
          <a:lin ang="5400000" scaled="1"/>
        </a:gradFill>
        <a:ln w="9525">
          <a:solidFill>
            <a:srgbClr val="000000"/>
          </a:solidFill>
          <a:miter lim="800000"/>
          <a:headEnd/>
          <a:tailEnd/>
        </a:ln>
      </xdr:spPr>
      <xdr:txBody>
        <a:bodyPr vertOverflow="clip" wrap="square" lIns="45720" tIns="32004" rIns="45720" bIns="0" anchor="t" upright="1"/>
        <a:lstStyle/>
        <a:p>
          <a:pPr algn="ctr" rtl="1">
            <a:defRPr sz="1000"/>
          </a:pPr>
          <a:r>
            <a:rPr lang="pt-BR" sz="1600" b="0" i="0" strike="noStrike">
              <a:solidFill>
                <a:srgbClr val="F4EE00"/>
              </a:solidFill>
              <a:latin typeface="Bookman Old Style"/>
            </a:rPr>
            <a:t>Features</a:t>
          </a:r>
        </a:p>
      </xdr:txBody>
    </xdr:sp>
    <xdr:clientData/>
  </xdr:twoCellAnchor>
  <xdr:twoCellAnchor>
    <xdr:from>
      <xdr:col>13</xdr:col>
      <xdr:colOff>228601</xdr:colOff>
      <xdr:row>11</xdr:row>
      <xdr:rowOff>31937</xdr:rowOff>
    </xdr:from>
    <xdr:to>
      <xdr:col>16</xdr:col>
      <xdr:colOff>392207</xdr:colOff>
      <xdr:row>12</xdr:row>
      <xdr:rowOff>89087</xdr:rowOff>
    </xdr:to>
    <xdr:sp macro="" textlink="">
      <xdr:nvSpPr>
        <xdr:cNvPr id="1814803" name="Text Box 36">
          <a:extLst>
            <a:ext uri="{FF2B5EF4-FFF2-40B4-BE49-F238E27FC236}">
              <a16:creationId xmlns:a16="http://schemas.microsoft.com/office/drawing/2014/main" id="{00000000-0008-0000-0000-000013B11B00}"/>
            </a:ext>
          </a:extLst>
        </xdr:cNvPr>
        <xdr:cNvSpPr txBox="1">
          <a:spLocks noChangeArrowheads="1"/>
        </xdr:cNvSpPr>
      </xdr:nvSpPr>
      <xdr:spPr bwMode="auto">
        <a:xfrm>
          <a:off x="7803777" y="3315261"/>
          <a:ext cx="1911724" cy="337297"/>
        </a:xfrm>
        <a:prstGeom prst="rect">
          <a:avLst/>
        </a:prstGeom>
        <a:gradFill rotWithShape="0">
          <a:gsLst>
            <a:gs pos="0">
              <a:srgbClr val="001963"/>
            </a:gs>
            <a:gs pos="50000">
              <a:srgbClr val="0033CC"/>
            </a:gs>
            <a:gs pos="100000">
              <a:srgbClr val="001963"/>
            </a:gs>
          </a:gsLst>
          <a:lin ang="5400000" scaled="1"/>
        </a:gradFill>
        <a:ln w="9525">
          <a:solidFill>
            <a:srgbClr val="000000"/>
          </a:solidFill>
          <a:miter lim="800000"/>
          <a:headEnd/>
          <a:tailEnd/>
        </a:ln>
      </xdr:spPr>
      <xdr:txBody>
        <a:bodyPr vertOverflow="clip" wrap="square" lIns="45720" tIns="32004" rIns="45720" bIns="0" anchor="t" upright="1"/>
        <a:lstStyle/>
        <a:p>
          <a:pPr algn="ctr" rtl="1">
            <a:defRPr sz="1000"/>
          </a:pPr>
          <a:r>
            <a:rPr lang="pt-BR" sz="1600" b="0" i="0" strike="noStrike">
              <a:solidFill>
                <a:srgbClr val="F4EE00"/>
              </a:solidFill>
              <a:latin typeface="Bookman Old Style"/>
            </a:rPr>
            <a:t>Installation</a:t>
          </a:r>
        </a:p>
      </xdr:txBody>
    </xdr:sp>
    <xdr:clientData/>
  </xdr:twoCellAnchor>
  <xdr:twoCellAnchor>
    <xdr:from>
      <xdr:col>13</xdr:col>
      <xdr:colOff>228600</xdr:colOff>
      <xdr:row>17</xdr:row>
      <xdr:rowOff>5043</xdr:rowOff>
    </xdr:from>
    <xdr:to>
      <xdr:col>16</xdr:col>
      <xdr:colOff>390525</xdr:colOff>
      <xdr:row>18</xdr:row>
      <xdr:rowOff>62193</xdr:rowOff>
    </xdr:to>
    <xdr:sp macro="" textlink="">
      <xdr:nvSpPr>
        <xdr:cNvPr id="1814804" name="Text Box 37">
          <a:extLst>
            <a:ext uri="{FF2B5EF4-FFF2-40B4-BE49-F238E27FC236}">
              <a16:creationId xmlns:a16="http://schemas.microsoft.com/office/drawing/2014/main" id="{00000000-0008-0000-0000-000014B11B00}"/>
            </a:ext>
          </a:extLst>
        </xdr:cNvPr>
        <xdr:cNvSpPr txBox="1">
          <a:spLocks noChangeArrowheads="1"/>
        </xdr:cNvSpPr>
      </xdr:nvSpPr>
      <xdr:spPr bwMode="auto">
        <a:xfrm>
          <a:off x="7803776" y="4969249"/>
          <a:ext cx="1910043" cy="337297"/>
        </a:xfrm>
        <a:prstGeom prst="rect">
          <a:avLst/>
        </a:prstGeom>
        <a:gradFill rotWithShape="0">
          <a:gsLst>
            <a:gs pos="0">
              <a:srgbClr val="001963"/>
            </a:gs>
            <a:gs pos="50000">
              <a:srgbClr val="0033CC"/>
            </a:gs>
            <a:gs pos="100000">
              <a:srgbClr val="001963"/>
            </a:gs>
          </a:gsLst>
          <a:lin ang="5400000" scaled="1"/>
        </a:gradFill>
        <a:ln w="9525">
          <a:solidFill>
            <a:srgbClr val="000000"/>
          </a:solidFill>
          <a:miter lim="800000"/>
          <a:headEnd/>
          <a:tailEnd/>
        </a:ln>
      </xdr:spPr>
      <xdr:txBody>
        <a:bodyPr vertOverflow="clip" wrap="square" lIns="45720" tIns="32004" rIns="45720" bIns="0" anchor="t" upright="1"/>
        <a:lstStyle/>
        <a:p>
          <a:pPr algn="ctr" rtl="1">
            <a:defRPr sz="1000"/>
          </a:pPr>
          <a:r>
            <a:rPr lang="pt-BR" sz="1600" b="0" i="0" strike="noStrike">
              <a:solidFill>
                <a:srgbClr val="F4EE00"/>
              </a:solidFill>
              <a:latin typeface="Bookman Old Style"/>
            </a:rPr>
            <a:t>Remarks</a:t>
          </a:r>
        </a:p>
      </xdr:txBody>
    </xdr:sp>
    <xdr:clientData/>
  </xdr:twoCellAnchor>
  <xdr:twoCellAnchor>
    <xdr:from>
      <xdr:col>13</xdr:col>
      <xdr:colOff>228600</xdr:colOff>
      <xdr:row>22</xdr:row>
      <xdr:rowOff>271182</xdr:rowOff>
    </xdr:from>
    <xdr:to>
      <xdr:col>16</xdr:col>
      <xdr:colOff>390525</xdr:colOff>
      <xdr:row>24</xdr:row>
      <xdr:rowOff>48185</xdr:rowOff>
    </xdr:to>
    <xdr:sp macro="" textlink="">
      <xdr:nvSpPr>
        <xdr:cNvPr id="1814805" name="Text Box 38">
          <a:extLst>
            <a:ext uri="{FF2B5EF4-FFF2-40B4-BE49-F238E27FC236}">
              <a16:creationId xmlns:a16="http://schemas.microsoft.com/office/drawing/2014/main" id="{00000000-0008-0000-0000-000015B11B00}"/>
            </a:ext>
          </a:extLst>
        </xdr:cNvPr>
        <xdr:cNvSpPr txBox="1">
          <a:spLocks noChangeArrowheads="1"/>
        </xdr:cNvSpPr>
      </xdr:nvSpPr>
      <xdr:spPr bwMode="auto">
        <a:xfrm>
          <a:off x="7803776" y="6636123"/>
          <a:ext cx="1910043" cy="337297"/>
        </a:xfrm>
        <a:prstGeom prst="rect">
          <a:avLst/>
        </a:prstGeom>
        <a:gradFill rotWithShape="0">
          <a:gsLst>
            <a:gs pos="0">
              <a:srgbClr val="001963"/>
            </a:gs>
            <a:gs pos="50000">
              <a:srgbClr val="0033CC"/>
            </a:gs>
            <a:gs pos="100000">
              <a:srgbClr val="001963"/>
            </a:gs>
          </a:gsLst>
          <a:lin ang="5400000" scaled="1"/>
        </a:gradFill>
        <a:ln w="9525">
          <a:solidFill>
            <a:srgbClr val="000000"/>
          </a:solidFill>
          <a:miter lim="800000"/>
          <a:headEnd/>
          <a:tailEnd/>
        </a:ln>
      </xdr:spPr>
      <xdr:txBody>
        <a:bodyPr vertOverflow="clip" wrap="square" lIns="45720" tIns="32004" rIns="45720" bIns="0" anchor="t" upright="1"/>
        <a:lstStyle/>
        <a:p>
          <a:pPr algn="ctr" rtl="1">
            <a:defRPr sz="1000"/>
          </a:pPr>
          <a:r>
            <a:rPr lang="pt-BR" sz="1600" b="0" i="0" strike="noStrike">
              <a:solidFill>
                <a:srgbClr val="F4EE00"/>
              </a:solidFill>
              <a:latin typeface="Bookman Old Style"/>
            </a:rPr>
            <a:t>Fast Start</a:t>
          </a:r>
        </a:p>
      </xdr:txBody>
    </xdr:sp>
    <xdr:clientData/>
  </xdr:twoCellAnchor>
  <xdr:twoCellAnchor>
    <xdr:from>
      <xdr:col>0</xdr:col>
      <xdr:colOff>9525</xdr:colOff>
      <xdr:row>3</xdr:row>
      <xdr:rowOff>257175</xdr:rowOff>
    </xdr:from>
    <xdr:to>
      <xdr:col>16</xdr:col>
      <xdr:colOff>371475</xdr:colOff>
      <xdr:row>18</xdr:row>
      <xdr:rowOff>190500</xdr:rowOff>
    </xdr:to>
    <xdr:sp macro="" textlink="">
      <xdr:nvSpPr>
        <xdr:cNvPr id="5278394" name="Freeform 57">
          <a:extLst>
            <a:ext uri="{FF2B5EF4-FFF2-40B4-BE49-F238E27FC236}">
              <a16:creationId xmlns:a16="http://schemas.microsoft.com/office/drawing/2014/main" id="{00000000-0008-0000-0000-0000BA8A5000}"/>
            </a:ext>
          </a:extLst>
        </xdr:cNvPr>
        <xdr:cNvSpPr>
          <a:spLocks/>
        </xdr:cNvSpPr>
      </xdr:nvSpPr>
      <xdr:spPr bwMode="auto">
        <a:xfrm>
          <a:off x="9525" y="1295400"/>
          <a:ext cx="9658350" cy="4076700"/>
        </a:xfrm>
        <a:custGeom>
          <a:avLst/>
          <a:gdLst>
            <a:gd name="T0" fmla="*/ 2147483647 w 1009"/>
            <a:gd name="T1" fmla="*/ 2147483647 h 442"/>
            <a:gd name="T2" fmla="*/ 2147483647 w 1009"/>
            <a:gd name="T3" fmla="*/ 2147483647 h 442"/>
            <a:gd name="T4" fmla="*/ 2147483647 w 1009"/>
            <a:gd name="T5" fmla="*/ 2147483647 h 442"/>
            <a:gd name="T6" fmla="*/ 0 w 1009"/>
            <a:gd name="T7" fmla="*/ 2147483647 h 442"/>
            <a:gd name="T8" fmla="*/ 0 60000 65536"/>
            <a:gd name="T9" fmla="*/ 0 60000 65536"/>
            <a:gd name="T10" fmla="*/ 0 60000 65536"/>
            <a:gd name="T11" fmla="*/ 0 60000 65536"/>
            <a:gd name="T12" fmla="*/ 0 w 1009"/>
            <a:gd name="T13" fmla="*/ 0 h 442"/>
            <a:gd name="T14" fmla="*/ 1009 w 1009"/>
            <a:gd name="T15" fmla="*/ 442 h 442"/>
          </a:gdLst>
          <a:ahLst/>
          <a:cxnLst>
            <a:cxn ang="T8">
              <a:pos x="T0" y="T1"/>
            </a:cxn>
            <a:cxn ang="T9">
              <a:pos x="T2" y="T3"/>
            </a:cxn>
            <a:cxn ang="T10">
              <a:pos x="T4" y="T5"/>
            </a:cxn>
            <a:cxn ang="T11">
              <a:pos x="T6" y="T7"/>
            </a:cxn>
          </a:cxnLst>
          <a:rect l="T12" t="T13" r="T14" b="T15"/>
          <a:pathLst>
            <a:path w="1009" h="442">
              <a:moveTo>
                <a:pt x="1009" y="16"/>
              </a:moveTo>
              <a:cubicBezTo>
                <a:pt x="943" y="23"/>
                <a:pt x="741" y="0"/>
                <a:pt x="613" y="60"/>
              </a:cubicBezTo>
              <a:cubicBezTo>
                <a:pt x="485" y="120"/>
                <a:pt x="342" y="316"/>
                <a:pt x="240" y="379"/>
              </a:cubicBezTo>
              <a:cubicBezTo>
                <a:pt x="138" y="442"/>
                <a:pt x="50" y="424"/>
                <a:pt x="0" y="436"/>
              </a:cubicBezTo>
            </a:path>
          </a:pathLst>
        </a:custGeom>
        <a:noFill/>
        <a:ln w="120650">
          <a:pattFill prst="pct80">
            <a:fgClr>
              <a:srgbClr val="00008A"/>
            </a:fgClr>
            <a:bgClr>
              <a:srgbClr val="FFFFFF"/>
            </a:bgClr>
          </a:pattFill>
          <a:round/>
          <a:headEnd type="stealth" w="med" len="med"/>
          <a:tailEnd/>
        </a:ln>
      </xdr:spPr>
    </xdr:sp>
    <xdr:clientData/>
  </xdr:twoCellAnchor>
  <xdr:twoCellAnchor>
    <xdr:from>
      <xdr:col>0</xdr:col>
      <xdr:colOff>38100</xdr:colOff>
      <xdr:row>18</xdr:row>
      <xdr:rowOff>238125</xdr:rowOff>
    </xdr:from>
    <xdr:to>
      <xdr:col>5</xdr:col>
      <xdr:colOff>552450</xdr:colOff>
      <xdr:row>21</xdr:row>
      <xdr:rowOff>190500</xdr:rowOff>
    </xdr:to>
    <xdr:sp macro="" textlink="">
      <xdr:nvSpPr>
        <xdr:cNvPr id="18494" name="Text Box 62">
          <a:extLst>
            <a:ext uri="{FF2B5EF4-FFF2-40B4-BE49-F238E27FC236}">
              <a16:creationId xmlns:a16="http://schemas.microsoft.com/office/drawing/2014/main" id="{00000000-0008-0000-0000-00003E480000}"/>
            </a:ext>
          </a:extLst>
        </xdr:cNvPr>
        <xdr:cNvSpPr txBox="1">
          <a:spLocks noChangeArrowheads="1"/>
        </xdr:cNvSpPr>
      </xdr:nvSpPr>
      <xdr:spPr bwMode="auto">
        <a:xfrm>
          <a:off x="38100" y="5419725"/>
          <a:ext cx="3419475" cy="781050"/>
        </a:xfrm>
        <a:prstGeom prst="rect">
          <a:avLst/>
        </a:prstGeom>
        <a:noFill/>
        <a:ln w="9525">
          <a:noFill/>
          <a:miter lim="800000"/>
          <a:headEnd/>
          <a:tailEnd/>
        </a:ln>
        <a:effectLst/>
      </xdr:spPr>
      <xdr:txBody>
        <a:bodyPr vertOverflow="clip" wrap="square" lIns="36576" tIns="32004" rIns="36576" bIns="0" anchor="t" upright="1"/>
        <a:lstStyle/>
        <a:p>
          <a:pPr algn="ctr" rtl="0">
            <a:defRPr sz="1000"/>
          </a:pPr>
          <a:r>
            <a:rPr lang="pt-BR" sz="1600" b="0" i="0" strike="noStrike">
              <a:solidFill>
                <a:srgbClr val="FFFF99"/>
              </a:solidFill>
              <a:latin typeface="Arial"/>
              <a:cs typeface="Arial"/>
            </a:rPr>
            <a:t>Copyright © 1992 - 2021</a:t>
          </a:r>
        </a:p>
        <a:p>
          <a:pPr algn="ctr" rtl="0">
            <a:defRPr sz="1000"/>
          </a:pPr>
          <a:r>
            <a:rPr lang="pt-BR" sz="1600" b="0" i="0" strike="noStrike">
              <a:solidFill>
                <a:srgbClr val="FFFF99"/>
              </a:solidFill>
              <a:latin typeface="Arial"/>
              <a:cs typeface="Arial"/>
            </a:rPr>
            <a:t>Prof. Ivano G.R. Gutz</a:t>
          </a:r>
          <a:endParaRPr lang="pt-BR" sz="1600" b="1" i="0" strike="noStrike">
            <a:solidFill>
              <a:srgbClr val="FFFF99"/>
            </a:solidFill>
            <a:latin typeface="Arial"/>
            <a:cs typeface="Arial"/>
          </a:endParaRPr>
        </a:p>
        <a:p>
          <a:pPr algn="ctr" rtl="0">
            <a:defRPr sz="1000"/>
          </a:pPr>
          <a:r>
            <a:rPr lang="pt-BR" sz="1400" b="1" i="0" strike="noStrike">
              <a:solidFill>
                <a:srgbClr val="FFFF99"/>
              </a:solidFill>
              <a:latin typeface="Arial"/>
              <a:cs typeface="Arial"/>
            </a:rPr>
            <a:t>gutz@iq.usp.br</a:t>
          </a:r>
          <a:endParaRPr lang="pt-BR" sz="1000" b="0" i="0" strike="noStrike">
            <a:solidFill>
              <a:srgbClr val="FFFF99"/>
            </a:solidFill>
            <a:latin typeface="Arial"/>
            <a:cs typeface="Arial"/>
          </a:endParaRPr>
        </a:p>
        <a:p>
          <a:pPr algn="ctr" rtl="0">
            <a:defRPr sz="1000"/>
          </a:pPr>
          <a:endParaRPr lang="pt-BR" sz="1000" b="0" i="0" strike="noStrike">
            <a:solidFill>
              <a:srgbClr val="FFFF99"/>
            </a:solidFill>
            <a:latin typeface="Arial"/>
            <a:cs typeface="Arial"/>
          </a:endParaRPr>
        </a:p>
      </xdr:txBody>
    </xdr:sp>
    <xdr:clientData/>
  </xdr:twoCellAnchor>
  <xdr:twoCellAnchor>
    <xdr:from>
      <xdr:col>7</xdr:col>
      <xdr:colOff>281828</xdr:colOff>
      <xdr:row>24</xdr:row>
      <xdr:rowOff>143436</xdr:rowOff>
    </xdr:from>
    <xdr:to>
      <xdr:col>15</xdr:col>
      <xdr:colOff>13447</xdr:colOff>
      <xdr:row>26</xdr:row>
      <xdr:rowOff>114861</xdr:rowOff>
    </xdr:to>
    <xdr:sp macro="" textlink="">
      <xdr:nvSpPr>
        <xdr:cNvPr id="18495" name="Text Box 63">
          <a:extLst>
            <a:ext uri="{FF2B5EF4-FFF2-40B4-BE49-F238E27FC236}">
              <a16:creationId xmlns:a16="http://schemas.microsoft.com/office/drawing/2014/main" id="{00000000-0008-0000-0000-00003F480000}"/>
            </a:ext>
          </a:extLst>
        </xdr:cNvPr>
        <xdr:cNvSpPr txBox="1">
          <a:spLocks noChangeArrowheads="1"/>
        </xdr:cNvSpPr>
      </xdr:nvSpPr>
      <xdr:spPr bwMode="auto">
        <a:xfrm>
          <a:off x="4360769" y="7068671"/>
          <a:ext cx="4393266" cy="531719"/>
        </a:xfrm>
        <a:prstGeom prst="rect">
          <a:avLst/>
        </a:prstGeom>
        <a:noFill/>
        <a:ln w="9525">
          <a:noFill/>
          <a:miter lim="800000"/>
          <a:headEnd/>
          <a:tailEnd/>
        </a:ln>
        <a:effectLst/>
      </xdr:spPr>
      <xdr:txBody>
        <a:bodyPr vertOverflow="clip" wrap="square" lIns="36576" tIns="32004" rIns="36576" bIns="0" anchor="t" upright="1"/>
        <a:lstStyle/>
        <a:p>
          <a:pPr algn="ctr" rtl="0">
            <a:defRPr sz="1000"/>
          </a:pPr>
          <a:r>
            <a:rPr lang="pt-BR" sz="1600" b="1" i="0" strike="noStrike">
              <a:solidFill>
                <a:srgbClr val="FFFF99"/>
              </a:solidFill>
              <a:latin typeface="Arial Narrow"/>
            </a:rPr>
            <a:t>http://www.iq.usp.br/gutz/Curtipot_.html</a:t>
          </a:r>
        </a:p>
      </xdr:txBody>
    </xdr:sp>
    <xdr:clientData/>
  </xdr:twoCellAnchor>
  <xdr:twoCellAnchor editAs="oneCell">
    <xdr:from>
      <xdr:col>10</xdr:col>
      <xdr:colOff>180975</xdr:colOff>
      <xdr:row>0</xdr:row>
      <xdr:rowOff>333375</xdr:rowOff>
    </xdr:from>
    <xdr:to>
      <xdr:col>11</xdr:col>
      <xdr:colOff>19050</xdr:colOff>
      <xdr:row>1</xdr:row>
      <xdr:rowOff>314325</xdr:rowOff>
    </xdr:to>
    <xdr:pic>
      <xdr:nvPicPr>
        <xdr:cNvPr id="5278397" name="Picture 64" descr="Curtipot_Icon">
          <a:extLst>
            <a:ext uri="{FF2B5EF4-FFF2-40B4-BE49-F238E27FC236}">
              <a16:creationId xmlns:a16="http://schemas.microsoft.com/office/drawing/2014/main" id="{00000000-0008-0000-0000-0000BD8A5000}"/>
            </a:ext>
          </a:extLst>
        </xdr:cNvPr>
        <xdr:cNvPicPr>
          <a:picLocks noChangeAspect="1" noChangeArrowheads="1"/>
        </xdr:cNvPicPr>
      </xdr:nvPicPr>
      <xdr:blipFill>
        <a:blip xmlns:r="http://schemas.openxmlformats.org/officeDocument/2006/relationships" r:embed="rId2"/>
        <a:srcRect/>
        <a:stretch>
          <a:fillRect/>
        </a:stretch>
      </xdr:blipFill>
      <xdr:spPr bwMode="auto">
        <a:xfrm>
          <a:off x="5991225" y="333375"/>
          <a:ext cx="419100" cy="400050"/>
        </a:xfrm>
        <a:prstGeom prst="rect">
          <a:avLst/>
        </a:prstGeom>
        <a:noFill/>
        <a:ln w="9525">
          <a:noFill/>
          <a:miter lim="800000"/>
          <a:headEnd/>
          <a:tailEnd/>
        </a:ln>
      </xdr:spPr>
    </xdr:pic>
    <xdr:clientData/>
  </xdr:twoCellAnchor>
  <xdr:twoCellAnchor>
    <xdr:from>
      <xdr:col>13</xdr:col>
      <xdr:colOff>228600</xdr:colOff>
      <xdr:row>30</xdr:row>
      <xdr:rowOff>278465</xdr:rowOff>
    </xdr:from>
    <xdr:to>
      <xdr:col>16</xdr:col>
      <xdr:colOff>390525</xdr:colOff>
      <xdr:row>32</xdr:row>
      <xdr:rowOff>45943</xdr:rowOff>
    </xdr:to>
    <xdr:sp macro="" textlink="">
      <xdr:nvSpPr>
        <xdr:cNvPr id="1814811" name="Text Box 66">
          <a:extLst>
            <a:ext uri="{FF2B5EF4-FFF2-40B4-BE49-F238E27FC236}">
              <a16:creationId xmlns:a16="http://schemas.microsoft.com/office/drawing/2014/main" id="{00000000-0008-0000-0000-00001BB11B00}"/>
            </a:ext>
          </a:extLst>
        </xdr:cNvPr>
        <xdr:cNvSpPr txBox="1">
          <a:spLocks noChangeArrowheads="1"/>
        </xdr:cNvSpPr>
      </xdr:nvSpPr>
      <xdr:spPr bwMode="auto">
        <a:xfrm>
          <a:off x="7803776" y="8884583"/>
          <a:ext cx="1910043" cy="327772"/>
        </a:xfrm>
        <a:prstGeom prst="rect">
          <a:avLst/>
        </a:prstGeom>
        <a:gradFill rotWithShape="0">
          <a:gsLst>
            <a:gs pos="0">
              <a:srgbClr val="001963"/>
            </a:gs>
            <a:gs pos="50000">
              <a:srgbClr val="0033CC"/>
            </a:gs>
            <a:gs pos="100000">
              <a:srgbClr val="001963"/>
            </a:gs>
          </a:gsLst>
          <a:lin ang="5400000" scaled="1"/>
        </a:gradFill>
        <a:ln w="9525">
          <a:solidFill>
            <a:srgbClr val="000000"/>
          </a:solidFill>
          <a:miter lim="800000"/>
          <a:headEnd/>
          <a:tailEnd/>
        </a:ln>
      </xdr:spPr>
      <xdr:txBody>
        <a:bodyPr vertOverflow="clip" wrap="square" lIns="45720" tIns="32004" rIns="45720" bIns="0" anchor="t" upright="1"/>
        <a:lstStyle/>
        <a:p>
          <a:pPr algn="ctr" rtl="1">
            <a:defRPr sz="1000"/>
          </a:pPr>
          <a:r>
            <a:rPr lang="pt-BR" sz="1600" b="0" i="0" strike="noStrike">
              <a:solidFill>
                <a:srgbClr val="F4EE00"/>
              </a:solidFill>
              <a:latin typeface="Bookman Old Style"/>
            </a:rPr>
            <a:t>History</a:t>
          </a:r>
        </a:p>
      </xdr:txBody>
    </xdr:sp>
    <xdr:clientData/>
  </xdr:twoCellAnchor>
  <xdr:twoCellAnchor>
    <xdr:from>
      <xdr:col>3</xdr:col>
      <xdr:colOff>87966</xdr:colOff>
      <xdr:row>30</xdr:row>
      <xdr:rowOff>233643</xdr:rowOff>
    </xdr:from>
    <xdr:to>
      <xdr:col>11</xdr:col>
      <xdr:colOff>230841</xdr:colOff>
      <xdr:row>32</xdr:row>
      <xdr:rowOff>10646</xdr:rowOff>
    </xdr:to>
    <xdr:sp macro="" textlink="">
      <xdr:nvSpPr>
        <xdr:cNvPr id="1814812" name="Text Box 74">
          <a:extLst>
            <a:ext uri="{FF2B5EF4-FFF2-40B4-BE49-F238E27FC236}">
              <a16:creationId xmlns:a16="http://schemas.microsoft.com/office/drawing/2014/main" id="{00000000-0008-0000-0000-00001CB11B00}"/>
            </a:ext>
          </a:extLst>
        </xdr:cNvPr>
        <xdr:cNvSpPr txBox="1">
          <a:spLocks noChangeArrowheads="1"/>
        </xdr:cNvSpPr>
      </xdr:nvSpPr>
      <xdr:spPr bwMode="auto">
        <a:xfrm>
          <a:off x="1836084" y="8839761"/>
          <a:ext cx="4804522" cy="337297"/>
        </a:xfrm>
        <a:prstGeom prst="rect">
          <a:avLst/>
        </a:prstGeom>
        <a:gradFill rotWithShape="0">
          <a:gsLst>
            <a:gs pos="0">
              <a:srgbClr val="001963"/>
            </a:gs>
            <a:gs pos="50000">
              <a:srgbClr val="0033CC"/>
            </a:gs>
            <a:gs pos="100000">
              <a:srgbClr val="001963"/>
            </a:gs>
          </a:gsLst>
          <a:lin ang="5400000" scaled="1"/>
        </a:gradFill>
        <a:ln w="9525">
          <a:solidFill>
            <a:srgbClr val="000000"/>
          </a:solidFill>
          <a:miter lim="800000"/>
          <a:headEnd/>
          <a:tailEnd/>
        </a:ln>
      </xdr:spPr>
      <xdr:txBody>
        <a:bodyPr vertOverflow="clip" wrap="square" lIns="45720" tIns="32004" rIns="45720" bIns="0" anchor="t" upright="1"/>
        <a:lstStyle/>
        <a:p>
          <a:pPr algn="ctr" rtl="1">
            <a:defRPr sz="1000"/>
          </a:pPr>
          <a:r>
            <a:rPr lang="pt-BR" sz="1600" b="0" i="0" strike="noStrike">
              <a:solidFill>
                <a:srgbClr val="F4EE00"/>
              </a:solidFill>
              <a:latin typeface="Bookman Old Style"/>
            </a:rPr>
            <a:t>This freeware is a courtesy of</a:t>
          </a:r>
        </a:p>
      </xdr:txBody>
    </xdr:sp>
    <xdr:clientData/>
  </xdr:twoCellAnchor>
  <xdr:twoCellAnchor editAs="oneCell">
    <xdr:from>
      <xdr:col>0</xdr:col>
      <xdr:colOff>390525</xdr:colOff>
      <xdr:row>33</xdr:row>
      <xdr:rowOff>247650</xdr:rowOff>
    </xdr:from>
    <xdr:to>
      <xdr:col>2</xdr:col>
      <xdr:colOff>476250</xdr:colOff>
      <xdr:row>40</xdr:row>
      <xdr:rowOff>66675</xdr:rowOff>
    </xdr:to>
    <xdr:pic>
      <xdr:nvPicPr>
        <xdr:cNvPr id="5278400" name="Picture 77" descr="gutz6">
          <a:extLst>
            <a:ext uri="{FF2B5EF4-FFF2-40B4-BE49-F238E27FC236}">
              <a16:creationId xmlns:a16="http://schemas.microsoft.com/office/drawing/2014/main" id="{00000000-0008-0000-0000-0000C08A5000}"/>
            </a:ext>
          </a:extLst>
        </xdr:cNvPr>
        <xdr:cNvPicPr>
          <a:picLocks noChangeAspect="1" noChangeArrowheads="1"/>
        </xdr:cNvPicPr>
      </xdr:nvPicPr>
      <xdr:blipFill>
        <a:blip xmlns:r="http://schemas.openxmlformats.org/officeDocument/2006/relationships" r:embed="rId3"/>
        <a:srcRect/>
        <a:stretch>
          <a:fillRect/>
        </a:stretch>
      </xdr:blipFill>
      <xdr:spPr bwMode="auto">
        <a:xfrm>
          <a:off x="390525" y="9572625"/>
          <a:ext cx="1247775" cy="1752600"/>
        </a:xfrm>
        <a:prstGeom prst="rect">
          <a:avLst/>
        </a:prstGeom>
        <a:noFill/>
        <a:ln w="9525">
          <a:noFill/>
          <a:miter lim="800000"/>
          <a:headEnd/>
          <a:tailEnd/>
        </a:ln>
      </xdr:spPr>
    </xdr:pic>
    <xdr:clientData/>
  </xdr:twoCellAnchor>
  <xdr:twoCellAnchor>
    <xdr:from>
      <xdr:col>9</xdr:col>
      <xdr:colOff>257175</xdr:colOff>
      <xdr:row>0</xdr:row>
      <xdr:rowOff>219075</xdr:rowOff>
    </xdr:from>
    <xdr:to>
      <xdr:col>15</xdr:col>
      <xdr:colOff>533400</xdr:colOff>
      <xdr:row>4</xdr:row>
      <xdr:rowOff>19050</xdr:rowOff>
    </xdr:to>
    <xdr:sp macro="" textlink="">
      <xdr:nvSpPr>
        <xdr:cNvPr id="1814821" name="Text Box 2341">
          <a:extLst>
            <a:ext uri="{FF2B5EF4-FFF2-40B4-BE49-F238E27FC236}">
              <a16:creationId xmlns:a16="http://schemas.microsoft.com/office/drawing/2014/main" id="{00000000-0008-0000-0000-000025B11B00}"/>
            </a:ext>
          </a:extLst>
        </xdr:cNvPr>
        <xdr:cNvSpPr txBox="1">
          <a:spLocks noChangeArrowheads="1"/>
        </xdr:cNvSpPr>
      </xdr:nvSpPr>
      <xdr:spPr bwMode="auto">
        <a:xfrm>
          <a:off x="5486400" y="219075"/>
          <a:ext cx="3762375" cy="1114425"/>
        </a:xfrm>
        <a:prstGeom prst="rect">
          <a:avLst/>
        </a:prstGeom>
        <a:noFill/>
        <a:ln w="9525">
          <a:noFill/>
          <a:miter lim="800000"/>
          <a:headEnd/>
          <a:tailEnd/>
        </a:ln>
        <a:effectLst/>
      </xdr:spPr>
      <xdr:txBody>
        <a:bodyPr vertOverflow="clip" wrap="square" lIns="45720" tIns="36576" rIns="45720" bIns="0" anchor="t" upright="1"/>
        <a:lstStyle/>
        <a:p>
          <a:pPr algn="ctr" rtl="0">
            <a:defRPr sz="1000"/>
          </a:pPr>
          <a:r>
            <a:rPr lang="pt-BR" sz="1800" b="1" i="0" strike="noStrike">
              <a:solidFill>
                <a:srgbClr val="000080"/>
              </a:solidFill>
              <a:latin typeface="Bookman Old Style"/>
            </a:rPr>
            <a:t>        pH and Acid-Base </a:t>
          </a:r>
        </a:p>
        <a:p>
          <a:pPr algn="ctr" rtl="0">
            <a:defRPr sz="1000"/>
          </a:pPr>
          <a:r>
            <a:rPr lang="pt-BR" sz="1800" b="1" i="0" strike="noStrike">
              <a:solidFill>
                <a:srgbClr val="000080"/>
              </a:solidFill>
              <a:latin typeface="Bookman Old Style"/>
            </a:rPr>
            <a:t>         Titration Curves:</a:t>
          </a:r>
        </a:p>
        <a:p>
          <a:pPr algn="ctr" rtl="0">
            <a:defRPr sz="1000"/>
          </a:pPr>
          <a:r>
            <a:rPr lang="pt-BR" sz="1800" b="1" i="0" strike="noStrike">
              <a:solidFill>
                <a:srgbClr val="000080"/>
              </a:solidFill>
              <a:latin typeface="Bookman Old Style"/>
            </a:rPr>
            <a:t>Analysis and Simulation</a:t>
          </a:r>
        </a:p>
      </xdr:txBody>
    </xdr:sp>
    <xdr:clientData/>
  </xdr:twoCellAnchor>
  <xdr:twoCellAnchor>
    <xdr:from>
      <xdr:col>18</xdr:col>
      <xdr:colOff>246538</xdr:colOff>
      <xdr:row>22</xdr:row>
      <xdr:rowOff>78442</xdr:rowOff>
    </xdr:from>
    <xdr:to>
      <xdr:col>28</xdr:col>
      <xdr:colOff>123265</xdr:colOff>
      <xdr:row>24</xdr:row>
      <xdr:rowOff>33619</xdr:rowOff>
    </xdr:to>
    <xdr:sp macro="" textlink="">
      <xdr:nvSpPr>
        <xdr:cNvPr id="17" name="Texto explicativo retangular com cantos arredondados 16">
          <a:extLst>
            <a:ext uri="{FF2B5EF4-FFF2-40B4-BE49-F238E27FC236}">
              <a16:creationId xmlns:a16="http://schemas.microsoft.com/office/drawing/2014/main" id="{00000000-0008-0000-0000-000011000000}"/>
            </a:ext>
          </a:extLst>
        </xdr:cNvPr>
        <xdr:cNvSpPr/>
      </xdr:nvSpPr>
      <xdr:spPr bwMode="auto">
        <a:xfrm>
          <a:off x="10836097" y="6443383"/>
          <a:ext cx="6712315" cy="515471"/>
        </a:xfrm>
        <a:prstGeom prst="wedgeRoundRectCallout">
          <a:avLst>
            <a:gd name="adj1" fmla="val -90744"/>
            <a:gd name="adj2" fmla="val 87517"/>
            <a:gd name="adj3" fmla="val 16667"/>
          </a:avLst>
        </a:prstGeom>
        <a:solidFill>
          <a:srgbClr val="FFFFCC">
            <a:alpha val="66000"/>
          </a:srgbClr>
        </a:solidFill>
        <a:ln w="19050" cap="flat" cmpd="sng" algn="ctr">
          <a:solidFill>
            <a:srgbClr val="FF0000">
              <a:alpha val="67000"/>
            </a:srgbClr>
          </a:solidFill>
          <a:prstDash val="solid"/>
          <a:round/>
          <a:headEnd type="none" w="med" len="med"/>
          <a:tailEnd type="none" w="med" len="med"/>
        </a:ln>
        <a:effectLst/>
      </xdr:spPr>
      <xdr:txBody>
        <a:bodyPr vertOverflow="clip" wrap="square" lIns="18288" tIns="0" rIns="0" bIns="0" rtlCol="0" anchor="ctr" upright="1"/>
        <a:lstStyle/>
        <a:p>
          <a:pPr algn="ctr"/>
          <a:r>
            <a:rPr lang="pt-BR" sz="1400" b="1">
              <a:solidFill>
                <a:srgbClr val="002060"/>
              </a:solidFill>
              <a:latin typeface="+mn-lt"/>
            </a:rPr>
            <a:t>If you are a beginner, have a look at </a:t>
          </a:r>
          <a:r>
            <a:rPr lang="pt-BR" sz="1400" b="1">
              <a:solidFill>
                <a:srgbClr val="002060"/>
              </a:solidFill>
              <a:latin typeface="Bookman Old Style" pitchFamily="18" charset="0"/>
            </a:rPr>
            <a:t>CurTiPot_i</a:t>
          </a:r>
          <a:r>
            <a:rPr lang="pt-BR" sz="1400" b="1">
              <a:solidFill>
                <a:srgbClr val="002060"/>
              </a:solidFill>
            </a:rPr>
            <a:t>  </a:t>
          </a:r>
          <a:r>
            <a:rPr lang="pt-BR" sz="1400" b="1">
              <a:solidFill>
                <a:srgbClr val="002060"/>
              </a:solidFill>
              <a:sym typeface="Symbol"/>
            </a:rPr>
            <a:t>  w</a:t>
          </a:r>
          <a:r>
            <a:rPr lang="pt-BR" sz="1400" b="1">
              <a:solidFill>
                <a:srgbClr val="002060"/>
              </a:solidFill>
            </a:rPr>
            <a:t>ith text balloons </a:t>
          </a:r>
          <a:r>
            <a:rPr lang="pt-BR" sz="1400" b="0" baseline="0">
              <a:solidFill>
                <a:srgbClr val="002060"/>
              </a:solidFill>
            </a:rPr>
            <a:t>(like this one) </a:t>
          </a:r>
          <a:br>
            <a:rPr lang="pt-BR" sz="1400" b="0" baseline="0">
              <a:solidFill>
                <a:srgbClr val="002060"/>
              </a:solidFill>
            </a:rPr>
          </a:br>
          <a:r>
            <a:rPr lang="pt-BR" sz="1400" b="1" baseline="0">
              <a:solidFill>
                <a:srgbClr val="002060"/>
              </a:solidFill>
            </a:rPr>
            <a:t>to guide you through the 8 modules. </a:t>
          </a:r>
          <a:r>
            <a:rPr lang="pt-BR" sz="1400" b="0" baseline="0">
              <a:solidFill>
                <a:srgbClr val="002060"/>
              </a:solidFill>
            </a:rPr>
            <a:t> Available  from the author's site.</a:t>
          </a:r>
          <a:endParaRPr lang="pt-BR" sz="1400" b="1">
            <a:solidFill>
              <a:srgbClr val="002060"/>
            </a:solidFill>
          </a:endParaRPr>
        </a:p>
      </xdr:txBody>
    </xdr:sp>
    <xdr:clientData/>
  </xdr:twoCellAnchor>
  <xdr:twoCellAnchor>
    <xdr:from>
      <xdr:col>0</xdr:col>
      <xdr:colOff>571500</xdr:colOff>
      <xdr:row>48</xdr:row>
      <xdr:rowOff>201706</xdr:rowOff>
    </xdr:from>
    <xdr:to>
      <xdr:col>15</xdr:col>
      <xdr:colOff>571500</xdr:colOff>
      <xdr:row>97</xdr:row>
      <xdr:rowOff>89647</xdr:rowOff>
    </xdr:to>
    <xdr:sp macro="" textlink="">
      <xdr:nvSpPr>
        <xdr:cNvPr id="18" name="CaixaDeTexto 17">
          <a:extLst>
            <a:ext uri="{FF2B5EF4-FFF2-40B4-BE49-F238E27FC236}">
              <a16:creationId xmlns:a16="http://schemas.microsoft.com/office/drawing/2014/main" id="{00000000-0008-0000-0000-000012000000}"/>
            </a:ext>
          </a:extLst>
        </xdr:cNvPr>
        <xdr:cNvSpPr txBox="1"/>
      </xdr:nvSpPr>
      <xdr:spPr>
        <a:xfrm>
          <a:off x="571500" y="13850471"/>
          <a:ext cx="8740588" cy="80682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a:p>
        <a:p>
          <a:r>
            <a:rPr lang="pt-BR" sz="1400" b="1"/>
            <a:t>CurTipot End User License Agreement</a:t>
          </a:r>
        </a:p>
        <a:p>
          <a:endParaRPr lang="pt-BR" sz="1200"/>
        </a:p>
        <a:p>
          <a:r>
            <a:rPr lang="pt-BR" sz="1200"/>
            <a:t>Thank you for your interest in the CurTiPot freeware, a workbook of spreadsheets for Excel (proprietary software of Microsoft), authored by Dr. Ivano G. R. Gutz, Professor at Instituto de Química - Universidade de São Paulo, São Paulo, Brazil, now on referred as Author. Please examine the License Agreement before you start using CurTiPot. </a:t>
          </a:r>
        </a:p>
        <a:p>
          <a:endParaRPr lang="pt-BR" sz="1200"/>
        </a:p>
        <a:p>
          <a:r>
            <a:rPr lang="pt-BR" sz="1200" b="1"/>
            <a:t>Personal or Educational Use Only</a:t>
          </a:r>
        </a:p>
        <a:p>
          <a:r>
            <a:rPr lang="pt-BR" sz="1200"/>
            <a:t>The Author grants you a non-exclusive and non-transferable freeware license of CurTiPot for your personal or educational use at home, in classroom or in academic laboratories. If you intend to make commercial use of CurTiPot, including but not limited to any profitable non-educational activity or selling or distributing CurTiPot for payment, you must obtain a written permission from the Author in advance. </a:t>
          </a:r>
        </a:p>
        <a:p>
          <a:endParaRPr lang="pt-BR" sz="1200"/>
        </a:p>
        <a:p>
          <a:r>
            <a:rPr lang="pt-BR" sz="1200" b="1"/>
            <a:t>Restrictions</a:t>
          </a:r>
        </a:p>
        <a:p>
          <a:r>
            <a:rPr lang="pt-BR" sz="1200"/>
            <a:t>You may introduce modifications in the spreadsheets to suit your needs, but you are not allowed to remove the original notices about the intellectual property of the workbook and macros, in special but not only from the front page. You shall not distribute copies of modified versions without approval by the Author of the clearly identified changes. </a:t>
          </a:r>
        </a:p>
        <a:p>
          <a:endParaRPr lang="pt-BR" sz="1200"/>
        </a:p>
        <a:p>
          <a:r>
            <a:rPr lang="pt-BR" sz="1200" b="1"/>
            <a:t>Distribution</a:t>
          </a:r>
        </a:p>
        <a:p>
          <a:r>
            <a:rPr lang="pt-BR" sz="1200"/>
            <a:t>You may share unmodified copies of CurTiPot with students and colleagues that do not have access to the Internet, if they agree to be bound to these Terms and Conditions and as long as you take all reasonable precautions to avoid exposure of your copy to viruses. To minimize risks, it is highly advisable, to use only updated copies obtained from the Author’s download page. </a:t>
          </a:r>
        </a:p>
        <a:p>
          <a:endParaRPr lang="pt-BR" sz="1200"/>
        </a:p>
        <a:p>
          <a:r>
            <a:rPr lang="pt-BR" sz="1200" b="1"/>
            <a:t>Changes to Terms and Conditions</a:t>
          </a:r>
        </a:p>
        <a:p>
          <a:r>
            <a:rPr lang="pt-BR" sz="1200"/>
            <a:t>The author reserves the right to update CurTiPot and to modify these Terms and Conditions at its sole discretion, without notice or liability to you. You agree to be bound by these Terms and Conditions, as modified. Please download updated versions of CurTiPot from time to time and review the Terms and Conditions.</a:t>
          </a:r>
        </a:p>
        <a:p>
          <a:endParaRPr lang="pt-BR" sz="1200"/>
        </a:p>
        <a:p>
          <a:r>
            <a:rPr lang="pt-BR" sz="1200" b="1"/>
            <a:t>Disclaimer of Warranties</a:t>
          </a:r>
        </a:p>
        <a:p>
          <a:r>
            <a:rPr lang="pt-BR" sz="1200"/>
            <a:t>The Author disclaims any responsibility for any harm resulting from your use (or use by your colleagues or students) of CurTiPot and third party software used in conjunction with it. CurTiPot is provided "AS IS," with no warranties whatsoever, express, implied, and statutory, including, without limitation, the warranties of merchantability, fitness for a particular purpose, and non-infringement of proprietary rights. The author also disclaims any warranties regarding the security, reliability, accuracy, stability, convergence and performance of CurTiPot. You understand and agree that you download and/or use CurTiPot at your own discretion and risk and that you will be solely responsible for any consequences of incorrect information or results obtained with CurTiPot. This license does not entitle the Licensee to receive from the Author any extra documentation not contained in the program file, support or assistance by any means, or enhancements or updates of CurTiPot other than those made available for download at the Author’s site.</a:t>
          </a:r>
        </a:p>
        <a:p>
          <a:endParaRPr lang="pt-BR" sz="1200"/>
        </a:p>
        <a:p>
          <a:r>
            <a:rPr lang="pt-BR" sz="1200" b="1"/>
            <a:t>Limitation of Liability</a:t>
          </a:r>
        </a:p>
        <a:p>
          <a:r>
            <a:rPr lang="pt-BR" sz="1200"/>
            <a:t>Under no circumstances shall the Author or his employer be liable to any user on account of its use or misuse of CurTiPot.</a:t>
          </a:r>
        </a:p>
        <a:p>
          <a:endParaRPr lang="pt-BR" sz="1200"/>
        </a:p>
        <a:p>
          <a:r>
            <a:rPr lang="pt-BR" sz="1200"/>
            <a:t>If you accept the terms and conditions given above, you are entitled to use CurTiPot free of charge for unlimited time and number of uses. The Author will enjoy your comments, error reports and suggestions by e-mail gutz@iq.usp.br</a:t>
          </a:r>
        </a:p>
        <a:p>
          <a:endParaRPr lang="pt-BR" sz="1100"/>
        </a:p>
      </xdr:txBody>
    </xdr:sp>
    <xdr:clientData/>
  </xdr:twoCellAnchor>
  <xdr:twoCellAnchor>
    <xdr:from>
      <xdr:col>17</xdr:col>
      <xdr:colOff>0</xdr:colOff>
      <xdr:row>52</xdr:row>
      <xdr:rowOff>0</xdr:rowOff>
    </xdr:from>
    <xdr:to>
      <xdr:col>30</xdr:col>
      <xdr:colOff>286613</xdr:colOff>
      <xdr:row>80</xdr:row>
      <xdr:rowOff>142659</xdr:rowOff>
    </xdr:to>
    <xdr:sp macro="" textlink="">
      <xdr:nvSpPr>
        <xdr:cNvPr id="20" name="CaixaDeTexto 19">
          <a:extLst>
            <a:ext uri="{FF2B5EF4-FFF2-40B4-BE49-F238E27FC236}">
              <a16:creationId xmlns:a16="http://schemas.microsoft.com/office/drawing/2014/main" id="{00000000-0008-0000-0000-000014000000}"/>
            </a:ext>
          </a:extLst>
        </xdr:cNvPr>
        <xdr:cNvSpPr txBox="1"/>
      </xdr:nvSpPr>
      <xdr:spPr>
        <a:xfrm>
          <a:off x="9906000" y="14769353"/>
          <a:ext cx="9172878" cy="45353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30000"/>
            </a:lnSpc>
            <a:spcBef>
              <a:spcPts val="600"/>
            </a:spcBef>
          </a:pPr>
          <a:br>
            <a:rPr lang="pt-BR" sz="800" b="1">
              <a:latin typeface="Bookman Old Style" panose="02050604050505020204" pitchFamily="18" charset="0"/>
            </a:rPr>
          </a:br>
          <a:r>
            <a:rPr lang="pt-BR" sz="1200" b="1">
              <a:latin typeface="Bookman Old Style" panose="02050604050505020204" pitchFamily="18" charset="0"/>
            </a:rPr>
            <a:t>CurTiPot</a:t>
          </a:r>
          <a:r>
            <a:rPr lang="pt-BR" sz="1200"/>
            <a:t> is an acronym of </a:t>
          </a:r>
          <a:r>
            <a:rPr lang="pt-BR" sz="1200" b="1"/>
            <a:t>Pot</a:t>
          </a:r>
          <a:r>
            <a:rPr lang="pt-BR" sz="1200"/>
            <a:t>entiometric </a:t>
          </a:r>
          <a:r>
            <a:rPr lang="pt-BR" sz="1200" b="1"/>
            <a:t>Ti</a:t>
          </a:r>
          <a:r>
            <a:rPr lang="pt-BR" sz="1200"/>
            <a:t>tration </a:t>
          </a:r>
          <a:r>
            <a:rPr lang="pt-BR" sz="1200" b="1"/>
            <a:t>Cur</a:t>
          </a:r>
          <a:r>
            <a:rPr lang="pt-BR" sz="1200"/>
            <a:t>ves (in reversed order). </a:t>
          </a:r>
        </a:p>
        <a:p>
          <a:pPr>
            <a:lnSpc>
              <a:spcPct val="130000"/>
            </a:lnSpc>
            <a:spcBef>
              <a:spcPts val="600"/>
            </a:spcBef>
          </a:pPr>
          <a:r>
            <a:rPr lang="pt-BR" sz="1200"/>
            <a:t>Originally written in Turbo Basic (Borland) for DOS (Microsoft) and first demonstrated and distributed during the 15th Annual Meeting of the Brazilian Chemical Society in May 1992, versions 1 and 2 of CurTiPot, in Portuguese, became widespread only in Brazil.</a:t>
          </a:r>
        </a:p>
        <a:p>
          <a:pPr>
            <a:lnSpc>
              <a:spcPct val="130000"/>
            </a:lnSpc>
            <a:spcBef>
              <a:spcPts val="600"/>
            </a:spcBef>
          </a:pPr>
          <a:r>
            <a:rPr lang="pt-BR" sz="1200"/>
            <a:t>Version 3, launched in 2006, was the first to be translated into English. In addition to the migration from Turbo Basic to Microsoft Excel, the principal novelties were t</a:t>
          </a:r>
          <a:r>
            <a:rPr lang="pt-BR" sz="1200" baseline="0"/>
            <a:t>he creation of two new modules: </a:t>
          </a:r>
          <a:r>
            <a:rPr lang="pt-BR" sz="1200" b="1"/>
            <a:t>pH calc</a:t>
          </a:r>
          <a:r>
            <a:rPr lang="pt-BR" sz="1200" b="0" baseline="0"/>
            <a:t> for pH calculations of aqueous solutions </a:t>
          </a:r>
          <a:r>
            <a:rPr lang="pt-BR" sz="1200" baseline="0"/>
            <a:t>and </a:t>
          </a:r>
          <a:r>
            <a:rPr lang="pt-BR" sz="1200" b="1"/>
            <a:t>Regression</a:t>
          </a:r>
          <a:r>
            <a:rPr lang="pt-BR" sz="1200"/>
            <a:t> for the analysis of data of potentiometric titration curves </a:t>
          </a:r>
          <a:r>
            <a:rPr lang="pt-BR" sz="1100">
              <a:solidFill>
                <a:schemeClr val="dk1"/>
              </a:solidFill>
              <a:effectLst/>
              <a:latin typeface="+mn-lt"/>
              <a:ea typeface="+mn-ea"/>
              <a:cs typeface="+mn-cs"/>
            </a:rPr>
            <a:t>(real or simulated)</a:t>
          </a:r>
          <a:r>
            <a:rPr lang="pt-BR" sz="1200"/>
            <a:t>. Other improvements and modifications</a:t>
          </a:r>
          <a:r>
            <a:rPr lang="pt-BR" sz="1200" baseline="0"/>
            <a:t> of versions 3 and 4 are sumarized above.</a:t>
          </a:r>
          <a:endParaRPr lang="pt-BR" sz="1200"/>
        </a:p>
        <a:p>
          <a:pPr>
            <a:lnSpc>
              <a:spcPct val="130000"/>
            </a:lnSpc>
            <a:spcBef>
              <a:spcPts val="600"/>
            </a:spcBef>
          </a:pPr>
          <a:r>
            <a:rPr lang="pt-BR" sz="1200"/>
            <a:t>Since 2006 CurTiPot has reached over one hundred countries at an average rate of around one thousand monthly downloads from the author's website, as monitored by Google Analytics, Statcounter and Sitemeter (now discontinued). Many copies were also downloaded from software distribution sites and distributed by internal networks of universities,</a:t>
          </a:r>
          <a:r>
            <a:rPr lang="pt-BR" sz="1200" baseline="0"/>
            <a:t> </a:t>
          </a:r>
          <a:r>
            <a:rPr lang="pt-BR" sz="1200"/>
            <a:t>chemical and pharmaceutical industries and universities.. </a:t>
          </a:r>
        </a:p>
        <a:p>
          <a:pPr>
            <a:lnSpc>
              <a:spcPct val="130000"/>
            </a:lnSpc>
            <a:spcBef>
              <a:spcPts val="600"/>
            </a:spcBef>
          </a:pPr>
          <a:r>
            <a:rPr lang="pt-BR" sz="1200"/>
            <a:t>Besides commercial internet service providers and chemical and pharmaceutical industries' own networks, many customers used the networks of over 200 universities for downloads, with Universidade de Barcelona (Spain), Universidade de São Paulo (Brazil) and Massachusetts Institute of Technology (USA) at the top of the rank, for example, in 2014. CurTiPot has been also frequently used and cited in papers and thesis: http://scholar.google.com/scholar?hl=en-USR&amp;as_sdt=0,5&amp;q=curtipot</a:t>
          </a:r>
        </a:p>
        <a:p>
          <a:pPr>
            <a:lnSpc>
              <a:spcPct val="130000"/>
            </a:lnSpc>
            <a:spcBef>
              <a:spcPts val="600"/>
            </a:spcBef>
          </a:pPr>
          <a:r>
            <a:rPr lang="pt-BR" sz="1200"/>
            <a:t>Please email feedback to gutz@iq.usp.br and if you are satisfied with CurTiPot, let others know by linking to http://www.iq.usp.br/docente/gutz/ Curtipot_.html .</a:t>
          </a:r>
        </a:p>
        <a:p>
          <a:pPr>
            <a:lnSpc>
              <a:spcPct val="130000"/>
            </a:lnSpc>
            <a:spcBef>
              <a:spcPts val="600"/>
            </a:spcBef>
          </a:pPr>
          <a:r>
            <a:rPr lang="pt-BR" sz="1200"/>
            <a:t>                   Ivano G. R. Gutz</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257175</xdr:colOff>
      <xdr:row>18</xdr:row>
      <xdr:rowOff>19050</xdr:rowOff>
    </xdr:from>
    <xdr:to>
      <xdr:col>0</xdr:col>
      <xdr:colOff>581025</xdr:colOff>
      <xdr:row>20</xdr:row>
      <xdr:rowOff>0</xdr:rowOff>
    </xdr:to>
    <xdr:pic>
      <xdr:nvPicPr>
        <xdr:cNvPr id="146026" name="Picture 43" descr="Curtipot_Icon">
          <a:extLst>
            <a:ext uri="{FF2B5EF4-FFF2-40B4-BE49-F238E27FC236}">
              <a16:creationId xmlns:a16="http://schemas.microsoft.com/office/drawing/2014/main" id="{00000000-0008-0000-0100-00006A3A02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57175" y="3981450"/>
          <a:ext cx="323850" cy="304800"/>
        </a:xfrm>
        <a:prstGeom prst="rect">
          <a:avLst/>
        </a:prstGeom>
        <a:noFill/>
        <a:ln w="9525">
          <a:noFill/>
          <a:miter lim="800000"/>
          <a:headEnd/>
          <a:tailEnd/>
        </a:ln>
      </xdr:spPr>
    </xdr:pic>
    <xdr:clientData/>
  </xdr:twoCellAnchor>
  <xdr:twoCellAnchor>
    <xdr:from>
      <xdr:col>0</xdr:col>
      <xdr:colOff>0</xdr:colOff>
      <xdr:row>0</xdr:row>
      <xdr:rowOff>0</xdr:rowOff>
    </xdr:from>
    <xdr:to>
      <xdr:col>1</xdr:col>
      <xdr:colOff>176371</xdr:colOff>
      <xdr:row>0</xdr:row>
      <xdr:rowOff>285750</xdr:rowOff>
    </xdr:to>
    <xdr:pic>
      <xdr:nvPicPr>
        <xdr:cNvPr id="14" name="Picture 11" descr="curtipotp">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2"/>
        <a:srcRect/>
        <a:stretch>
          <a:fillRect/>
        </a:stretch>
      </xdr:blipFill>
      <xdr:spPr bwMode="auto">
        <a:xfrm>
          <a:off x="0" y="0"/>
          <a:ext cx="1145436" cy="28575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xdr:from>
          <xdr:col>1</xdr:col>
          <xdr:colOff>0</xdr:colOff>
          <xdr:row>18</xdr:row>
          <xdr:rowOff>0</xdr:rowOff>
        </xdr:from>
        <xdr:to>
          <xdr:col>4</xdr:col>
          <xdr:colOff>676275</xdr:colOff>
          <xdr:row>20</xdr:row>
          <xdr:rowOff>57150</xdr:rowOff>
        </xdr:to>
        <xdr:sp macro="" textlink="">
          <xdr:nvSpPr>
            <xdr:cNvPr id="145409" name="Button 1" hidden="1">
              <a:extLst>
                <a:ext uri="{63B3BB69-23CF-44E3-9099-C40C66FF867C}">
                  <a14:compatExt spid="_x0000_s145409"/>
                </a:ext>
                <a:ext uri="{FF2B5EF4-FFF2-40B4-BE49-F238E27FC236}">
                  <a16:creationId xmlns:a16="http://schemas.microsoft.com/office/drawing/2014/main" id="{00000000-0008-0000-0100-0000013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9007E"/>
                  </a:solidFill>
                  <a:latin typeface="Arial"/>
                  <a:cs typeface="Arial"/>
                </a:rPr>
                <a:t>    Calculate pH</a:t>
              </a:r>
              <a:r>
                <a:rPr lang="en-US" sz="1100" b="0" i="0" u="none" strike="noStrike" baseline="0">
                  <a:solidFill>
                    <a:srgbClr val="09007E"/>
                  </a:solidFill>
                  <a:latin typeface="Arial"/>
                  <a:cs typeface="Arial"/>
                </a:rPr>
                <a:t> and related equilibrium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xdr:row>
          <xdr:rowOff>0</xdr:rowOff>
        </xdr:from>
        <xdr:to>
          <xdr:col>11</xdr:col>
          <xdr:colOff>638175</xdr:colOff>
          <xdr:row>2</xdr:row>
          <xdr:rowOff>0</xdr:rowOff>
        </xdr:to>
        <xdr:sp macro="" textlink="">
          <xdr:nvSpPr>
            <xdr:cNvPr id="145942" name="Drop Down 534" hidden="1">
              <a:extLst>
                <a:ext uri="{63B3BB69-23CF-44E3-9099-C40C66FF867C}">
                  <a14:compatExt spid="_x0000_s145942"/>
                </a:ext>
                <a:ext uri="{FF2B5EF4-FFF2-40B4-BE49-F238E27FC236}">
                  <a16:creationId xmlns:a16="http://schemas.microsoft.com/office/drawing/2014/main" id="{00000000-0008-0000-0100-0000163A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xdr:row>
          <xdr:rowOff>0</xdr:rowOff>
        </xdr:from>
        <xdr:to>
          <xdr:col>12</xdr:col>
          <xdr:colOff>847725</xdr:colOff>
          <xdr:row>2</xdr:row>
          <xdr:rowOff>0</xdr:rowOff>
        </xdr:to>
        <xdr:sp macro="" textlink="">
          <xdr:nvSpPr>
            <xdr:cNvPr id="145943" name="Drop Down 535" hidden="1">
              <a:extLst>
                <a:ext uri="{63B3BB69-23CF-44E3-9099-C40C66FF867C}">
                  <a14:compatExt spid="_x0000_s145943"/>
                </a:ext>
                <a:ext uri="{FF2B5EF4-FFF2-40B4-BE49-F238E27FC236}">
                  <a16:creationId xmlns:a16="http://schemas.microsoft.com/office/drawing/2014/main" id="{00000000-0008-0000-0100-0000173A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xdr:row>
          <xdr:rowOff>0</xdr:rowOff>
        </xdr:from>
        <xdr:to>
          <xdr:col>13</xdr:col>
          <xdr:colOff>866775</xdr:colOff>
          <xdr:row>2</xdr:row>
          <xdr:rowOff>0</xdr:rowOff>
        </xdr:to>
        <xdr:sp macro="" textlink="">
          <xdr:nvSpPr>
            <xdr:cNvPr id="145944" name="Drop Down 536" hidden="1">
              <a:extLst>
                <a:ext uri="{63B3BB69-23CF-44E3-9099-C40C66FF867C}">
                  <a14:compatExt spid="_x0000_s145944"/>
                </a:ext>
                <a:ext uri="{FF2B5EF4-FFF2-40B4-BE49-F238E27FC236}">
                  <a16:creationId xmlns:a16="http://schemas.microsoft.com/office/drawing/2014/main" id="{00000000-0008-0000-0100-0000183A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xdr:row>
          <xdr:rowOff>0</xdr:rowOff>
        </xdr:from>
        <xdr:to>
          <xdr:col>14</xdr:col>
          <xdr:colOff>457200</xdr:colOff>
          <xdr:row>2</xdr:row>
          <xdr:rowOff>0</xdr:rowOff>
        </xdr:to>
        <xdr:sp macro="" textlink="">
          <xdr:nvSpPr>
            <xdr:cNvPr id="145945" name="Drop Down 537" hidden="1">
              <a:extLst>
                <a:ext uri="{63B3BB69-23CF-44E3-9099-C40C66FF867C}">
                  <a14:compatExt spid="_x0000_s145945"/>
                </a:ext>
                <a:ext uri="{FF2B5EF4-FFF2-40B4-BE49-F238E27FC236}">
                  <a16:creationId xmlns:a16="http://schemas.microsoft.com/office/drawing/2014/main" id="{00000000-0008-0000-0100-0000193A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xdr:row>
          <xdr:rowOff>0</xdr:rowOff>
        </xdr:from>
        <xdr:to>
          <xdr:col>15</xdr:col>
          <xdr:colOff>866775</xdr:colOff>
          <xdr:row>2</xdr:row>
          <xdr:rowOff>0</xdr:rowOff>
        </xdr:to>
        <xdr:sp macro="" textlink="">
          <xdr:nvSpPr>
            <xdr:cNvPr id="145946" name="Drop Down 538" hidden="1">
              <a:extLst>
                <a:ext uri="{63B3BB69-23CF-44E3-9099-C40C66FF867C}">
                  <a14:compatExt spid="_x0000_s145946"/>
                </a:ext>
                <a:ext uri="{FF2B5EF4-FFF2-40B4-BE49-F238E27FC236}">
                  <a16:creationId xmlns:a16="http://schemas.microsoft.com/office/drawing/2014/main" id="{00000000-0008-0000-0100-00001A3A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xdr:row>
          <xdr:rowOff>0</xdr:rowOff>
        </xdr:from>
        <xdr:to>
          <xdr:col>16</xdr:col>
          <xdr:colOff>457200</xdr:colOff>
          <xdr:row>2</xdr:row>
          <xdr:rowOff>0</xdr:rowOff>
        </xdr:to>
        <xdr:sp macro="" textlink="">
          <xdr:nvSpPr>
            <xdr:cNvPr id="145947" name="Drop Down 539" hidden="1">
              <a:extLst>
                <a:ext uri="{63B3BB69-23CF-44E3-9099-C40C66FF867C}">
                  <a14:compatExt spid="_x0000_s145947"/>
                </a:ext>
                <a:ext uri="{FF2B5EF4-FFF2-40B4-BE49-F238E27FC236}">
                  <a16:creationId xmlns:a16="http://schemas.microsoft.com/office/drawing/2014/main" id="{00000000-0008-0000-0100-00001B3A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xdr:row>
          <xdr:rowOff>0</xdr:rowOff>
        </xdr:from>
        <xdr:to>
          <xdr:col>17</xdr:col>
          <xdr:colOff>228600</xdr:colOff>
          <xdr:row>2</xdr:row>
          <xdr:rowOff>0</xdr:rowOff>
        </xdr:to>
        <xdr:sp macro="" textlink="">
          <xdr:nvSpPr>
            <xdr:cNvPr id="145948" name="Drop Down 540" hidden="1">
              <a:extLst>
                <a:ext uri="{63B3BB69-23CF-44E3-9099-C40C66FF867C}">
                  <a14:compatExt spid="_x0000_s145948"/>
                </a:ext>
                <a:ext uri="{FF2B5EF4-FFF2-40B4-BE49-F238E27FC236}">
                  <a16:creationId xmlns:a16="http://schemas.microsoft.com/office/drawing/2014/main" id="{00000000-0008-0000-0100-00001C3A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57150</xdr:colOff>
          <xdr:row>0</xdr:row>
          <xdr:rowOff>57150</xdr:rowOff>
        </xdr:from>
        <xdr:to>
          <xdr:col>9</xdr:col>
          <xdr:colOff>1104900</xdr:colOff>
          <xdr:row>2</xdr:row>
          <xdr:rowOff>85725</xdr:rowOff>
        </xdr:to>
        <xdr:sp macro="" textlink="">
          <xdr:nvSpPr>
            <xdr:cNvPr id="145956" name="Button 548" hidden="1">
              <a:extLst>
                <a:ext uri="{63B3BB69-23CF-44E3-9099-C40C66FF867C}">
                  <a14:compatExt spid="_x0000_s145956"/>
                </a:ext>
                <a:ext uri="{FF2B5EF4-FFF2-40B4-BE49-F238E27FC236}">
                  <a16:creationId xmlns:a16="http://schemas.microsoft.com/office/drawing/2014/main" id="{00000000-0008-0000-0100-0000243A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9007E"/>
                  </a:solidFill>
                  <a:latin typeface="Arial"/>
                  <a:cs typeface="Arial"/>
                </a:rPr>
                <a:t>Load pKa</a:t>
              </a:r>
              <a:r>
                <a:rPr lang="en-US" sz="1000" b="0" i="0" u="none" strike="noStrike" baseline="0">
                  <a:solidFill>
                    <a:srgbClr val="09007E"/>
                  </a:solidFill>
                  <a:latin typeface="Arial"/>
                  <a:cs typeface="Arial"/>
                </a:rPr>
                <a:t>s </a:t>
              </a:r>
            </a:p>
            <a:p>
              <a:pPr algn="ctr" rtl="0">
                <a:defRPr sz="1000"/>
              </a:pPr>
              <a:r>
                <a:rPr lang="en-US" sz="1000" b="0" i="0" u="none" strike="noStrike" baseline="0">
                  <a:solidFill>
                    <a:srgbClr val="09007E"/>
                  </a:solidFill>
                  <a:latin typeface="Arial"/>
                  <a:cs typeface="Arial"/>
                </a:rPr>
                <a:t>of these H</a:t>
              </a:r>
              <a:r>
                <a:rPr lang="en-US" sz="1200" b="0" i="0" u="none" strike="noStrike" baseline="-25000">
                  <a:solidFill>
                    <a:srgbClr val="09007E"/>
                  </a:solidFill>
                  <a:latin typeface="Arial"/>
                  <a:cs typeface="Arial"/>
                </a:rPr>
                <a:t>i</a:t>
              </a:r>
              <a:r>
                <a:rPr lang="en-US" sz="1000" b="0" i="0" u="none" strike="noStrike" baseline="0">
                  <a:solidFill>
                    <a:srgbClr val="09007E"/>
                  </a:solidFill>
                  <a:latin typeface="Arial"/>
                  <a:cs typeface="Arial"/>
                </a:rPr>
                <a:t>B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257175</xdr:colOff>
          <xdr:row>17</xdr:row>
          <xdr:rowOff>114300</xdr:rowOff>
        </xdr:from>
        <xdr:to>
          <xdr:col>7</xdr:col>
          <xdr:colOff>619125</xdr:colOff>
          <xdr:row>20</xdr:row>
          <xdr:rowOff>47625</xdr:rowOff>
        </xdr:to>
        <xdr:sp macro="" textlink="">
          <xdr:nvSpPr>
            <xdr:cNvPr id="146009" name="Button 601" hidden="1">
              <a:extLst>
                <a:ext uri="{63B3BB69-23CF-44E3-9099-C40C66FF867C}">
                  <a14:compatExt spid="_x0000_s146009"/>
                </a:ext>
                <a:ext uri="{FF2B5EF4-FFF2-40B4-BE49-F238E27FC236}">
                  <a16:creationId xmlns:a16="http://schemas.microsoft.com/office/drawing/2014/main" id="{00000000-0008-0000-0100-0000593A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9007E"/>
                  </a:solidFill>
                  <a:latin typeface="Arial"/>
                  <a:cs typeface="Arial"/>
                </a:rPr>
                <a:t>Save this result in +pH</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0</xdr:col>
      <xdr:colOff>1084450</xdr:colOff>
      <xdr:row>1</xdr:row>
      <xdr:rowOff>1</xdr:rowOff>
    </xdr:to>
    <xdr:pic>
      <xdr:nvPicPr>
        <xdr:cNvPr id="2" name="Picture 26" descr="curtipotp">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1"/>
          <a:ext cx="1081088" cy="30480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xdr:from>
          <xdr:col>2</xdr:col>
          <xdr:colOff>0</xdr:colOff>
          <xdr:row>1</xdr:row>
          <xdr:rowOff>66675</xdr:rowOff>
        </xdr:from>
        <xdr:to>
          <xdr:col>5</xdr:col>
          <xdr:colOff>571500</xdr:colOff>
          <xdr:row>2</xdr:row>
          <xdr:rowOff>180975</xdr:rowOff>
        </xdr:to>
        <xdr:sp macro="" textlink="">
          <xdr:nvSpPr>
            <xdr:cNvPr id="5540865" name="Button 1" hidden="1">
              <a:extLst>
                <a:ext uri="{63B3BB69-23CF-44E3-9099-C40C66FF867C}">
                  <a14:compatExt spid="_x0000_s5540865"/>
                </a:ext>
                <a:ext uri="{FF2B5EF4-FFF2-40B4-BE49-F238E27FC236}">
                  <a16:creationId xmlns:a16="http://schemas.microsoft.com/office/drawing/2014/main" id="{00000000-0008-0000-0200-0000018C5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9007E"/>
                  </a:solidFill>
                  <a:latin typeface="Arial"/>
                  <a:cs typeface="Arial"/>
                </a:rPr>
                <a:t>Copy the current result from pH_calc</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426983</xdr:colOff>
      <xdr:row>19</xdr:row>
      <xdr:rowOff>52552</xdr:rowOff>
    </xdr:from>
    <xdr:to>
      <xdr:col>1</xdr:col>
      <xdr:colOff>558994</xdr:colOff>
      <xdr:row>19</xdr:row>
      <xdr:rowOff>190500</xdr:rowOff>
    </xdr:to>
    <xdr:sp macro="" textlink="">
      <xdr:nvSpPr>
        <xdr:cNvPr id="41" name="Sol 40">
          <a:extLst>
            <a:ext uri="{FF2B5EF4-FFF2-40B4-BE49-F238E27FC236}">
              <a16:creationId xmlns:a16="http://schemas.microsoft.com/office/drawing/2014/main" id="{00000000-0008-0000-0300-000029000000}"/>
            </a:ext>
          </a:extLst>
        </xdr:cNvPr>
        <xdr:cNvSpPr/>
      </xdr:nvSpPr>
      <xdr:spPr bwMode="auto">
        <a:xfrm>
          <a:off x="1398533" y="4272127"/>
          <a:ext cx="132011" cy="137948"/>
        </a:xfrm>
        <a:prstGeom prst="sun">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1</xdr:col>
      <xdr:colOff>549519</xdr:colOff>
      <xdr:row>19</xdr:row>
      <xdr:rowOff>58614</xdr:rowOff>
    </xdr:from>
    <xdr:to>
      <xdr:col>1</xdr:col>
      <xdr:colOff>776653</xdr:colOff>
      <xdr:row>19</xdr:row>
      <xdr:rowOff>175845</xdr:rowOff>
    </xdr:to>
    <xdr:sp macro="" textlink="">
      <xdr:nvSpPr>
        <xdr:cNvPr id="43" name="Seta para a esquerda e para a direita 42">
          <a:extLst>
            <a:ext uri="{FF2B5EF4-FFF2-40B4-BE49-F238E27FC236}">
              <a16:creationId xmlns:a16="http://schemas.microsoft.com/office/drawing/2014/main" id="{00000000-0008-0000-0300-00002B000000}"/>
            </a:ext>
          </a:extLst>
        </xdr:cNvPr>
        <xdr:cNvSpPr/>
      </xdr:nvSpPr>
      <xdr:spPr bwMode="auto">
        <a:xfrm>
          <a:off x="1521069" y="4278189"/>
          <a:ext cx="227134" cy="117231"/>
        </a:xfrm>
        <a:prstGeom prst="leftRightArrow">
          <a:avLst/>
        </a:prstGeom>
        <a:noFill/>
        <a:ln w="12700"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3</xdr:col>
      <xdr:colOff>551581</xdr:colOff>
      <xdr:row>20</xdr:row>
      <xdr:rowOff>11051</xdr:rowOff>
    </xdr:from>
    <xdr:to>
      <xdr:col>3</xdr:col>
      <xdr:colOff>655570</xdr:colOff>
      <xdr:row>20</xdr:row>
      <xdr:rowOff>226566</xdr:rowOff>
    </xdr:to>
    <xdr:sp macro="" textlink="">
      <xdr:nvSpPr>
        <xdr:cNvPr id="44" name="Seta para a direita 43">
          <a:extLst>
            <a:ext uri="{FF2B5EF4-FFF2-40B4-BE49-F238E27FC236}">
              <a16:creationId xmlns:a16="http://schemas.microsoft.com/office/drawing/2014/main" id="{00000000-0008-0000-0300-00002C000000}"/>
            </a:ext>
          </a:extLst>
        </xdr:cNvPr>
        <xdr:cNvSpPr/>
      </xdr:nvSpPr>
      <xdr:spPr bwMode="auto">
        <a:xfrm rot="3226156">
          <a:off x="3043075" y="4410214"/>
          <a:ext cx="215515" cy="103989"/>
        </a:xfrm>
        <a:prstGeom prst="righ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3</xdr:col>
      <xdr:colOff>545345</xdr:colOff>
      <xdr:row>19</xdr:row>
      <xdr:rowOff>63434</xdr:rowOff>
    </xdr:from>
    <xdr:to>
      <xdr:col>3</xdr:col>
      <xdr:colOff>761353</xdr:colOff>
      <xdr:row>19</xdr:row>
      <xdr:rowOff>165820</xdr:rowOff>
    </xdr:to>
    <xdr:sp macro="" textlink="">
      <xdr:nvSpPr>
        <xdr:cNvPr id="45" name="Seta para a direita 44">
          <a:extLst>
            <a:ext uri="{FF2B5EF4-FFF2-40B4-BE49-F238E27FC236}">
              <a16:creationId xmlns:a16="http://schemas.microsoft.com/office/drawing/2014/main" id="{00000000-0008-0000-0300-00002D000000}"/>
            </a:ext>
          </a:extLst>
        </xdr:cNvPr>
        <xdr:cNvSpPr/>
      </xdr:nvSpPr>
      <xdr:spPr bwMode="auto">
        <a:xfrm rot="10079123">
          <a:off x="3092602" y="4167348"/>
          <a:ext cx="216008" cy="102386"/>
        </a:xfrm>
        <a:prstGeom prst="righ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5</xdr:col>
      <xdr:colOff>381000</xdr:colOff>
      <xdr:row>29</xdr:row>
      <xdr:rowOff>22412</xdr:rowOff>
    </xdr:from>
    <xdr:to>
      <xdr:col>5</xdr:col>
      <xdr:colOff>761999</xdr:colOff>
      <xdr:row>35</xdr:row>
      <xdr:rowOff>246784</xdr:rowOff>
    </xdr:to>
    <xdr:sp macro="" textlink="">
      <xdr:nvSpPr>
        <xdr:cNvPr id="46" name="Chave esquerda 45">
          <a:extLst>
            <a:ext uri="{FF2B5EF4-FFF2-40B4-BE49-F238E27FC236}">
              <a16:creationId xmlns:a16="http://schemas.microsoft.com/office/drawing/2014/main" id="{00000000-0008-0000-0300-00002E000000}"/>
            </a:ext>
          </a:extLst>
        </xdr:cNvPr>
        <xdr:cNvSpPr/>
      </xdr:nvSpPr>
      <xdr:spPr bwMode="auto">
        <a:xfrm>
          <a:off x="4450773" y="6096764"/>
          <a:ext cx="380999" cy="1536225"/>
        </a:xfrm>
        <a:prstGeom prst="leftBrace">
          <a:avLst>
            <a:gd name="adj1" fmla="val 78921"/>
            <a:gd name="adj2" fmla="val 50000"/>
          </a:avLst>
        </a:prstGeom>
        <a:noFill/>
        <a:ln w="19050" cap="flat" cmpd="sng" algn="ctr">
          <a:solidFill>
            <a:schemeClr val="tx1">
              <a:lumMod val="50000"/>
              <a:lumOff val="50000"/>
            </a:schemeClr>
          </a:solidFill>
          <a:prstDash val="sysDash"/>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4</xdr:col>
      <xdr:colOff>571501</xdr:colOff>
      <xdr:row>32</xdr:row>
      <xdr:rowOff>145780</xdr:rowOff>
    </xdr:from>
    <xdr:to>
      <xdr:col>5</xdr:col>
      <xdr:colOff>381000</xdr:colOff>
      <xdr:row>34</xdr:row>
      <xdr:rowOff>74544</xdr:rowOff>
    </xdr:to>
    <xdr:cxnSp macro="">
      <xdr:nvCxnSpPr>
        <xdr:cNvPr id="47" name="Conector de seta reta 46">
          <a:extLst>
            <a:ext uri="{FF2B5EF4-FFF2-40B4-BE49-F238E27FC236}">
              <a16:creationId xmlns:a16="http://schemas.microsoft.com/office/drawing/2014/main" id="{00000000-0008-0000-0300-00002F000000}"/>
            </a:ext>
          </a:extLst>
        </xdr:cNvPr>
        <xdr:cNvCxnSpPr>
          <a:stCxn id="46" idx="1"/>
        </xdr:cNvCxnSpPr>
      </xdr:nvCxnSpPr>
      <xdr:spPr bwMode="auto">
        <a:xfrm flipH="1">
          <a:off x="3859697" y="6879541"/>
          <a:ext cx="588064" cy="392590"/>
        </a:xfrm>
        <a:prstGeom prst="straightConnector1">
          <a:avLst/>
        </a:prstGeom>
        <a:solidFill>
          <a:srgbClr val="FFFFFF"/>
        </a:solidFill>
        <a:ln w="19050" cap="flat" cmpd="sng" algn="ctr">
          <a:solidFill>
            <a:schemeClr val="tx1">
              <a:lumMod val="50000"/>
              <a:lumOff val="50000"/>
            </a:schemeClr>
          </a:solidFill>
          <a:prstDash val="sysDash"/>
          <a:round/>
          <a:headEnd type="none" w="med" len="med"/>
          <a:tailEnd type="arrow"/>
        </a:ln>
        <a:effectLst/>
      </xdr:spPr>
    </xdr:cxnSp>
    <xdr:clientData/>
  </xdr:twoCellAnchor>
  <xdr:twoCellAnchor>
    <xdr:from>
      <xdr:col>1</xdr:col>
      <xdr:colOff>755430</xdr:colOff>
      <xdr:row>34</xdr:row>
      <xdr:rowOff>249621</xdr:rowOff>
    </xdr:from>
    <xdr:to>
      <xdr:col>2</xdr:col>
      <xdr:colOff>308740</xdr:colOff>
      <xdr:row>37</xdr:row>
      <xdr:rowOff>6955</xdr:rowOff>
    </xdr:to>
    <xdr:sp macro="" textlink="">
      <xdr:nvSpPr>
        <xdr:cNvPr id="48" name="Chave esquerda 47">
          <a:extLst>
            <a:ext uri="{FF2B5EF4-FFF2-40B4-BE49-F238E27FC236}">
              <a16:creationId xmlns:a16="http://schemas.microsoft.com/office/drawing/2014/main" id="{00000000-0008-0000-0300-000030000000}"/>
            </a:ext>
          </a:extLst>
        </xdr:cNvPr>
        <xdr:cNvSpPr/>
      </xdr:nvSpPr>
      <xdr:spPr bwMode="auto">
        <a:xfrm flipH="1">
          <a:off x="1726980" y="8088696"/>
          <a:ext cx="334360" cy="481234"/>
        </a:xfrm>
        <a:prstGeom prst="leftBrace">
          <a:avLst>
            <a:gd name="adj1" fmla="val 24172"/>
            <a:gd name="adj2" fmla="val 45042"/>
          </a:avLst>
        </a:prstGeom>
        <a:noFill/>
        <a:ln w="19050" cap="flat" cmpd="sng" algn="ctr">
          <a:solidFill>
            <a:schemeClr val="tx1">
              <a:lumMod val="50000"/>
              <a:lumOff val="50000"/>
            </a:schemeClr>
          </a:solidFill>
          <a:prstDash val="sysDash"/>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xdr:col>
      <xdr:colOff>308740</xdr:colOff>
      <xdr:row>34</xdr:row>
      <xdr:rowOff>39414</xdr:rowOff>
    </xdr:from>
    <xdr:to>
      <xdr:col>3</xdr:col>
      <xdr:colOff>229914</xdr:colOff>
      <xdr:row>35</xdr:row>
      <xdr:rowOff>209597</xdr:rowOff>
    </xdr:to>
    <xdr:cxnSp macro="">
      <xdr:nvCxnSpPr>
        <xdr:cNvPr id="49" name="Conector de seta reta 48">
          <a:extLst>
            <a:ext uri="{FF2B5EF4-FFF2-40B4-BE49-F238E27FC236}">
              <a16:creationId xmlns:a16="http://schemas.microsoft.com/office/drawing/2014/main" id="{00000000-0008-0000-0300-000031000000}"/>
            </a:ext>
          </a:extLst>
        </xdr:cNvPr>
        <xdr:cNvCxnSpPr>
          <a:stCxn id="48" idx="1"/>
        </xdr:cNvCxnSpPr>
      </xdr:nvCxnSpPr>
      <xdr:spPr bwMode="auto">
        <a:xfrm flipV="1">
          <a:off x="2061340" y="7878489"/>
          <a:ext cx="702224" cy="427358"/>
        </a:xfrm>
        <a:prstGeom prst="straightConnector1">
          <a:avLst/>
        </a:prstGeom>
        <a:solidFill>
          <a:srgbClr val="FFFFFF"/>
        </a:solidFill>
        <a:ln w="19050" cap="flat" cmpd="sng" algn="ctr">
          <a:solidFill>
            <a:schemeClr val="tx1">
              <a:lumMod val="50000"/>
              <a:lumOff val="50000"/>
            </a:schemeClr>
          </a:solidFill>
          <a:prstDash val="sysDash"/>
          <a:round/>
          <a:headEnd type="none" w="med" len="med"/>
          <a:tailEnd type="arrow"/>
        </a:ln>
        <a:effectLst/>
      </xdr:spPr>
    </xdr:cxnSp>
    <xdr:clientData/>
  </xdr:twoCellAnchor>
  <xdr:twoCellAnchor>
    <xdr:from>
      <xdr:col>4</xdr:col>
      <xdr:colOff>245423</xdr:colOff>
      <xdr:row>20</xdr:row>
      <xdr:rowOff>53193</xdr:rowOff>
    </xdr:from>
    <xdr:to>
      <xdr:col>5</xdr:col>
      <xdr:colOff>446172</xdr:colOff>
      <xdr:row>33</xdr:row>
      <xdr:rowOff>190500</xdr:rowOff>
    </xdr:to>
    <xdr:grpSp>
      <xdr:nvGrpSpPr>
        <xdr:cNvPr id="12" name="Grupo 11">
          <a:extLst>
            <a:ext uri="{FF2B5EF4-FFF2-40B4-BE49-F238E27FC236}">
              <a16:creationId xmlns:a16="http://schemas.microsoft.com/office/drawing/2014/main" id="{00000000-0008-0000-0300-00000C000000}"/>
            </a:ext>
          </a:extLst>
        </xdr:cNvPr>
        <xdr:cNvGrpSpPr/>
      </xdr:nvGrpSpPr>
      <xdr:grpSpPr>
        <a:xfrm>
          <a:off x="3584776" y="4546752"/>
          <a:ext cx="985161" cy="3129277"/>
          <a:chOff x="3572369" y="4359854"/>
          <a:chExt cx="983160" cy="3144485"/>
        </a:xfrm>
      </xdr:grpSpPr>
      <xdr:sp macro="" textlink="">
        <xdr:nvSpPr>
          <xdr:cNvPr id="27" name="Elipse 26">
            <a:extLst>
              <a:ext uri="{FF2B5EF4-FFF2-40B4-BE49-F238E27FC236}">
                <a16:creationId xmlns:a16="http://schemas.microsoft.com/office/drawing/2014/main" id="{00000000-0008-0000-0300-00001B000000}"/>
              </a:ext>
            </a:extLst>
          </xdr:cNvPr>
          <xdr:cNvSpPr/>
        </xdr:nvSpPr>
        <xdr:spPr bwMode="auto">
          <a:xfrm>
            <a:off x="3572369" y="7243662"/>
            <a:ext cx="256391" cy="260677"/>
          </a:xfrm>
          <a:prstGeom prst="ellipse">
            <a:avLst/>
          </a:prstGeom>
          <a:solidFill>
            <a:schemeClr val="tx1">
              <a:lumMod val="50000"/>
              <a:lumOff val="50000"/>
              <a:alpha val="34000"/>
            </a:schemeClr>
          </a:solidFill>
          <a:ln w="19050">
            <a:solidFill>
              <a:schemeClr val="dk1">
                <a:alpha val="71000"/>
              </a:schemeClr>
            </a:solidFill>
            <a:headEnd type="none" w="med" len="med"/>
            <a:tailEnd type="none" w="med" len="med"/>
          </a:ln>
          <a:scene3d>
            <a:camera prst="orthographicFront"/>
            <a:lightRig rig="threePt" dir="t"/>
          </a:scene3d>
          <a:sp3d>
            <a:bevelT/>
          </a:sp3d>
        </xdr:spPr>
        <xdr:style>
          <a:lnRef idx="2">
            <a:schemeClr val="dk1"/>
          </a:lnRef>
          <a:fillRef idx="1">
            <a:schemeClr val="lt1"/>
          </a:fillRef>
          <a:effectRef idx="0">
            <a:schemeClr val="dk1"/>
          </a:effectRef>
          <a:fontRef idx="minor">
            <a:schemeClr val="dk1"/>
          </a:fontRef>
        </xdr:style>
        <xdr:txBody>
          <a:bodyPr vertOverflow="clip" horzOverflow="clip" wrap="square" lIns="18288" tIns="0" rIns="0" bIns="0" rtlCol="0" anchor="t" upright="1"/>
          <a:lstStyle/>
          <a:p>
            <a:pPr algn="l"/>
            <a:endParaRPr lang="pt-BR" sz="1100"/>
          </a:p>
        </xdr:txBody>
      </xdr:sp>
      <xdr:sp macro="" textlink="">
        <xdr:nvSpPr>
          <xdr:cNvPr id="28" name="Retângulo 27">
            <a:extLst>
              <a:ext uri="{FF2B5EF4-FFF2-40B4-BE49-F238E27FC236}">
                <a16:creationId xmlns:a16="http://schemas.microsoft.com/office/drawing/2014/main" id="{00000000-0008-0000-0300-00001C000000}"/>
              </a:ext>
            </a:extLst>
          </xdr:cNvPr>
          <xdr:cNvSpPr/>
        </xdr:nvSpPr>
        <xdr:spPr bwMode="auto">
          <a:xfrm>
            <a:off x="3605988" y="5567249"/>
            <a:ext cx="174401" cy="1698824"/>
          </a:xfrm>
          <a:prstGeom prst="rect">
            <a:avLst/>
          </a:prstGeom>
          <a:solidFill>
            <a:schemeClr val="tx1">
              <a:lumMod val="50000"/>
              <a:lumOff val="50000"/>
              <a:alpha val="32000"/>
            </a:schemeClr>
          </a:solidFill>
          <a:ln w="19050">
            <a:solidFill>
              <a:schemeClr val="tx1">
                <a:alpha val="64000"/>
              </a:schemeClr>
            </a:solidFill>
            <a:headEnd type="none" w="med" len="med"/>
            <a:tailEnd type="none" w="med" len="med"/>
          </a:ln>
          <a:scene3d>
            <a:camera prst="orthographicFront"/>
            <a:lightRig rig="threePt" dir="t"/>
          </a:scene3d>
          <a:sp3d>
            <a:bevelT w="114300" prst="artDeco"/>
          </a:sp3d>
        </xdr:spPr>
        <xdr:style>
          <a:lnRef idx="2">
            <a:schemeClr val="dk1"/>
          </a:lnRef>
          <a:fillRef idx="1">
            <a:schemeClr val="lt1"/>
          </a:fillRef>
          <a:effectRef idx="0">
            <a:schemeClr val="dk1"/>
          </a:effectRef>
          <a:fontRef idx="minor">
            <a:schemeClr val="dk1"/>
          </a:fontRef>
        </xdr:style>
        <xdr:txBody>
          <a:bodyPr vertOverflow="clip" horzOverflow="clip" wrap="square" lIns="18288" tIns="0" rIns="0" bIns="0" rtlCol="0" anchor="t" upright="1"/>
          <a:lstStyle/>
          <a:p>
            <a:pPr algn="l"/>
            <a:endParaRPr lang="pt-BR" sz="1100"/>
          </a:p>
        </xdr:txBody>
      </xdr:sp>
      <xdr:sp macro="" textlink="">
        <xdr:nvSpPr>
          <xdr:cNvPr id="29" name="Arco 28">
            <a:extLst>
              <a:ext uri="{FF2B5EF4-FFF2-40B4-BE49-F238E27FC236}">
                <a16:creationId xmlns:a16="http://schemas.microsoft.com/office/drawing/2014/main" id="{00000000-0008-0000-0300-00001D000000}"/>
              </a:ext>
            </a:extLst>
          </xdr:cNvPr>
          <xdr:cNvSpPr/>
        </xdr:nvSpPr>
        <xdr:spPr bwMode="auto">
          <a:xfrm>
            <a:off x="3686176" y="4426404"/>
            <a:ext cx="869353" cy="2089376"/>
          </a:xfrm>
          <a:prstGeom prst="arc">
            <a:avLst>
              <a:gd name="adj1" fmla="val 10058851"/>
              <a:gd name="adj2" fmla="val 16158529"/>
            </a:avLst>
          </a:prstGeom>
          <a:noFill/>
          <a:ln w="38100" cap="flat" cmpd="sng" algn="ctr">
            <a:solidFill>
              <a:schemeClr val="tx1">
                <a:lumMod val="50000"/>
                <a:lumOff val="50000"/>
              </a:schemeClr>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sp macro="" textlink="">
        <xdr:nvSpPr>
          <xdr:cNvPr id="31" name="Retângulo 30">
            <a:extLst>
              <a:ext uri="{FF2B5EF4-FFF2-40B4-BE49-F238E27FC236}">
                <a16:creationId xmlns:a16="http://schemas.microsoft.com/office/drawing/2014/main" id="{00000000-0008-0000-0300-00001F000000}"/>
              </a:ext>
            </a:extLst>
          </xdr:cNvPr>
          <xdr:cNvSpPr/>
        </xdr:nvSpPr>
        <xdr:spPr bwMode="auto">
          <a:xfrm>
            <a:off x="3670382" y="5567762"/>
            <a:ext cx="59028" cy="1698824"/>
          </a:xfrm>
          <a:prstGeom prst="rect">
            <a:avLst/>
          </a:prstGeom>
          <a:solidFill>
            <a:schemeClr val="tx1">
              <a:lumMod val="50000"/>
              <a:lumOff val="50000"/>
              <a:alpha val="32000"/>
            </a:schemeClr>
          </a:solidFill>
          <a:ln w="19050">
            <a:solidFill>
              <a:schemeClr val="tx1">
                <a:alpha val="64000"/>
              </a:schemeClr>
            </a:solidFill>
            <a:headEnd type="none" w="med" len="med"/>
            <a:tailEnd type="none" w="med" len="med"/>
          </a:ln>
          <a:scene3d>
            <a:camera prst="orthographicFront"/>
            <a:lightRig rig="threePt" dir="t"/>
          </a:scene3d>
          <a:sp3d>
            <a:bevelT w="114300" prst="artDeco"/>
          </a:sp3d>
        </xdr:spPr>
        <xdr:style>
          <a:lnRef idx="2">
            <a:schemeClr val="dk1"/>
          </a:lnRef>
          <a:fillRef idx="1">
            <a:schemeClr val="lt1"/>
          </a:fillRef>
          <a:effectRef idx="0">
            <a:schemeClr val="dk1"/>
          </a:effectRef>
          <a:fontRef idx="minor">
            <a:schemeClr val="dk1"/>
          </a:fontRef>
        </xdr:style>
        <xdr:txBody>
          <a:bodyPr vertOverflow="clip" horzOverflow="clip" wrap="square" lIns="18288" tIns="0" rIns="0" bIns="0" rtlCol="0" anchor="t" upright="1"/>
          <a:lstStyle/>
          <a:p>
            <a:pPr algn="l"/>
            <a:endParaRPr lang="pt-BR" sz="1100"/>
          </a:p>
        </xdr:txBody>
      </xdr:sp>
      <xdr:cxnSp macro="">
        <xdr:nvCxnSpPr>
          <xdr:cNvPr id="32" name="Conector reto 31">
            <a:extLst>
              <a:ext uri="{FF2B5EF4-FFF2-40B4-BE49-F238E27FC236}">
                <a16:creationId xmlns:a16="http://schemas.microsoft.com/office/drawing/2014/main" id="{00000000-0008-0000-0300-000020000000}"/>
              </a:ext>
            </a:extLst>
          </xdr:cNvPr>
          <xdr:cNvCxnSpPr/>
        </xdr:nvCxnSpPr>
        <xdr:spPr bwMode="auto">
          <a:xfrm>
            <a:off x="3697213" y="5567762"/>
            <a:ext cx="2733" cy="1889811"/>
          </a:xfrm>
          <a:prstGeom prst="line">
            <a:avLst/>
          </a:prstGeom>
          <a:solidFill>
            <a:srgbClr val="FFFFFF"/>
          </a:solidFill>
          <a:ln w="19050" cap="flat" cmpd="sng" algn="ctr">
            <a:solidFill>
              <a:schemeClr val="tx1">
                <a:lumMod val="75000"/>
                <a:lumOff val="25000"/>
              </a:schemeClr>
            </a:solidFill>
            <a:prstDash val="solid"/>
            <a:round/>
            <a:headEnd type="none" w="med" len="med"/>
            <a:tailEnd type="none" w="med" len="med"/>
          </a:ln>
          <a:effectLst/>
        </xdr:spPr>
      </xdr:cxnSp>
      <xdr:cxnSp macro="">
        <xdr:nvCxnSpPr>
          <xdr:cNvPr id="33" name="Conector reto 32">
            <a:extLst>
              <a:ext uri="{FF2B5EF4-FFF2-40B4-BE49-F238E27FC236}">
                <a16:creationId xmlns:a16="http://schemas.microsoft.com/office/drawing/2014/main" id="{00000000-0008-0000-0300-000021000000}"/>
              </a:ext>
            </a:extLst>
          </xdr:cNvPr>
          <xdr:cNvCxnSpPr/>
        </xdr:nvCxnSpPr>
        <xdr:spPr bwMode="auto">
          <a:xfrm>
            <a:off x="3640258" y="5559952"/>
            <a:ext cx="796" cy="1524044"/>
          </a:xfrm>
          <a:prstGeom prst="line">
            <a:avLst/>
          </a:prstGeom>
          <a:solidFill>
            <a:srgbClr val="FFFFFF"/>
          </a:solidFill>
          <a:ln w="19050" cap="flat" cmpd="sng" algn="ctr">
            <a:solidFill>
              <a:schemeClr val="tx1">
                <a:lumMod val="75000"/>
                <a:lumOff val="25000"/>
              </a:schemeClr>
            </a:solidFill>
            <a:prstDash val="solid"/>
            <a:round/>
            <a:headEnd type="none" w="med" len="med"/>
            <a:tailEnd type="none" w="med" len="med"/>
          </a:ln>
          <a:effectLst/>
        </xdr:spPr>
      </xdr:cxnSp>
      <xdr:sp macro="" textlink="">
        <xdr:nvSpPr>
          <xdr:cNvPr id="34" name="Retângulo 33">
            <a:extLst>
              <a:ext uri="{FF2B5EF4-FFF2-40B4-BE49-F238E27FC236}">
                <a16:creationId xmlns:a16="http://schemas.microsoft.com/office/drawing/2014/main" id="{00000000-0008-0000-0300-000022000000}"/>
              </a:ext>
            </a:extLst>
          </xdr:cNvPr>
          <xdr:cNvSpPr/>
        </xdr:nvSpPr>
        <xdr:spPr bwMode="auto">
          <a:xfrm>
            <a:off x="3583137" y="5559102"/>
            <a:ext cx="229912" cy="251499"/>
          </a:xfrm>
          <a:prstGeom prst="rect">
            <a:avLst/>
          </a:prstGeom>
          <a:solidFill>
            <a:schemeClr val="tx1">
              <a:lumMod val="65000"/>
              <a:lumOff val="35000"/>
            </a:schemeClr>
          </a:solidFill>
          <a:ln w="3175">
            <a:solidFill>
              <a:schemeClr val="tx1">
                <a:alpha val="64000"/>
              </a:schemeClr>
            </a:solidFill>
            <a:headEnd type="none" w="med" len="med"/>
            <a:tailEnd type="none" w="med" len="med"/>
          </a:ln>
          <a:scene3d>
            <a:camera prst="orthographicFront"/>
            <a:lightRig rig="threePt" dir="t"/>
          </a:scene3d>
          <a:sp3d>
            <a:bevelT/>
          </a:sp3d>
        </xdr:spPr>
        <xdr:style>
          <a:lnRef idx="2">
            <a:schemeClr val="dk1"/>
          </a:lnRef>
          <a:fillRef idx="1">
            <a:schemeClr val="lt1"/>
          </a:fillRef>
          <a:effectRef idx="0">
            <a:schemeClr val="dk1"/>
          </a:effectRef>
          <a:fontRef idx="minor">
            <a:schemeClr val="dk1"/>
          </a:fontRef>
        </xdr:style>
        <xdr:txBody>
          <a:bodyPr vertOverflow="clip" horzOverflow="clip" wrap="square" lIns="18288" tIns="0" rIns="0" bIns="0" rtlCol="0" anchor="t" upright="1"/>
          <a:lstStyle/>
          <a:p>
            <a:pPr algn="l"/>
            <a:endParaRPr lang="pt-BR" sz="1100"/>
          </a:p>
        </xdr:txBody>
      </xdr:sp>
      <xdr:sp macro="" textlink="">
        <xdr:nvSpPr>
          <xdr:cNvPr id="35" name="Retângulo 34">
            <a:extLst>
              <a:ext uri="{FF2B5EF4-FFF2-40B4-BE49-F238E27FC236}">
                <a16:creationId xmlns:a16="http://schemas.microsoft.com/office/drawing/2014/main" id="{00000000-0008-0000-0300-000023000000}"/>
              </a:ext>
            </a:extLst>
          </xdr:cNvPr>
          <xdr:cNvSpPr/>
        </xdr:nvSpPr>
        <xdr:spPr bwMode="auto">
          <a:xfrm>
            <a:off x="3586360" y="7187634"/>
            <a:ext cx="45719" cy="45719"/>
          </a:xfrm>
          <a:prstGeom prst="rect">
            <a:avLst/>
          </a:prstGeom>
          <a:solidFill>
            <a:schemeClr val="bg1">
              <a:lumMod val="75000"/>
              <a:alpha val="82000"/>
            </a:schemeClr>
          </a:solidFill>
          <a:ln w="9525" cap="flat" cmpd="sng" algn="ctr">
            <a:no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sp macro="" textlink="">
        <xdr:nvSpPr>
          <xdr:cNvPr id="36" name="Retângulo 35">
            <a:extLst>
              <a:ext uri="{FF2B5EF4-FFF2-40B4-BE49-F238E27FC236}">
                <a16:creationId xmlns:a16="http://schemas.microsoft.com/office/drawing/2014/main" id="{00000000-0008-0000-0300-000024000000}"/>
              </a:ext>
            </a:extLst>
          </xdr:cNvPr>
          <xdr:cNvSpPr/>
        </xdr:nvSpPr>
        <xdr:spPr bwMode="auto">
          <a:xfrm>
            <a:off x="4105292" y="4359854"/>
            <a:ext cx="90218" cy="130097"/>
          </a:xfrm>
          <a:prstGeom prst="rect">
            <a:avLst/>
          </a:prstGeom>
          <a:solidFill>
            <a:schemeClr val="tx1">
              <a:lumMod val="65000"/>
              <a:lumOff val="35000"/>
            </a:schemeClr>
          </a:solidFill>
          <a:ln w="3175">
            <a:solidFill>
              <a:schemeClr val="tx1">
                <a:alpha val="64000"/>
              </a:schemeClr>
            </a:solidFill>
            <a:headEnd type="none" w="med" len="med"/>
            <a:tailEnd type="none" w="med" len="med"/>
          </a:ln>
          <a:scene3d>
            <a:camera prst="orthographicFront"/>
            <a:lightRig rig="threePt" dir="t"/>
          </a:scene3d>
          <a:sp3d>
            <a:bevelT/>
          </a:sp3d>
        </xdr:spPr>
        <xdr:style>
          <a:lnRef idx="2">
            <a:schemeClr val="dk1"/>
          </a:lnRef>
          <a:fillRef idx="1">
            <a:schemeClr val="lt1"/>
          </a:fillRef>
          <a:effectRef idx="0">
            <a:schemeClr val="dk1"/>
          </a:effectRef>
          <a:fontRef idx="minor">
            <a:schemeClr val="dk1"/>
          </a:fontRef>
        </xdr:style>
        <xdr:txBody>
          <a:bodyPr vertOverflow="clip" horzOverflow="clip" wrap="square" lIns="18288" tIns="0" rIns="0" bIns="0" rtlCol="0" anchor="t" upright="1"/>
          <a:lstStyle/>
          <a:p>
            <a:pPr algn="l"/>
            <a:endParaRPr lang="pt-BR" sz="1100"/>
          </a:p>
        </xdr:txBody>
      </xdr:sp>
      <xdr:sp macro="" textlink="">
        <xdr:nvSpPr>
          <xdr:cNvPr id="40" name="Retângulo 39">
            <a:extLst>
              <a:ext uri="{FF2B5EF4-FFF2-40B4-BE49-F238E27FC236}">
                <a16:creationId xmlns:a16="http://schemas.microsoft.com/office/drawing/2014/main" id="{00000000-0008-0000-0300-000028000000}"/>
              </a:ext>
            </a:extLst>
          </xdr:cNvPr>
          <xdr:cNvSpPr/>
        </xdr:nvSpPr>
        <xdr:spPr bwMode="auto">
          <a:xfrm flipV="1">
            <a:off x="3780076" y="5885622"/>
            <a:ext cx="79837" cy="66822"/>
          </a:xfrm>
          <a:prstGeom prst="rect">
            <a:avLst/>
          </a:prstGeom>
          <a:solidFill>
            <a:schemeClr val="bg1">
              <a:lumMod val="65000"/>
              <a:alpha val="82000"/>
            </a:schemeClr>
          </a:solidFill>
          <a:ln w="19050" cap="flat" cmpd="sng" algn="ctr">
            <a:solidFill>
              <a:schemeClr val="tx1">
                <a:lumMod val="65000"/>
                <a:lumOff val="35000"/>
              </a:schemeClr>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sp macro="" textlink="">
        <xdr:nvSpPr>
          <xdr:cNvPr id="61" name="Retângulo 60">
            <a:extLst>
              <a:ext uri="{FF2B5EF4-FFF2-40B4-BE49-F238E27FC236}">
                <a16:creationId xmlns:a16="http://schemas.microsoft.com/office/drawing/2014/main" id="{00000000-0008-0000-0300-00003D000000}"/>
              </a:ext>
            </a:extLst>
          </xdr:cNvPr>
          <xdr:cNvSpPr/>
        </xdr:nvSpPr>
        <xdr:spPr bwMode="auto">
          <a:xfrm flipV="1">
            <a:off x="3765050" y="5896809"/>
            <a:ext cx="102976" cy="43895"/>
          </a:xfrm>
          <a:prstGeom prst="rect">
            <a:avLst/>
          </a:prstGeom>
          <a:solidFill>
            <a:schemeClr val="bg1">
              <a:lumMod val="75000"/>
              <a:alpha val="82000"/>
            </a:schemeClr>
          </a:solidFill>
          <a:ln w="19050" cap="flat" cmpd="sng" algn="ctr">
            <a:no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grpSp>
    <xdr:clientData/>
  </xdr:twoCellAnchor>
  <xdr:twoCellAnchor>
    <xdr:from>
      <xdr:col>3</xdr:col>
      <xdr:colOff>504825</xdr:colOff>
      <xdr:row>34</xdr:row>
      <xdr:rowOff>50800</xdr:rowOff>
    </xdr:from>
    <xdr:to>
      <xdr:col>4</xdr:col>
      <xdr:colOff>231775</xdr:colOff>
      <xdr:row>34</xdr:row>
      <xdr:rowOff>203200</xdr:rowOff>
    </xdr:to>
    <xdr:sp macro="" textlink="">
      <xdr:nvSpPr>
        <xdr:cNvPr id="42" name="Retângulo 41">
          <a:extLst>
            <a:ext uri="{FF2B5EF4-FFF2-40B4-BE49-F238E27FC236}">
              <a16:creationId xmlns:a16="http://schemas.microsoft.com/office/drawing/2014/main" id="{00000000-0008-0000-0300-00002A000000}"/>
            </a:ext>
          </a:extLst>
        </xdr:cNvPr>
        <xdr:cNvSpPr/>
      </xdr:nvSpPr>
      <xdr:spPr bwMode="auto">
        <a:xfrm>
          <a:off x="3048000" y="7594600"/>
          <a:ext cx="508000" cy="152400"/>
        </a:xfrm>
        <a:prstGeom prst="rect">
          <a:avLst/>
        </a:prstGeom>
        <a:solidFill>
          <a:schemeClr val="tx1">
            <a:lumMod val="65000"/>
            <a:lumOff val="35000"/>
          </a:schemeClr>
        </a:solidFill>
        <a:ln w="3175">
          <a:solidFill>
            <a:schemeClr val="tx1">
              <a:alpha val="64000"/>
            </a:schemeClr>
          </a:solidFill>
          <a:headEnd type="none" w="med" len="med"/>
          <a:tailEnd type="none" w="med" len="med"/>
        </a:ln>
        <a:scene3d>
          <a:camera prst="orthographicFront"/>
          <a:lightRig rig="threePt" dir="t"/>
        </a:scene3d>
        <a:sp3d>
          <a:bevelT/>
        </a:sp3d>
      </xdr:spPr>
      <xdr:style>
        <a:lnRef idx="2">
          <a:schemeClr val="dk1"/>
        </a:lnRef>
        <a:fillRef idx="1">
          <a:schemeClr val="lt1"/>
        </a:fillRef>
        <a:effectRef idx="0">
          <a:schemeClr val="dk1"/>
        </a:effectRef>
        <a:fontRef idx="minor">
          <a:schemeClr val="dk1"/>
        </a:fontRef>
      </xdr:style>
      <xdr:txBody>
        <a:bodyPr vertOverflow="clip" horzOverflow="clip" wrap="square" lIns="18288" tIns="0" rIns="0" bIns="0" rtlCol="0" anchor="t" upright="1"/>
        <a:lstStyle/>
        <a:p>
          <a:pPr algn="l"/>
          <a:endParaRPr lang="pt-BR" sz="1100"/>
        </a:p>
      </xdr:txBody>
    </xdr:sp>
    <xdr:clientData/>
  </xdr:twoCellAnchor>
  <xdr:twoCellAnchor>
    <xdr:from>
      <xdr:col>2</xdr:col>
      <xdr:colOff>198210</xdr:colOff>
      <xdr:row>10</xdr:row>
      <xdr:rowOff>177070</xdr:rowOff>
    </xdr:from>
    <xdr:to>
      <xdr:col>9</xdr:col>
      <xdr:colOff>367062</xdr:colOff>
      <xdr:row>32</xdr:row>
      <xdr:rowOff>166477</xdr:rowOff>
    </xdr:to>
    <xdr:grpSp>
      <xdr:nvGrpSpPr>
        <xdr:cNvPr id="16" name="Grupo 15">
          <a:extLst>
            <a:ext uri="{FF2B5EF4-FFF2-40B4-BE49-F238E27FC236}">
              <a16:creationId xmlns:a16="http://schemas.microsoft.com/office/drawing/2014/main" id="{00000000-0008-0000-0300-000010000000}"/>
            </a:ext>
          </a:extLst>
        </xdr:cNvPr>
        <xdr:cNvGrpSpPr/>
      </xdr:nvGrpSpPr>
      <xdr:grpSpPr>
        <a:xfrm>
          <a:off x="1968739" y="2530305"/>
          <a:ext cx="5659735" cy="4897584"/>
          <a:chOff x="1968739" y="2395835"/>
          <a:chExt cx="5659669" cy="4695878"/>
        </a:xfrm>
      </xdr:grpSpPr>
      <xdr:sp macro="" textlink="">
        <xdr:nvSpPr>
          <xdr:cNvPr id="63" name="Arco 62">
            <a:extLst>
              <a:ext uri="{FF2B5EF4-FFF2-40B4-BE49-F238E27FC236}">
                <a16:creationId xmlns:a16="http://schemas.microsoft.com/office/drawing/2014/main" id="{00000000-0008-0000-0300-00003F000000}"/>
              </a:ext>
            </a:extLst>
          </xdr:cNvPr>
          <xdr:cNvSpPr/>
        </xdr:nvSpPr>
        <xdr:spPr bwMode="auto">
          <a:xfrm flipH="1" flipV="1">
            <a:off x="2498910" y="3921773"/>
            <a:ext cx="4840453" cy="813639"/>
          </a:xfrm>
          <a:prstGeom prst="arc">
            <a:avLst>
              <a:gd name="adj1" fmla="val 277875"/>
              <a:gd name="adj2" fmla="val 8765411"/>
            </a:avLst>
          </a:prstGeom>
          <a:noFill/>
          <a:ln w="63500" cap="flat" cmpd="dbl" algn="ctr">
            <a:solidFill>
              <a:schemeClr val="tx1">
                <a:lumMod val="50000"/>
                <a:lumOff val="50000"/>
              </a:schemeClr>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sp macro="" textlink="">
        <xdr:nvSpPr>
          <xdr:cNvPr id="30" name="Arco 29">
            <a:extLst>
              <a:ext uri="{FF2B5EF4-FFF2-40B4-BE49-F238E27FC236}">
                <a16:creationId xmlns:a16="http://schemas.microsoft.com/office/drawing/2014/main" id="{00000000-0008-0000-0300-00001E000000}"/>
              </a:ext>
            </a:extLst>
          </xdr:cNvPr>
          <xdr:cNvSpPr/>
        </xdr:nvSpPr>
        <xdr:spPr bwMode="auto">
          <a:xfrm flipH="1">
            <a:off x="1968739" y="4185681"/>
            <a:ext cx="1405070" cy="2906032"/>
          </a:xfrm>
          <a:prstGeom prst="arc">
            <a:avLst>
              <a:gd name="adj1" fmla="val 7266175"/>
              <a:gd name="adj2" fmla="val 16212669"/>
            </a:avLst>
          </a:prstGeom>
          <a:noFill/>
          <a:ln w="63500" cap="flat" cmpd="dbl" algn="ctr">
            <a:solidFill>
              <a:schemeClr val="tx1">
                <a:lumMod val="50000"/>
                <a:lumOff val="50000"/>
              </a:schemeClr>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sp macro="" textlink="">
        <xdr:nvSpPr>
          <xdr:cNvPr id="38" name="Retângulo 37">
            <a:extLst>
              <a:ext uri="{FF2B5EF4-FFF2-40B4-BE49-F238E27FC236}">
                <a16:creationId xmlns:a16="http://schemas.microsoft.com/office/drawing/2014/main" id="{00000000-0008-0000-0300-000026000000}"/>
              </a:ext>
            </a:extLst>
          </xdr:cNvPr>
          <xdr:cNvSpPr/>
        </xdr:nvSpPr>
        <xdr:spPr bwMode="auto">
          <a:xfrm>
            <a:off x="2548323" y="4105335"/>
            <a:ext cx="202710" cy="143031"/>
          </a:xfrm>
          <a:prstGeom prst="rect">
            <a:avLst/>
          </a:prstGeom>
          <a:solidFill>
            <a:schemeClr val="tx1">
              <a:lumMod val="65000"/>
              <a:lumOff val="35000"/>
            </a:schemeClr>
          </a:solidFill>
          <a:ln w="3175">
            <a:solidFill>
              <a:schemeClr val="tx1">
                <a:alpha val="64000"/>
              </a:schemeClr>
            </a:solidFill>
            <a:headEnd type="none" w="med" len="med"/>
            <a:tailEnd type="none" w="med" len="med"/>
          </a:ln>
          <a:scene3d>
            <a:camera prst="orthographicFront"/>
            <a:lightRig rig="threePt" dir="t"/>
          </a:scene3d>
          <a:sp3d>
            <a:bevelT/>
          </a:sp3d>
        </xdr:spPr>
        <xdr:style>
          <a:lnRef idx="2">
            <a:schemeClr val="dk1"/>
          </a:lnRef>
          <a:fillRef idx="1">
            <a:schemeClr val="lt1"/>
          </a:fillRef>
          <a:effectRef idx="0">
            <a:schemeClr val="dk1"/>
          </a:effectRef>
          <a:fontRef idx="minor">
            <a:schemeClr val="dk1"/>
          </a:fontRef>
        </xdr:style>
        <xdr:txBody>
          <a:bodyPr vertOverflow="clip" horzOverflow="clip" wrap="square" lIns="18288" tIns="0" rIns="0" bIns="0" rtlCol="0" anchor="t" upright="1"/>
          <a:lstStyle/>
          <a:p>
            <a:pPr algn="l"/>
            <a:endParaRPr lang="pt-BR" sz="1100"/>
          </a:p>
        </xdr:txBody>
      </xdr:sp>
      <xdr:sp macro="" textlink="">
        <xdr:nvSpPr>
          <xdr:cNvPr id="64" name="Arco 63">
            <a:extLst>
              <a:ext uri="{FF2B5EF4-FFF2-40B4-BE49-F238E27FC236}">
                <a16:creationId xmlns:a16="http://schemas.microsoft.com/office/drawing/2014/main" id="{00000000-0008-0000-0300-000040000000}"/>
              </a:ext>
            </a:extLst>
          </xdr:cNvPr>
          <xdr:cNvSpPr/>
        </xdr:nvSpPr>
        <xdr:spPr bwMode="auto">
          <a:xfrm flipH="1" flipV="1">
            <a:off x="3608322" y="2395835"/>
            <a:ext cx="3933073" cy="1537430"/>
          </a:xfrm>
          <a:prstGeom prst="arc">
            <a:avLst>
              <a:gd name="adj1" fmla="val 10864170"/>
              <a:gd name="adj2" fmla="val 16713239"/>
            </a:avLst>
          </a:prstGeom>
          <a:noFill/>
          <a:ln w="63500" cap="flat" cmpd="dbl" algn="ctr">
            <a:solidFill>
              <a:schemeClr val="tx1">
                <a:lumMod val="50000"/>
                <a:lumOff val="50000"/>
              </a:schemeClr>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sp macro="" textlink="">
        <xdr:nvSpPr>
          <xdr:cNvPr id="57" name="Retângulo 56">
            <a:extLst>
              <a:ext uri="{FF2B5EF4-FFF2-40B4-BE49-F238E27FC236}">
                <a16:creationId xmlns:a16="http://schemas.microsoft.com/office/drawing/2014/main" id="{00000000-0008-0000-0300-000039000000}"/>
              </a:ext>
            </a:extLst>
          </xdr:cNvPr>
          <xdr:cNvSpPr/>
        </xdr:nvSpPr>
        <xdr:spPr bwMode="auto">
          <a:xfrm>
            <a:off x="7439453" y="3118981"/>
            <a:ext cx="188955" cy="92194"/>
          </a:xfrm>
          <a:prstGeom prst="rect">
            <a:avLst/>
          </a:prstGeom>
          <a:solidFill>
            <a:schemeClr val="tx1">
              <a:lumMod val="65000"/>
              <a:lumOff val="35000"/>
            </a:schemeClr>
          </a:solidFill>
          <a:ln w="3175">
            <a:solidFill>
              <a:schemeClr val="tx1">
                <a:alpha val="64000"/>
              </a:schemeClr>
            </a:solidFill>
            <a:headEnd type="none" w="med" len="med"/>
            <a:tailEnd type="none" w="med" len="med"/>
          </a:ln>
          <a:scene3d>
            <a:camera prst="orthographicFront"/>
            <a:lightRig rig="threePt" dir="t"/>
          </a:scene3d>
          <a:sp3d>
            <a:bevelT/>
          </a:sp3d>
        </xdr:spPr>
        <xdr:style>
          <a:lnRef idx="2">
            <a:schemeClr val="dk1"/>
          </a:lnRef>
          <a:fillRef idx="1">
            <a:schemeClr val="lt1"/>
          </a:fillRef>
          <a:effectRef idx="0">
            <a:schemeClr val="dk1"/>
          </a:effectRef>
          <a:fontRef idx="minor">
            <a:schemeClr val="dk1"/>
          </a:fontRef>
        </xdr:style>
        <xdr:txBody>
          <a:bodyPr vertOverflow="clip" horzOverflow="clip" wrap="square" lIns="18288" tIns="0" rIns="0" bIns="0" rtlCol="0" anchor="t" upright="1"/>
          <a:lstStyle/>
          <a:p>
            <a:pPr algn="l"/>
            <a:endParaRPr lang="pt-BR" sz="1100"/>
          </a:p>
        </xdr:txBody>
      </xdr:sp>
    </xdr:grpSp>
    <xdr:clientData/>
  </xdr:twoCellAnchor>
  <xdr:twoCellAnchor>
    <xdr:from>
      <xdr:col>8</xdr:col>
      <xdr:colOff>145676</xdr:colOff>
      <xdr:row>16</xdr:row>
      <xdr:rowOff>31668</xdr:rowOff>
    </xdr:from>
    <xdr:to>
      <xdr:col>15</xdr:col>
      <xdr:colOff>750794</xdr:colOff>
      <xdr:row>37</xdr:row>
      <xdr:rowOff>127161</xdr:rowOff>
    </xdr:to>
    <xdr:grpSp>
      <xdr:nvGrpSpPr>
        <xdr:cNvPr id="15" name="Grupo 14">
          <a:extLst>
            <a:ext uri="{FF2B5EF4-FFF2-40B4-BE49-F238E27FC236}">
              <a16:creationId xmlns:a16="http://schemas.microsoft.com/office/drawing/2014/main" id="{00000000-0008-0000-0300-00000F000000}"/>
            </a:ext>
          </a:extLst>
        </xdr:cNvPr>
        <xdr:cNvGrpSpPr/>
      </xdr:nvGrpSpPr>
      <xdr:grpSpPr>
        <a:xfrm>
          <a:off x="6622676" y="3527903"/>
          <a:ext cx="7698442" cy="4981258"/>
          <a:chOff x="6734248" y="3394408"/>
          <a:chExt cx="8663122" cy="4816580"/>
        </a:xfrm>
      </xdr:grpSpPr>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6734248" y="3394408"/>
          <a:ext cx="8663122" cy="4816580"/>
        </xdr:xfrm>
        <a:graphic>
          <a:graphicData uri="http://schemas.openxmlformats.org/drawingml/2006/chart">
            <c:chart xmlns:c="http://schemas.openxmlformats.org/drawingml/2006/chart" xmlns:r="http://schemas.openxmlformats.org/officeDocument/2006/relationships" r:id="rId1"/>
          </a:graphicData>
        </a:graphic>
      </xdr:graphicFrame>
      <xdr:pic>
        <xdr:nvPicPr>
          <xdr:cNvPr id="3" name="Picture 2" descr="curtipotp">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2"/>
          <a:srcRect/>
          <a:stretch>
            <a:fillRect/>
          </a:stretch>
        </xdr:blipFill>
        <xdr:spPr bwMode="auto">
          <a:xfrm>
            <a:off x="14352476" y="3470177"/>
            <a:ext cx="994742" cy="263210"/>
          </a:xfrm>
          <a:prstGeom prst="rect">
            <a:avLst/>
          </a:prstGeom>
          <a:noFill/>
          <a:ln w="9525">
            <a:noFill/>
            <a:miter lim="800000"/>
            <a:headEnd/>
            <a:tailEnd/>
          </a:ln>
        </xdr:spPr>
      </xdr:pic>
    </xdr:grpSp>
    <xdr:clientData/>
  </xdr:twoCellAnchor>
  <xdr:twoCellAnchor>
    <xdr:from>
      <xdr:col>0</xdr:col>
      <xdr:colOff>0</xdr:colOff>
      <xdr:row>0</xdr:row>
      <xdr:rowOff>0</xdr:rowOff>
    </xdr:from>
    <xdr:to>
      <xdr:col>1</xdr:col>
      <xdr:colOff>168088</xdr:colOff>
      <xdr:row>0</xdr:row>
      <xdr:rowOff>285750</xdr:rowOff>
    </xdr:to>
    <xdr:pic>
      <xdr:nvPicPr>
        <xdr:cNvPr id="56" name="Picture 11" descr="curtipotp">
          <a:extLst>
            <a:ext uri="{FF2B5EF4-FFF2-40B4-BE49-F238E27FC236}">
              <a16:creationId xmlns:a16="http://schemas.microsoft.com/office/drawing/2014/main" id="{00000000-0008-0000-0300-000038000000}"/>
            </a:ext>
          </a:extLst>
        </xdr:cNvPr>
        <xdr:cNvPicPr>
          <a:picLocks noChangeAspect="1" noChangeArrowheads="1"/>
        </xdr:cNvPicPr>
      </xdr:nvPicPr>
      <xdr:blipFill>
        <a:blip xmlns:r="http://schemas.openxmlformats.org/officeDocument/2006/relationships" r:embed="rId2"/>
        <a:srcRect/>
        <a:stretch>
          <a:fillRect/>
        </a:stretch>
      </xdr:blipFill>
      <xdr:spPr bwMode="auto">
        <a:xfrm>
          <a:off x="0" y="0"/>
          <a:ext cx="1154206" cy="28575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xdr:from>
          <xdr:col>1</xdr:col>
          <xdr:colOff>247650</xdr:colOff>
          <xdr:row>18</xdr:row>
          <xdr:rowOff>85725</xdr:rowOff>
        </xdr:from>
        <xdr:to>
          <xdr:col>2</xdr:col>
          <xdr:colOff>257175</xdr:colOff>
          <xdr:row>18</xdr:row>
          <xdr:rowOff>314325</xdr:rowOff>
        </xdr:to>
        <xdr:sp macro="" textlink="">
          <xdr:nvSpPr>
            <xdr:cNvPr id="5529699" name="Button 99" hidden="1">
              <a:extLst>
                <a:ext uri="{63B3BB69-23CF-44E3-9099-C40C66FF867C}">
                  <a14:compatExt spid="_x0000_s5529699"/>
                </a:ext>
                <a:ext uri="{FF2B5EF4-FFF2-40B4-BE49-F238E27FC236}">
                  <a16:creationId xmlns:a16="http://schemas.microsoft.com/office/drawing/2014/main" id="{00000000-0008-0000-0300-000063605400}"/>
                </a:ext>
              </a:extLst>
            </xdr:cNvPr>
            <xdr:cNvSpPr/>
          </xdr:nvSpPr>
          <xdr:spPr bwMode="auto">
            <a:xfrm>
              <a:off x="0" y="0"/>
              <a:ext cx="0" cy="0"/>
            </a:xfrm>
            <a:prstGeom prst="rect">
              <a:avLst/>
            </a:prstGeom>
            <a:noFill/>
            <a:ln w="9525">
              <a:miter lim="800000"/>
              <a:headEnd/>
              <a:tailEnd/>
            </a:ln>
          </xdr:spPr>
          <xdr:txBody>
            <a:bodyPr vertOverflow="clip" wrap="square" lIns="90000" tIns="46800" rIns="90000" bIns="46800" anchor="ctr" upright="1"/>
            <a:lstStyle/>
            <a:p>
              <a:pPr algn="ctr" rtl="0">
                <a:defRPr sz="1000"/>
              </a:pPr>
              <a:r>
                <a:rPr lang="en-US" sz="1000" b="1" i="0" u="none" strike="noStrike" baseline="0">
                  <a:solidFill>
                    <a:srgbClr val="09007E"/>
                  </a:solidFill>
                  <a:latin typeface="Arial"/>
                  <a:cs typeface="Arial"/>
                </a:rPr>
                <a:t>Generate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28575</xdr:colOff>
          <xdr:row>0</xdr:row>
          <xdr:rowOff>57150</xdr:rowOff>
        </xdr:from>
        <xdr:to>
          <xdr:col>9</xdr:col>
          <xdr:colOff>1019175</xdr:colOff>
          <xdr:row>2</xdr:row>
          <xdr:rowOff>85725</xdr:rowOff>
        </xdr:to>
        <xdr:sp macro="" textlink="">
          <xdr:nvSpPr>
            <xdr:cNvPr id="5529607" name="Button 7" hidden="1">
              <a:extLst>
                <a:ext uri="{63B3BB69-23CF-44E3-9099-C40C66FF867C}">
                  <a14:compatExt spid="_x0000_s5529607"/>
                </a:ext>
                <a:ext uri="{FF2B5EF4-FFF2-40B4-BE49-F238E27FC236}">
                  <a16:creationId xmlns:a16="http://schemas.microsoft.com/office/drawing/2014/main" id="{00000000-0008-0000-0300-000007605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9007E"/>
                  </a:solidFill>
                  <a:latin typeface="Arial"/>
                  <a:cs typeface="Arial"/>
                </a:rPr>
                <a:t>Load pKa</a:t>
              </a:r>
              <a:r>
                <a:rPr lang="en-US" sz="1000" b="0" i="0" u="none" strike="noStrike" baseline="0">
                  <a:solidFill>
                    <a:srgbClr val="09007E"/>
                  </a:solidFill>
                  <a:latin typeface="Arial"/>
                  <a:cs typeface="Arial"/>
                </a:rPr>
                <a:t>s </a:t>
              </a:r>
            </a:p>
            <a:p>
              <a:pPr algn="ctr" rtl="0">
                <a:defRPr sz="1000"/>
              </a:pPr>
              <a:r>
                <a:rPr lang="en-US" sz="1000" b="0" i="0" u="none" strike="noStrike" baseline="0">
                  <a:solidFill>
                    <a:srgbClr val="09007E"/>
                  </a:solidFill>
                  <a:latin typeface="Arial"/>
                  <a:cs typeface="Arial"/>
                </a:rPr>
                <a:t>of these H</a:t>
              </a:r>
              <a:r>
                <a:rPr lang="en-US" sz="1200" b="0" i="0" u="none" strike="noStrike" baseline="-25000">
                  <a:solidFill>
                    <a:srgbClr val="09007E"/>
                  </a:solidFill>
                  <a:latin typeface="Arial"/>
                  <a:cs typeface="Arial"/>
                </a:rPr>
                <a:t>i</a:t>
              </a:r>
              <a:r>
                <a:rPr lang="en-US" sz="1000" b="0" i="0" u="none" strike="noStrike" baseline="0">
                  <a:solidFill>
                    <a:srgbClr val="09007E"/>
                  </a:solidFill>
                  <a:latin typeface="Arial"/>
                  <a:cs typeface="Arial"/>
                </a:rPr>
                <a:t>B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xdr:row>
          <xdr:rowOff>0</xdr:rowOff>
        </xdr:from>
        <xdr:to>
          <xdr:col>11</xdr:col>
          <xdr:colOff>523875</xdr:colOff>
          <xdr:row>2</xdr:row>
          <xdr:rowOff>0</xdr:rowOff>
        </xdr:to>
        <xdr:sp macro="" textlink="">
          <xdr:nvSpPr>
            <xdr:cNvPr id="5529608" name="Drop Down 8" hidden="1">
              <a:extLst>
                <a:ext uri="{63B3BB69-23CF-44E3-9099-C40C66FF867C}">
                  <a14:compatExt spid="_x0000_s5529608"/>
                </a:ext>
                <a:ext uri="{FF2B5EF4-FFF2-40B4-BE49-F238E27FC236}">
                  <a16:creationId xmlns:a16="http://schemas.microsoft.com/office/drawing/2014/main" id="{00000000-0008-0000-0300-000008605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1</xdr:row>
          <xdr:rowOff>0</xdr:rowOff>
        </xdr:from>
        <xdr:to>
          <xdr:col>12</xdr:col>
          <xdr:colOff>571500</xdr:colOff>
          <xdr:row>2</xdr:row>
          <xdr:rowOff>0</xdr:rowOff>
        </xdr:to>
        <xdr:sp macro="" textlink="">
          <xdr:nvSpPr>
            <xdr:cNvPr id="5529609" name="Drop Down 9" hidden="1">
              <a:extLst>
                <a:ext uri="{63B3BB69-23CF-44E3-9099-C40C66FF867C}">
                  <a14:compatExt spid="_x0000_s5529609"/>
                </a:ext>
                <a:ext uri="{FF2B5EF4-FFF2-40B4-BE49-F238E27FC236}">
                  <a16:creationId xmlns:a16="http://schemas.microsoft.com/office/drawing/2014/main" id="{00000000-0008-0000-0300-000009605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1</xdr:row>
          <xdr:rowOff>0</xdr:rowOff>
        </xdr:from>
        <xdr:to>
          <xdr:col>13</xdr:col>
          <xdr:colOff>561975</xdr:colOff>
          <xdr:row>2</xdr:row>
          <xdr:rowOff>0</xdr:rowOff>
        </xdr:to>
        <xdr:sp macro="" textlink="">
          <xdr:nvSpPr>
            <xdr:cNvPr id="5529610" name="Drop Down 10" hidden="1">
              <a:extLst>
                <a:ext uri="{63B3BB69-23CF-44E3-9099-C40C66FF867C}">
                  <a14:compatExt spid="_x0000_s5529610"/>
                </a:ext>
                <a:ext uri="{FF2B5EF4-FFF2-40B4-BE49-F238E27FC236}">
                  <a16:creationId xmlns:a16="http://schemas.microsoft.com/office/drawing/2014/main" id="{00000000-0008-0000-0300-00000A605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xdr:row>
          <xdr:rowOff>0</xdr:rowOff>
        </xdr:from>
        <xdr:to>
          <xdr:col>14</xdr:col>
          <xdr:colOff>571500</xdr:colOff>
          <xdr:row>2</xdr:row>
          <xdr:rowOff>0</xdr:rowOff>
        </xdr:to>
        <xdr:sp macro="" textlink="">
          <xdr:nvSpPr>
            <xdr:cNvPr id="5529611" name="Drop Down 11" hidden="1">
              <a:extLst>
                <a:ext uri="{63B3BB69-23CF-44E3-9099-C40C66FF867C}">
                  <a14:compatExt spid="_x0000_s5529611"/>
                </a:ext>
                <a:ext uri="{FF2B5EF4-FFF2-40B4-BE49-F238E27FC236}">
                  <a16:creationId xmlns:a16="http://schemas.microsoft.com/office/drawing/2014/main" id="{00000000-0008-0000-0300-00000B605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1</xdr:row>
          <xdr:rowOff>0</xdr:rowOff>
        </xdr:from>
        <xdr:to>
          <xdr:col>15</xdr:col>
          <xdr:colOff>600075</xdr:colOff>
          <xdr:row>2</xdr:row>
          <xdr:rowOff>0</xdr:rowOff>
        </xdr:to>
        <xdr:sp macro="" textlink="">
          <xdr:nvSpPr>
            <xdr:cNvPr id="5529612" name="Drop Down 12" hidden="1">
              <a:extLst>
                <a:ext uri="{63B3BB69-23CF-44E3-9099-C40C66FF867C}">
                  <a14:compatExt spid="_x0000_s5529612"/>
                </a:ext>
                <a:ext uri="{FF2B5EF4-FFF2-40B4-BE49-F238E27FC236}">
                  <a16:creationId xmlns:a16="http://schemas.microsoft.com/office/drawing/2014/main" id="{00000000-0008-0000-0300-00000C605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1</xdr:row>
          <xdr:rowOff>0</xdr:rowOff>
        </xdr:from>
        <xdr:to>
          <xdr:col>16</xdr:col>
          <xdr:colOff>628650</xdr:colOff>
          <xdr:row>2</xdr:row>
          <xdr:rowOff>0</xdr:rowOff>
        </xdr:to>
        <xdr:sp macro="" textlink="">
          <xdr:nvSpPr>
            <xdr:cNvPr id="5529613" name="Drop Down 13" hidden="1">
              <a:extLst>
                <a:ext uri="{63B3BB69-23CF-44E3-9099-C40C66FF867C}">
                  <a14:compatExt spid="_x0000_s5529613"/>
                </a:ext>
                <a:ext uri="{FF2B5EF4-FFF2-40B4-BE49-F238E27FC236}">
                  <a16:creationId xmlns:a16="http://schemas.microsoft.com/office/drawing/2014/main" id="{00000000-0008-0000-0300-00000D605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xdr:colOff>
          <xdr:row>1</xdr:row>
          <xdr:rowOff>0</xdr:rowOff>
        </xdr:from>
        <xdr:to>
          <xdr:col>17</xdr:col>
          <xdr:colOff>247650</xdr:colOff>
          <xdr:row>2</xdr:row>
          <xdr:rowOff>0</xdr:rowOff>
        </xdr:to>
        <xdr:sp macro="" textlink="">
          <xdr:nvSpPr>
            <xdr:cNvPr id="5529614" name="Drop Down 14" hidden="1">
              <a:extLst>
                <a:ext uri="{63B3BB69-23CF-44E3-9099-C40C66FF867C}">
                  <a14:compatExt spid="_x0000_s5529614"/>
                </a:ext>
                <a:ext uri="{FF2B5EF4-FFF2-40B4-BE49-F238E27FC236}">
                  <a16:creationId xmlns:a16="http://schemas.microsoft.com/office/drawing/2014/main" id="{00000000-0008-0000-0300-00000E605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85725</xdr:colOff>
          <xdr:row>21</xdr:row>
          <xdr:rowOff>66675</xdr:rowOff>
        </xdr:from>
        <xdr:to>
          <xdr:col>0</xdr:col>
          <xdr:colOff>400050</xdr:colOff>
          <xdr:row>25</xdr:row>
          <xdr:rowOff>104775</xdr:rowOff>
        </xdr:to>
        <xdr:sp macro="" textlink="">
          <xdr:nvSpPr>
            <xdr:cNvPr id="5529675" name="Button 75" hidden="1">
              <a:extLst>
                <a:ext uri="{63B3BB69-23CF-44E3-9099-C40C66FF867C}">
                  <a14:compatExt spid="_x0000_s5529675"/>
                </a:ext>
                <a:ext uri="{FF2B5EF4-FFF2-40B4-BE49-F238E27FC236}">
                  <a16:creationId xmlns:a16="http://schemas.microsoft.com/office/drawing/2014/main" id="{00000000-0008-0000-0300-00004B605400}"/>
                </a:ext>
              </a:extLst>
            </xdr:cNvPr>
            <xdr:cNvSpPr/>
          </xdr:nvSpPr>
          <xdr:spPr bwMode="auto">
            <a:xfrm>
              <a:off x="0" y="0"/>
              <a:ext cx="0" cy="0"/>
            </a:xfrm>
            <a:prstGeom prst="rect">
              <a:avLst/>
            </a:prstGeom>
            <a:noFill/>
            <a:ln w="9525">
              <a:miter lim="800000"/>
              <a:headEnd/>
              <a:tailEnd/>
            </a:ln>
          </xdr:spPr>
          <xdr:txBody>
            <a:bodyPr vertOverflow="clip" vert="vert270" wrap="square" lIns="90000" tIns="46800" rIns="90000" bIns="46800" anchor="ctr" upright="1"/>
            <a:lstStyle/>
            <a:p>
              <a:pPr algn="ctr" rtl="0">
                <a:defRPr sz="1000"/>
              </a:pPr>
              <a:r>
                <a:rPr lang="en-US" sz="1100" b="1" i="0" u="none" strike="noStrike" baseline="0">
                  <a:solidFill>
                    <a:srgbClr val="09007E"/>
                  </a:solidFill>
                  <a:latin typeface="Arial"/>
                  <a:cs typeface="Arial"/>
                </a:rPr>
                <a:t>Reset</a:t>
              </a:r>
              <a:r>
                <a:rPr lang="en-US" sz="900" b="1" i="0" u="none" strike="noStrike" baseline="0">
                  <a:solidFill>
                    <a:srgbClr val="09007E"/>
                  </a:solidFill>
                  <a:latin typeface="Arial"/>
                  <a:cs typeface="Arial"/>
                </a:rPr>
                <a:t> </a:t>
              </a:r>
              <a:r>
                <a:rPr lang="en-US" sz="900" b="0" i="0" u="none" strike="noStrike" baseline="0">
                  <a:solidFill>
                    <a:srgbClr val="09007E"/>
                  </a:solidFill>
                  <a:latin typeface="Arial"/>
                  <a:cs typeface="Arial"/>
                </a:rPr>
                <a:t>(Vol=0)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581025</xdr:colOff>
          <xdr:row>24</xdr:row>
          <xdr:rowOff>123825</xdr:rowOff>
        </xdr:from>
        <xdr:to>
          <xdr:col>2</xdr:col>
          <xdr:colOff>304800</xdr:colOff>
          <xdr:row>25</xdr:row>
          <xdr:rowOff>142875</xdr:rowOff>
        </xdr:to>
        <xdr:sp macro="" textlink="">
          <xdr:nvSpPr>
            <xdr:cNvPr id="5529676" name="Button 76" hidden="1">
              <a:extLst>
                <a:ext uri="{63B3BB69-23CF-44E3-9099-C40C66FF867C}">
                  <a14:compatExt spid="_x0000_s5529676"/>
                </a:ext>
                <a:ext uri="{FF2B5EF4-FFF2-40B4-BE49-F238E27FC236}">
                  <a16:creationId xmlns:a16="http://schemas.microsoft.com/office/drawing/2014/main" id="{00000000-0008-0000-0300-00004C605400}"/>
                </a:ext>
              </a:extLst>
            </xdr:cNvPr>
            <xdr:cNvSpPr/>
          </xdr:nvSpPr>
          <xdr:spPr bwMode="auto">
            <a:xfrm>
              <a:off x="0" y="0"/>
              <a:ext cx="0" cy="0"/>
            </a:xfrm>
            <a:prstGeom prst="rect">
              <a:avLst/>
            </a:prstGeom>
            <a:noFill/>
            <a:ln w="9525">
              <a:miter lim="800000"/>
              <a:headEnd/>
              <a:tailEnd/>
            </a:ln>
          </xdr:spPr>
          <xdr:txBody>
            <a:bodyPr vertOverflow="clip" wrap="square" lIns="90000" tIns="46800" rIns="90000" bIns="46800" anchor="ctr" upright="1"/>
            <a:lstStyle/>
            <a:p>
              <a:pPr algn="ctr" rtl="0">
                <a:defRPr sz="1000"/>
              </a:pPr>
              <a:r>
                <a:rPr lang="en-US" sz="1000" b="1" i="0" u="none" strike="noStrike" baseline="0">
                  <a:solidFill>
                    <a:srgbClr val="09007E"/>
                  </a:solidFill>
                  <a:latin typeface="Arial"/>
                  <a:cs typeface="Arial"/>
                </a:rPr>
                <a:t>0.01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24</xdr:row>
          <xdr:rowOff>123825</xdr:rowOff>
        </xdr:from>
        <xdr:to>
          <xdr:col>1</xdr:col>
          <xdr:colOff>542925</xdr:colOff>
          <xdr:row>25</xdr:row>
          <xdr:rowOff>142875</xdr:rowOff>
        </xdr:to>
        <xdr:sp macro="" textlink="">
          <xdr:nvSpPr>
            <xdr:cNvPr id="5529677" name="Button 77" hidden="1">
              <a:extLst>
                <a:ext uri="{63B3BB69-23CF-44E3-9099-C40C66FF867C}">
                  <a14:compatExt spid="_x0000_s5529677"/>
                </a:ext>
                <a:ext uri="{FF2B5EF4-FFF2-40B4-BE49-F238E27FC236}">
                  <a16:creationId xmlns:a16="http://schemas.microsoft.com/office/drawing/2014/main" id="{00000000-0008-0000-0300-00004D605400}"/>
                </a:ext>
              </a:extLst>
            </xdr:cNvPr>
            <xdr:cNvSpPr/>
          </xdr:nvSpPr>
          <xdr:spPr bwMode="auto">
            <a:xfrm>
              <a:off x="0" y="0"/>
              <a:ext cx="0" cy="0"/>
            </a:xfrm>
            <a:prstGeom prst="rect">
              <a:avLst/>
            </a:prstGeom>
            <a:noFill/>
            <a:ln w="9525">
              <a:miter lim="800000"/>
              <a:headEnd/>
              <a:tailEnd/>
            </a:ln>
          </xdr:spPr>
          <xdr:txBody>
            <a:bodyPr vertOverflow="clip" wrap="square" lIns="90000" tIns="46800" rIns="90000" bIns="46800" anchor="ctr" upright="1"/>
            <a:lstStyle/>
            <a:p>
              <a:pPr algn="ctr" rtl="0">
                <a:defRPr sz="1000"/>
              </a:pPr>
              <a:r>
                <a:rPr lang="en-US" sz="1000" b="1" i="0" u="none" strike="noStrike" baseline="0">
                  <a:solidFill>
                    <a:srgbClr val="09007E"/>
                  </a:solidFill>
                  <a:latin typeface="Arial"/>
                  <a:cs typeface="Arial"/>
                </a:rPr>
                <a:t>0.02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457200</xdr:colOff>
          <xdr:row>24</xdr:row>
          <xdr:rowOff>123825</xdr:rowOff>
        </xdr:from>
        <xdr:to>
          <xdr:col>0</xdr:col>
          <xdr:colOff>962025</xdr:colOff>
          <xdr:row>25</xdr:row>
          <xdr:rowOff>142875</xdr:rowOff>
        </xdr:to>
        <xdr:sp macro="" textlink="">
          <xdr:nvSpPr>
            <xdr:cNvPr id="5529678" name="Button 78" hidden="1">
              <a:extLst>
                <a:ext uri="{63B3BB69-23CF-44E3-9099-C40C66FF867C}">
                  <a14:compatExt spid="_x0000_s5529678"/>
                </a:ext>
                <a:ext uri="{FF2B5EF4-FFF2-40B4-BE49-F238E27FC236}">
                  <a16:creationId xmlns:a16="http://schemas.microsoft.com/office/drawing/2014/main" id="{00000000-0008-0000-0300-00004E605400}"/>
                </a:ext>
              </a:extLst>
            </xdr:cNvPr>
            <xdr:cNvSpPr/>
          </xdr:nvSpPr>
          <xdr:spPr bwMode="auto">
            <a:xfrm>
              <a:off x="0" y="0"/>
              <a:ext cx="0" cy="0"/>
            </a:xfrm>
            <a:prstGeom prst="rect">
              <a:avLst/>
            </a:prstGeom>
            <a:noFill/>
            <a:ln w="9525">
              <a:miter lim="800000"/>
              <a:headEnd/>
              <a:tailEnd/>
            </a:ln>
          </xdr:spPr>
          <xdr:txBody>
            <a:bodyPr vertOverflow="clip" wrap="square" lIns="90000" tIns="46800" rIns="90000" bIns="46800" anchor="ctr" upright="1"/>
            <a:lstStyle/>
            <a:p>
              <a:pPr algn="ctr" rtl="0">
                <a:defRPr sz="1000"/>
              </a:pPr>
              <a:r>
                <a:rPr lang="en-US" sz="1000" b="1" i="0" u="none" strike="noStrike" baseline="0">
                  <a:solidFill>
                    <a:srgbClr val="09007E"/>
                  </a:solidFill>
                  <a:latin typeface="Arial"/>
                  <a:cs typeface="Arial"/>
                </a:rPr>
                <a:t>0.05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581025</xdr:colOff>
          <xdr:row>23</xdr:row>
          <xdr:rowOff>57150</xdr:rowOff>
        </xdr:from>
        <xdr:to>
          <xdr:col>2</xdr:col>
          <xdr:colOff>304800</xdr:colOff>
          <xdr:row>24</xdr:row>
          <xdr:rowOff>76200</xdr:rowOff>
        </xdr:to>
        <xdr:sp macro="" textlink="">
          <xdr:nvSpPr>
            <xdr:cNvPr id="5529679" name="Button 79" hidden="1">
              <a:extLst>
                <a:ext uri="{63B3BB69-23CF-44E3-9099-C40C66FF867C}">
                  <a14:compatExt spid="_x0000_s5529679"/>
                </a:ext>
                <a:ext uri="{FF2B5EF4-FFF2-40B4-BE49-F238E27FC236}">
                  <a16:creationId xmlns:a16="http://schemas.microsoft.com/office/drawing/2014/main" id="{00000000-0008-0000-0300-00004F605400}"/>
                </a:ext>
              </a:extLst>
            </xdr:cNvPr>
            <xdr:cNvSpPr/>
          </xdr:nvSpPr>
          <xdr:spPr bwMode="auto">
            <a:xfrm>
              <a:off x="0" y="0"/>
              <a:ext cx="0" cy="0"/>
            </a:xfrm>
            <a:prstGeom prst="rect">
              <a:avLst/>
            </a:prstGeom>
            <a:noFill/>
            <a:ln w="9525">
              <a:miter lim="800000"/>
              <a:headEnd/>
              <a:tailEnd/>
            </a:ln>
          </xdr:spPr>
          <xdr:txBody>
            <a:bodyPr vertOverflow="clip" wrap="square" lIns="90000" tIns="46800" rIns="90000" bIns="46800" anchor="ctr" upright="1"/>
            <a:lstStyle/>
            <a:p>
              <a:pPr algn="ctr" rtl="0">
                <a:defRPr sz="1000"/>
              </a:pPr>
              <a:r>
                <a:rPr lang="en-US" sz="1000" b="1" i="0" u="none" strike="noStrike" baseline="0">
                  <a:solidFill>
                    <a:srgbClr val="09007E"/>
                  </a:solidFill>
                  <a:latin typeface="Arial"/>
                  <a:cs typeface="Arial"/>
                </a:rPr>
                <a:t>0.10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xdr:colOff>
          <xdr:row>23</xdr:row>
          <xdr:rowOff>57150</xdr:rowOff>
        </xdr:from>
        <xdr:to>
          <xdr:col>1</xdr:col>
          <xdr:colOff>533400</xdr:colOff>
          <xdr:row>24</xdr:row>
          <xdr:rowOff>76200</xdr:rowOff>
        </xdr:to>
        <xdr:sp macro="" textlink="">
          <xdr:nvSpPr>
            <xdr:cNvPr id="5529680" name="Button 80" hidden="1">
              <a:extLst>
                <a:ext uri="{63B3BB69-23CF-44E3-9099-C40C66FF867C}">
                  <a14:compatExt spid="_x0000_s5529680"/>
                </a:ext>
                <a:ext uri="{FF2B5EF4-FFF2-40B4-BE49-F238E27FC236}">
                  <a16:creationId xmlns:a16="http://schemas.microsoft.com/office/drawing/2014/main" id="{00000000-0008-0000-0300-000050605400}"/>
                </a:ext>
              </a:extLst>
            </xdr:cNvPr>
            <xdr:cNvSpPr/>
          </xdr:nvSpPr>
          <xdr:spPr bwMode="auto">
            <a:xfrm>
              <a:off x="0" y="0"/>
              <a:ext cx="0" cy="0"/>
            </a:xfrm>
            <a:prstGeom prst="rect">
              <a:avLst/>
            </a:prstGeom>
            <a:noFill/>
            <a:ln w="9525">
              <a:miter lim="800000"/>
              <a:headEnd/>
              <a:tailEnd/>
            </a:ln>
          </xdr:spPr>
          <xdr:txBody>
            <a:bodyPr vertOverflow="clip" wrap="square" lIns="90000" tIns="46800" rIns="90000" bIns="46800" anchor="ctr" upright="1"/>
            <a:lstStyle/>
            <a:p>
              <a:pPr algn="ctr" rtl="0">
                <a:defRPr sz="1000"/>
              </a:pPr>
              <a:r>
                <a:rPr lang="en-US" sz="1000" b="1" i="0" u="none" strike="noStrike" baseline="0">
                  <a:solidFill>
                    <a:srgbClr val="09007E"/>
                  </a:solidFill>
                  <a:latin typeface="Arial"/>
                  <a:cs typeface="Arial"/>
                </a:rPr>
                <a:t>0.20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457200</xdr:colOff>
          <xdr:row>23</xdr:row>
          <xdr:rowOff>57150</xdr:rowOff>
        </xdr:from>
        <xdr:to>
          <xdr:col>0</xdr:col>
          <xdr:colOff>962025</xdr:colOff>
          <xdr:row>24</xdr:row>
          <xdr:rowOff>76200</xdr:rowOff>
        </xdr:to>
        <xdr:sp macro="" textlink="">
          <xdr:nvSpPr>
            <xdr:cNvPr id="5529681" name="Button 81" hidden="1">
              <a:extLst>
                <a:ext uri="{63B3BB69-23CF-44E3-9099-C40C66FF867C}">
                  <a14:compatExt spid="_x0000_s5529681"/>
                </a:ext>
                <a:ext uri="{FF2B5EF4-FFF2-40B4-BE49-F238E27FC236}">
                  <a16:creationId xmlns:a16="http://schemas.microsoft.com/office/drawing/2014/main" id="{00000000-0008-0000-0300-000051605400}"/>
                </a:ext>
              </a:extLst>
            </xdr:cNvPr>
            <xdr:cNvSpPr/>
          </xdr:nvSpPr>
          <xdr:spPr bwMode="auto">
            <a:xfrm>
              <a:off x="0" y="0"/>
              <a:ext cx="0" cy="0"/>
            </a:xfrm>
            <a:prstGeom prst="rect">
              <a:avLst/>
            </a:prstGeom>
            <a:noFill/>
            <a:ln w="9525">
              <a:miter lim="800000"/>
              <a:headEnd/>
              <a:tailEnd/>
            </a:ln>
          </xdr:spPr>
          <xdr:txBody>
            <a:bodyPr vertOverflow="clip" wrap="square" lIns="90000" tIns="46800" rIns="90000" bIns="46800" anchor="ctr" upright="1"/>
            <a:lstStyle/>
            <a:p>
              <a:pPr algn="ctr" rtl="0">
                <a:defRPr sz="1000"/>
              </a:pPr>
              <a:r>
                <a:rPr lang="en-US" sz="1000" b="1" i="0" u="none" strike="noStrike" baseline="0">
                  <a:solidFill>
                    <a:srgbClr val="09007E"/>
                  </a:solidFill>
                  <a:latin typeface="Arial"/>
                  <a:cs typeface="Arial"/>
                </a:rPr>
                <a:t>0.50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581025</xdr:colOff>
          <xdr:row>21</xdr:row>
          <xdr:rowOff>209550</xdr:rowOff>
        </xdr:from>
        <xdr:to>
          <xdr:col>2</xdr:col>
          <xdr:colOff>304800</xdr:colOff>
          <xdr:row>23</xdr:row>
          <xdr:rowOff>0</xdr:rowOff>
        </xdr:to>
        <xdr:sp macro="" textlink="">
          <xdr:nvSpPr>
            <xdr:cNvPr id="5529682" name="Button 82" hidden="1">
              <a:extLst>
                <a:ext uri="{63B3BB69-23CF-44E3-9099-C40C66FF867C}">
                  <a14:compatExt spid="_x0000_s5529682"/>
                </a:ext>
                <a:ext uri="{FF2B5EF4-FFF2-40B4-BE49-F238E27FC236}">
                  <a16:creationId xmlns:a16="http://schemas.microsoft.com/office/drawing/2014/main" id="{00000000-0008-0000-0300-000052605400}"/>
                </a:ext>
              </a:extLst>
            </xdr:cNvPr>
            <xdr:cNvSpPr/>
          </xdr:nvSpPr>
          <xdr:spPr bwMode="auto">
            <a:xfrm>
              <a:off x="0" y="0"/>
              <a:ext cx="0" cy="0"/>
            </a:xfrm>
            <a:prstGeom prst="rect">
              <a:avLst/>
            </a:prstGeom>
            <a:noFill/>
            <a:ln w="9525">
              <a:miter lim="800000"/>
              <a:headEnd/>
              <a:tailEnd/>
            </a:ln>
          </xdr:spPr>
          <xdr:txBody>
            <a:bodyPr vertOverflow="clip" wrap="square" lIns="90000" tIns="46800" rIns="90000" bIns="46800" anchor="ctr" upright="1"/>
            <a:lstStyle/>
            <a:p>
              <a:pPr algn="ctr" rtl="0">
                <a:defRPr sz="1000"/>
              </a:pPr>
              <a:r>
                <a:rPr lang="en-US" sz="1000" b="1" i="0" u="none" strike="noStrike" baseline="0">
                  <a:solidFill>
                    <a:srgbClr val="09007E"/>
                  </a:solidFill>
                  <a:latin typeface="Arial"/>
                  <a:cs typeface="Arial"/>
                </a:rPr>
                <a:t>1.00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xdr:colOff>
          <xdr:row>21</xdr:row>
          <xdr:rowOff>209550</xdr:rowOff>
        </xdr:from>
        <xdr:to>
          <xdr:col>1</xdr:col>
          <xdr:colOff>533400</xdr:colOff>
          <xdr:row>23</xdr:row>
          <xdr:rowOff>0</xdr:rowOff>
        </xdr:to>
        <xdr:sp macro="" textlink="">
          <xdr:nvSpPr>
            <xdr:cNvPr id="5529683" name="Button 83" hidden="1">
              <a:extLst>
                <a:ext uri="{63B3BB69-23CF-44E3-9099-C40C66FF867C}">
                  <a14:compatExt spid="_x0000_s5529683"/>
                </a:ext>
                <a:ext uri="{FF2B5EF4-FFF2-40B4-BE49-F238E27FC236}">
                  <a16:creationId xmlns:a16="http://schemas.microsoft.com/office/drawing/2014/main" id="{00000000-0008-0000-0300-000053605400}"/>
                </a:ext>
              </a:extLst>
            </xdr:cNvPr>
            <xdr:cNvSpPr/>
          </xdr:nvSpPr>
          <xdr:spPr bwMode="auto">
            <a:xfrm>
              <a:off x="0" y="0"/>
              <a:ext cx="0" cy="0"/>
            </a:xfrm>
            <a:prstGeom prst="rect">
              <a:avLst/>
            </a:prstGeom>
            <a:noFill/>
            <a:ln w="9525">
              <a:miter lim="800000"/>
              <a:headEnd/>
              <a:tailEnd/>
            </a:ln>
          </xdr:spPr>
          <xdr:txBody>
            <a:bodyPr vertOverflow="clip" wrap="square" lIns="90000" tIns="46800" rIns="90000" bIns="46800" anchor="ctr" upright="1"/>
            <a:lstStyle/>
            <a:p>
              <a:pPr algn="ctr" rtl="0">
                <a:defRPr sz="1000"/>
              </a:pPr>
              <a:r>
                <a:rPr lang="en-US" sz="1000" b="1" i="0" u="none" strike="noStrike" baseline="0">
                  <a:solidFill>
                    <a:srgbClr val="09007E"/>
                  </a:solidFill>
                  <a:latin typeface="Arial"/>
                  <a:cs typeface="Arial"/>
                </a:rPr>
                <a:t>2.00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457200</xdr:colOff>
          <xdr:row>21</xdr:row>
          <xdr:rowOff>209550</xdr:rowOff>
        </xdr:from>
        <xdr:to>
          <xdr:col>0</xdr:col>
          <xdr:colOff>962025</xdr:colOff>
          <xdr:row>23</xdr:row>
          <xdr:rowOff>0</xdr:rowOff>
        </xdr:to>
        <xdr:sp macro="" textlink="">
          <xdr:nvSpPr>
            <xdr:cNvPr id="5529684" name="Button 84" hidden="1">
              <a:extLst>
                <a:ext uri="{63B3BB69-23CF-44E3-9099-C40C66FF867C}">
                  <a14:compatExt spid="_x0000_s5529684"/>
                </a:ext>
                <a:ext uri="{FF2B5EF4-FFF2-40B4-BE49-F238E27FC236}">
                  <a16:creationId xmlns:a16="http://schemas.microsoft.com/office/drawing/2014/main" id="{00000000-0008-0000-0300-000054605400}"/>
                </a:ext>
              </a:extLst>
            </xdr:cNvPr>
            <xdr:cNvSpPr/>
          </xdr:nvSpPr>
          <xdr:spPr bwMode="auto">
            <a:xfrm>
              <a:off x="0" y="0"/>
              <a:ext cx="0" cy="0"/>
            </a:xfrm>
            <a:prstGeom prst="rect">
              <a:avLst/>
            </a:prstGeom>
            <a:noFill/>
            <a:ln w="9525">
              <a:miter lim="800000"/>
              <a:headEnd/>
              <a:tailEnd/>
            </a:ln>
          </xdr:spPr>
          <xdr:txBody>
            <a:bodyPr vertOverflow="clip" wrap="square" lIns="90000" tIns="46800" rIns="90000" bIns="46800" anchor="ctr" upright="1"/>
            <a:lstStyle/>
            <a:p>
              <a:pPr algn="ctr" rtl="0">
                <a:defRPr sz="1000"/>
              </a:pPr>
              <a:r>
                <a:rPr lang="en-US" sz="1000" b="1" i="0" u="none" strike="noStrike" baseline="0">
                  <a:solidFill>
                    <a:srgbClr val="09007E"/>
                  </a:solidFill>
                  <a:latin typeface="Arial"/>
                  <a:cs typeface="Arial"/>
                </a:rPr>
                <a:t>5.00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381000</xdr:colOff>
          <xdr:row>21</xdr:row>
          <xdr:rowOff>180975</xdr:rowOff>
        </xdr:from>
        <xdr:to>
          <xdr:col>2</xdr:col>
          <xdr:colOff>685800</xdr:colOff>
          <xdr:row>25</xdr:row>
          <xdr:rowOff>114300</xdr:rowOff>
        </xdr:to>
        <xdr:sp macro="" textlink="">
          <xdr:nvSpPr>
            <xdr:cNvPr id="5529685" name="Button 85" hidden="1">
              <a:extLst>
                <a:ext uri="{63B3BB69-23CF-44E3-9099-C40C66FF867C}">
                  <a14:compatExt spid="_x0000_s5529685"/>
                </a:ext>
                <a:ext uri="{FF2B5EF4-FFF2-40B4-BE49-F238E27FC236}">
                  <a16:creationId xmlns:a16="http://schemas.microsoft.com/office/drawing/2014/main" id="{00000000-0008-0000-0300-000055605400}"/>
                </a:ext>
              </a:extLst>
            </xdr:cNvPr>
            <xdr:cNvSpPr/>
          </xdr:nvSpPr>
          <xdr:spPr bwMode="auto">
            <a:xfrm>
              <a:off x="0" y="0"/>
              <a:ext cx="0" cy="0"/>
            </a:xfrm>
            <a:prstGeom prst="rect">
              <a:avLst/>
            </a:prstGeom>
            <a:noFill/>
            <a:ln w="9525">
              <a:miter lim="800000"/>
              <a:headEnd/>
              <a:tailEnd/>
            </a:ln>
          </xdr:spPr>
          <xdr:txBody>
            <a:bodyPr vertOverflow="clip" vert="vert270" wrap="square" lIns="90000" tIns="46800" rIns="90000" bIns="46800" anchor="ctr" upright="1"/>
            <a:lstStyle/>
            <a:p>
              <a:pPr algn="ctr" rtl="0">
                <a:defRPr sz="1000"/>
              </a:pPr>
              <a:r>
                <a:rPr lang="en-US" sz="1000" b="1" i="0" u="none" strike="noStrike" baseline="0">
                  <a:solidFill>
                    <a:srgbClr val="09007E"/>
                  </a:solidFill>
                  <a:latin typeface="Arial"/>
                  <a:cs typeface="Arial"/>
                </a:rPr>
                <a:t>Step 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447675</xdr:colOff>
          <xdr:row>24</xdr:row>
          <xdr:rowOff>9525</xdr:rowOff>
        </xdr:from>
        <xdr:to>
          <xdr:col>6</xdr:col>
          <xdr:colOff>19050</xdr:colOff>
          <xdr:row>24</xdr:row>
          <xdr:rowOff>171450</xdr:rowOff>
        </xdr:to>
        <xdr:sp macro="" textlink="">
          <xdr:nvSpPr>
            <xdr:cNvPr id="5529686" name="Check Box 86" hidden="1">
              <a:extLst>
                <a:ext uri="{63B3BB69-23CF-44E3-9099-C40C66FF867C}">
                  <a14:compatExt spid="_x0000_s5529686"/>
                </a:ext>
                <a:ext uri="{FF2B5EF4-FFF2-40B4-BE49-F238E27FC236}">
                  <a16:creationId xmlns:a16="http://schemas.microsoft.com/office/drawing/2014/main" id="{00000000-0008-0000-0300-000056605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447675</xdr:colOff>
          <xdr:row>25</xdr:row>
          <xdr:rowOff>0</xdr:rowOff>
        </xdr:from>
        <xdr:to>
          <xdr:col>5</xdr:col>
          <xdr:colOff>752475</xdr:colOff>
          <xdr:row>25</xdr:row>
          <xdr:rowOff>161925</xdr:rowOff>
        </xdr:to>
        <xdr:sp macro="" textlink="">
          <xdr:nvSpPr>
            <xdr:cNvPr id="5529687" name="Check Box 87" hidden="1">
              <a:extLst>
                <a:ext uri="{63B3BB69-23CF-44E3-9099-C40C66FF867C}">
                  <a14:compatExt spid="_x0000_s5529687"/>
                </a:ext>
                <a:ext uri="{FF2B5EF4-FFF2-40B4-BE49-F238E27FC236}">
                  <a16:creationId xmlns:a16="http://schemas.microsoft.com/office/drawing/2014/main" id="{00000000-0008-0000-0300-000057605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371475</xdr:colOff>
          <xdr:row>18</xdr:row>
          <xdr:rowOff>85725</xdr:rowOff>
        </xdr:from>
        <xdr:to>
          <xdr:col>3</xdr:col>
          <xdr:colOff>257175</xdr:colOff>
          <xdr:row>18</xdr:row>
          <xdr:rowOff>314325</xdr:rowOff>
        </xdr:to>
        <xdr:sp macro="" textlink="">
          <xdr:nvSpPr>
            <xdr:cNvPr id="5529701" name="Button 101" hidden="1">
              <a:extLst>
                <a:ext uri="{63B3BB69-23CF-44E3-9099-C40C66FF867C}">
                  <a14:compatExt spid="_x0000_s5529701"/>
                </a:ext>
                <a:ext uri="{FF2B5EF4-FFF2-40B4-BE49-F238E27FC236}">
                  <a16:creationId xmlns:a16="http://schemas.microsoft.com/office/drawing/2014/main" id="{00000000-0008-0000-0300-000065605400}"/>
                </a:ext>
              </a:extLst>
            </xdr:cNvPr>
            <xdr:cNvSpPr/>
          </xdr:nvSpPr>
          <xdr:spPr bwMode="auto">
            <a:xfrm>
              <a:off x="0" y="0"/>
              <a:ext cx="0" cy="0"/>
            </a:xfrm>
            <a:prstGeom prst="rect">
              <a:avLst/>
            </a:prstGeom>
            <a:noFill/>
            <a:ln w="9525">
              <a:miter lim="800000"/>
              <a:headEnd/>
              <a:tailEnd/>
            </a:ln>
          </xdr:spPr>
          <xdr:txBody>
            <a:bodyPr vertOverflow="clip" wrap="square" lIns="90000" tIns="46800" rIns="90000" bIns="46800" anchor="ctr" upright="1"/>
            <a:lstStyle/>
            <a:p>
              <a:pPr algn="ctr" rtl="0">
                <a:defRPr sz="1000"/>
              </a:pPr>
              <a:r>
                <a:rPr lang="en-US" sz="1000" b="1" i="0" u="none" strike="noStrike" baseline="0">
                  <a:solidFill>
                    <a:srgbClr val="09007E"/>
                  </a:solidFill>
                  <a:latin typeface="Arial"/>
                  <a:cs typeface="Arial"/>
                </a:rPr>
                <a:t>Show</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145676</xdr:colOff>
      <xdr:row>20</xdr:row>
      <xdr:rowOff>67235</xdr:rowOff>
    </xdr:from>
    <xdr:to>
      <xdr:col>11</xdr:col>
      <xdr:colOff>1042146</xdr:colOff>
      <xdr:row>37</xdr:row>
      <xdr:rowOff>112058</xdr:rowOff>
    </xdr:to>
    <xdr:grpSp>
      <xdr:nvGrpSpPr>
        <xdr:cNvPr id="5" name="Grupo 4">
          <a:extLst>
            <a:ext uri="{FF2B5EF4-FFF2-40B4-BE49-F238E27FC236}">
              <a16:creationId xmlns:a16="http://schemas.microsoft.com/office/drawing/2014/main" id="{00000000-0008-0000-0400-000005000000}"/>
            </a:ext>
          </a:extLst>
        </xdr:cNvPr>
        <xdr:cNvGrpSpPr/>
      </xdr:nvGrpSpPr>
      <xdr:grpSpPr>
        <a:xfrm>
          <a:off x="1826558" y="4247029"/>
          <a:ext cx="8796617" cy="4235823"/>
          <a:chOff x="1826558" y="4247029"/>
          <a:chExt cx="8796617" cy="4235823"/>
        </a:xfrm>
      </xdr:grpSpPr>
      <xdr:graphicFrame macro="">
        <xdr:nvGraphicFramePr>
          <xdr:cNvPr id="148397" name="Chart 1">
            <a:extLst>
              <a:ext uri="{FF2B5EF4-FFF2-40B4-BE49-F238E27FC236}">
                <a16:creationId xmlns:a16="http://schemas.microsoft.com/office/drawing/2014/main" id="{00000000-0008-0000-0400-0000AD430200}"/>
              </a:ext>
            </a:extLst>
          </xdr:cNvPr>
          <xdr:cNvGraphicFramePr>
            <a:graphicFrameLocks/>
          </xdr:cNvGraphicFramePr>
        </xdr:nvGraphicFramePr>
        <xdr:xfrm>
          <a:off x="1826558" y="4247029"/>
          <a:ext cx="8796617" cy="4235823"/>
        </xdr:xfrm>
        <a:graphic>
          <a:graphicData uri="http://schemas.openxmlformats.org/drawingml/2006/chart">
            <c:chart xmlns:c="http://schemas.openxmlformats.org/drawingml/2006/chart" xmlns:r="http://schemas.openxmlformats.org/officeDocument/2006/relationships" r:id="rId1"/>
          </a:graphicData>
        </a:graphic>
      </xdr:graphicFrame>
      <xdr:pic>
        <xdr:nvPicPr>
          <xdr:cNvPr id="148398" name="Picture 2" descr="curtipotp">
            <a:extLst>
              <a:ext uri="{FF2B5EF4-FFF2-40B4-BE49-F238E27FC236}">
                <a16:creationId xmlns:a16="http://schemas.microsoft.com/office/drawing/2014/main" id="{00000000-0008-0000-0400-0000AE430200}"/>
              </a:ext>
            </a:extLst>
          </xdr:cNvPr>
          <xdr:cNvPicPr>
            <a:picLocks noChangeAspect="1" noChangeArrowheads="1"/>
          </xdr:cNvPicPr>
        </xdr:nvPicPr>
        <xdr:blipFill>
          <a:blip xmlns:r="http://schemas.openxmlformats.org/officeDocument/2006/relationships" r:embed="rId2"/>
          <a:srcRect/>
          <a:stretch>
            <a:fillRect/>
          </a:stretch>
        </xdr:blipFill>
        <xdr:spPr bwMode="auto">
          <a:xfrm>
            <a:off x="9438714" y="4336677"/>
            <a:ext cx="996203" cy="235323"/>
          </a:xfrm>
          <a:prstGeom prst="rect">
            <a:avLst/>
          </a:prstGeom>
          <a:noFill/>
          <a:ln w="9525">
            <a:noFill/>
            <a:miter lim="800000"/>
            <a:headEnd/>
            <a:tailEnd/>
          </a:ln>
        </xdr:spPr>
      </xdr:pic>
    </xdr:grpSp>
    <xdr:clientData/>
  </xdr:twoCellAnchor>
  <xdr:twoCellAnchor>
    <xdr:from>
      <xdr:col>0</xdr:col>
      <xdr:colOff>1</xdr:colOff>
      <xdr:row>0</xdr:row>
      <xdr:rowOff>0</xdr:rowOff>
    </xdr:from>
    <xdr:to>
      <xdr:col>1</xdr:col>
      <xdr:colOff>257736</xdr:colOff>
      <xdr:row>0</xdr:row>
      <xdr:rowOff>285750</xdr:rowOff>
    </xdr:to>
    <xdr:pic>
      <xdr:nvPicPr>
        <xdr:cNvPr id="148399" name="Picture 11" descr="curtipotp">
          <a:extLst>
            <a:ext uri="{FF2B5EF4-FFF2-40B4-BE49-F238E27FC236}">
              <a16:creationId xmlns:a16="http://schemas.microsoft.com/office/drawing/2014/main" id="{00000000-0008-0000-0400-0000AF430200}"/>
            </a:ext>
          </a:extLst>
        </xdr:cNvPr>
        <xdr:cNvPicPr>
          <a:picLocks noChangeAspect="1" noChangeArrowheads="1"/>
        </xdr:cNvPicPr>
      </xdr:nvPicPr>
      <xdr:blipFill>
        <a:blip xmlns:r="http://schemas.openxmlformats.org/officeDocument/2006/relationships" r:embed="rId2"/>
        <a:srcRect/>
        <a:stretch>
          <a:fillRect/>
        </a:stretch>
      </xdr:blipFill>
      <xdr:spPr bwMode="auto">
        <a:xfrm>
          <a:off x="1" y="0"/>
          <a:ext cx="1154206" cy="28575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xdr:from>
          <xdr:col>0</xdr:col>
          <xdr:colOff>123825</xdr:colOff>
          <xdr:row>25</xdr:row>
          <xdr:rowOff>123825</xdr:rowOff>
        </xdr:from>
        <xdr:to>
          <xdr:col>2</xdr:col>
          <xdr:colOff>19050</xdr:colOff>
          <xdr:row>27</xdr:row>
          <xdr:rowOff>219075</xdr:rowOff>
        </xdr:to>
        <xdr:sp macro="" textlink="">
          <xdr:nvSpPr>
            <xdr:cNvPr id="147461" name="Button 5" hidden="1">
              <a:extLst>
                <a:ext uri="{63B3BB69-23CF-44E3-9099-C40C66FF867C}">
                  <a14:compatExt spid="_x0000_s147461"/>
                </a:ext>
                <a:ext uri="{FF2B5EF4-FFF2-40B4-BE49-F238E27FC236}">
                  <a16:creationId xmlns:a16="http://schemas.microsoft.com/office/drawing/2014/main" id="{00000000-0008-0000-0400-000005400200}"/>
                </a:ext>
              </a:extLst>
            </xdr:cNvPr>
            <xdr:cNvSpPr/>
          </xdr:nvSpPr>
          <xdr:spPr bwMode="auto">
            <a:xfrm>
              <a:off x="0" y="0"/>
              <a:ext cx="0" cy="0"/>
            </a:xfrm>
            <a:prstGeom prst="rect">
              <a:avLst/>
            </a:prstGeom>
            <a:noFill/>
            <a:ln w="9525">
              <a:miter lim="800000"/>
              <a:headEnd/>
              <a:tailEnd/>
            </a:ln>
          </xdr:spPr>
          <xdr:txBody>
            <a:bodyPr vertOverflow="clip" wrap="square" lIns="90000" tIns="46800" rIns="108000" bIns="46800" anchor="ctr" upright="1"/>
            <a:lstStyle/>
            <a:p>
              <a:pPr algn="ctr" rtl="0">
                <a:defRPr sz="1000"/>
              </a:pPr>
              <a:r>
                <a:rPr lang="en-US" sz="1000" b="1" i="0" u="none" strike="noStrike" baseline="0">
                  <a:solidFill>
                    <a:srgbClr val="09007E"/>
                  </a:solidFill>
                  <a:latin typeface="Arial"/>
                  <a:cs typeface="Arial"/>
                </a:rPr>
                <a:t>Titrate </a:t>
              </a:r>
              <a:r>
                <a:rPr lang="en-US" sz="1000" b="0" i="0" u="none" strike="noStrike" baseline="0">
                  <a:solidFill>
                    <a:srgbClr val="09007E"/>
                  </a:solidFill>
                  <a:latin typeface="Arial"/>
                  <a:cs typeface="Arial"/>
                </a:rPr>
                <a:t>with constant</a:t>
              </a:r>
            </a:p>
            <a:p>
              <a:pPr algn="ctr" rtl="0">
                <a:defRPr sz="1000"/>
              </a:pPr>
              <a:r>
                <a:rPr lang="en-US" sz="1000" b="1" i="0" u="none" strike="noStrike" baseline="0">
                  <a:solidFill>
                    <a:srgbClr val="09007E"/>
                  </a:solidFill>
                  <a:latin typeface="Arial"/>
                  <a:cs typeface="Arial"/>
                </a:rPr>
                <a:t>pH</a:t>
              </a:r>
              <a:r>
                <a:rPr lang="en-US" sz="1000" b="0" i="0" u="none" strike="noStrike" baseline="0">
                  <a:solidFill>
                    <a:srgbClr val="09007E"/>
                  </a:solidFill>
                  <a:latin typeface="Arial"/>
                  <a:cs typeface="Arial"/>
                </a:rPr>
                <a:t> increments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28</xdr:row>
          <xdr:rowOff>66675</xdr:rowOff>
        </xdr:from>
        <xdr:to>
          <xdr:col>2</xdr:col>
          <xdr:colOff>9525</xdr:colOff>
          <xdr:row>30</xdr:row>
          <xdr:rowOff>152400</xdr:rowOff>
        </xdr:to>
        <xdr:sp macro="" textlink="">
          <xdr:nvSpPr>
            <xdr:cNvPr id="147460" name="Button 4" hidden="1">
              <a:extLst>
                <a:ext uri="{63B3BB69-23CF-44E3-9099-C40C66FF867C}">
                  <a14:compatExt spid="_x0000_s147460"/>
                </a:ext>
                <a:ext uri="{FF2B5EF4-FFF2-40B4-BE49-F238E27FC236}">
                  <a16:creationId xmlns:a16="http://schemas.microsoft.com/office/drawing/2014/main" id="{00000000-0008-0000-0400-000004400200}"/>
                </a:ext>
              </a:extLst>
            </xdr:cNvPr>
            <xdr:cNvSpPr/>
          </xdr:nvSpPr>
          <xdr:spPr bwMode="auto">
            <a:xfrm>
              <a:off x="0" y="0"/>
              <a:ext cx="0" cy="0"/>
            </a:xfrm>
            <a:prstGeom prst="rect">
              <a:avLst/>
            </a:prstGeom>
            <a:noFill/>
            <a:ln w="9525">
              <a:miter lim="800000"/>
              <a:headEnd/>
              <a:tailEnd/>
            </a:ln>
          </xdr:spPr>
          <xdr:txBody>
            <a:bodyPr vertOverflow="clip" wrap="square" lIns="90000" tIns="46800" rIns="90000" bIns="46800" anchor="ctr" upright="1"/>
            <a:lstStyle/>
            <a:p>
              <a:pPr algn="ctr" rtl="0">
                <a:defRPr sz="1000"/>
              </a:pPr>
              <a:r>
                <a:rPr lang="en-US" sz="1000" b="1" i="0" u="none" strike="noStrike" baseline="0">
                  <a:solidFill>
                    <a:srgbClr val="09007E"/>
                  </a:solidFill>
                  <a:latin typeface="Arial"/>
                  <a:cs typeface="Arial"/>
                </a:rPr>
                <a:t>Titrate </a:t>
              </a:r>
              <a:r>
                <a:rPr lang="en-US" sz="1000" b="0" i="0" u="none" strike="noStrike" baseline="0">
                  <a:solidFill>
                    <a:srgbClr val="09007E"/>
                  </a:solidFill>
                  <a:latin typeface="Arial"/>
                  <a:cs typeface="Arial"/>
                </a:rPr>
                <a:t>with constant </a:t>
              </a:r>
            </a:p>
            <a:p>
              <a:pPr algn="ctr" rtl="0">
                <a:defRPr sz="1000"/>
              </a:pPr>
              <a:r>
                <a:rPr lang="en-US" sz="1000" b="1" i="0" u="none" strike="noStrike" baseline="0">
                  <a:solidFill>
                    <a:srgbClr val="09007E"/>
                  </a:solidFill>
                  <a:latin typeface="Arial"/>
                  <a:cs typeface="Arial"/>
                </a:rPr>
                <a:t>Volume</a:t>
              </a:r>
              <a:r>
                <a:rPr lang="en-US" sz="1000" b="0" i="0" u="none" strike="noStrike" baseline="0">
                  <a:solidFill>
                    <a:srgbClr val="09007E"/>
                  </a:solidFill>
                  <a:latin typeface="Arial"/>
                  <a:cs typeface="Arial"/>
                </a:rPr>
                <a:t> additions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85725</xdr:colOff>
          <xdr:row>30</xdr:row>
          <xdr:rowOff>247650</xdr:rowOff>
        </xdr:from>
        <xdr:to>
          <xdr:col>2</xdr:col>
          <xdr:colOff>9525</xdr:colOff>
          <xdr:row>32</xdr:row>
          <xdr:rowOff>57150</xdr:rowOff>
        </xdr:to>
        <xdr:sp macro="" textlink="">
          <xdr:nvSpPr>
            <xdr:cNvPr id="147462" name="Button 6" hidden="1">
              <a:extLst>
                <a:ext uri="{63B3BB69-23CF-44E3-9099-C40C66FF867C}">
                  <a14:compatExt spid="_x0000_s147462"/>
                </a:ext>
                <a:ext uri="{FF2B5EF4-FFF2-40B4-BE49-F238E27FC236}">
                  <a16:creationId xmlns:a16="http://schemas.microsoft.com/office/drawing/2014/main" id="{00000000-0008-0000-0400-0000064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9007E"/>
                  </a:solidFill>
                  <a:latin typeface="Arial"/>
                  <a:cs typeface="Arial"/>
                </a:rPr>
                <a:t>Retain </a:t>
              </a:r>
              <a:r>
                <a:rPr lang="en-US" sz="1000" b="0" i="0" u="none" strike="noStrike" baseline="0">
                  <a:solidFill>
                    <a:srgbClr val="09007E"/>
                  </a:solidFill>
                  <a:latin typeface="Arial"/>
                  <a:cs typeface="Arial"/>
                </a:rPr>
                <a:t>curve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32</xdr:row>
          <xdr:rowOff>161925</xdr:rowOff>
        </xdr:from>
        <xdr:to>
          <xdr:col>2</xdr:col>
          <xdr:colOff>0</xdr:colOff>
          <xdr:row>33</xdr:row>
          <xdr:rowOff>228600</xdr:rowOff>
        </xdr:to>
        <xdr:sp macro="" textlink="">
          <xdr:nvSpPr>
            <xdr:cNvPr id="147463" name="Button 7" hidden="1">
              <a:extLst>
                <a:ext uri="{63B3BB69-23CF-44E3-9099-C40C66FF867C}">
                  <a14:compatExt spid="_x0000_s147463"/>
                </a:ext>
                <a:ext uri="{FF2B5EF4-FFF2-40B4-BE49-F238E27FC236}">
                  <a16:creationId xmlns:a16="http://schemas.microsoft.com/office/drawing/2014/main" id="{00000000-0008-0000-0400-0000074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9007E"/>
                  </a:solidFill>
                  <a:latin typeface="Arial"/>
                  <a:cs typeface="Arial"/>
                </a:rPr>
                <a:t>Delete</a:t>
              </a:r>
              <a:r>
                <a:rPr lang="en-US" sz="1000" b="0" i="0" u="none" strike="noStrike" baseline="0">
                  <a:solidFill>
                    <a:srgbClr val="09007E"/>
                  </a:solidFill>
                  <a:latin typeface="Arial"/>
                  <a:cs typeface="Arial"/>
                </a:rPr>
                <a:t> retained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47625</xdr:colOff>
          <xdr:row>0</xdr:row>
          <xdr:rowOff>57150</xdr:rowOff>
        </xdr:from>
        <xdr:to>
          <xdr:col>9</xdr:col>
          <xdr:colOff>1019175</xdr:colOff>
          <xdr:row>2</xdr:row>
          <xdr:rowOff>85725</xdr:rowOff>
        </xdr:to>
        <xdr:sp macro="" textlink="">
          <xdr:nvSpPr>
            <xdr:cNvPr id="148336" name="Button 880" hidden="1">
              <a:extLst>
                <a:ext uri="{63B3BB69-23CF-44E3-9099-C40C66FF867C}">
                  <a14:compatExt spid="_x0000_s148336"/>
                </a:ext>
                <a:ext uri="{FF2B5EF4-FFF2-40B4-BE49-F238E27FC236}">
                  <a16:creationId xmlns:a16="http://schemas.microsoft.com/office/drawing/2014/main" id="{00000000-0008-0000-0400-00007043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9007E"/>
                  </a:solidFill>
                  <a:latin typeface="Arial"/>
                  <a:cs typeface="Arial"/>
                </a:rPr>
                <a:t>Load pKa</a:t>
              </a:r>
              <a:r>
                <a:rPr lang="en-US" sz="1000" b="0" i="0" u="none" strike="noStrike" baseline="0">
                  <a:solidFill>
                    <a:srgbClr val="09007E"/>
                  </a:solidFill>
                  <a:latin typeface="Arial"/>
                  <a:cs typeface="Arial"/>
                </a:rPr>
                <a:t>s </a:t>
              </a:r>
            </a:p>
            <a:p>
              <a:pPr algn="ctr" rtl="0">
                <a:defRPr sz="1000"/>
              </a:pPr>
              <a:r>
                <a:rPr lang="en-US" sz="1000" b="0" i="0" u="none" strike="noStrike" baseline="0">
                  <a:solidFill>
                    <a:srgbClr val="09007E"/>
                  </a:solidFill>
                  <a:latin typeface="Arial"/>
                  <a:cs typeface="Arial"/>
                </a:rPr>
                <a:t>of these H</a:t>
              </a:r>
              <a:r>
                <a:rPr lang="en-US" sz="1200" b="0" i="0" u="none" strike="noStrike" baseline="-25000">
                  <a:solidFill>
                    <a:srgbClr val="09007E"/>
                  </a:solidFill>
                  <a:latin typeface="Arial"/>
                  <a:cs typeface="Arial"/>
                </a:rPr>
                <a:t>i</a:t>
              </a:r>
              <a:r>
                <a:rPr lang="en-US" sz="1000" b="0" i="0" u="none" strike="noStrike" baseline="0">
                  <a:solidFill>
                    <a:srgbClr val="09007E"/>
                  </a:solidFill>
                  <a:latin typeface="Arial"/>
                  <a:cs typeface="Arial"/>
                </a:rPr>
                <a:t>B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xdr:row>
          <xdr:rowOff>0</xdr:rowOff>
        </xdr:from>
        <xdr:to>
          <xdr:col>11</xdr:col>
          <xdr:colOff>533400</xdr:colOff>
          <xdr:row>2</xdr:row>
          <xdr:rowOff>0</xdr:rowOff>
        </xdr:to>
        <xdr:sp macro="" textlink="">
          <xdr:nvSpPr>
            <xdr:cNvPr id="148346" name="Drop Down 890" hidden="1">
              <a:extLst>
                <a:ext uri="{63B3BB69-23CF-44E3-9099-C40C66FF867C}">
                  <a14:compatExt spid="_x0000_s148346"/>
                </a:ext>
                <a:ext uri="{FF2B5EF4-FFF2-40B4-BE49-F238E27FC236}">
                  <a16:creationId xmlns:a16="http://schemas.microsoft.com/office/drawing/2014/main" id="{00000000-0008-0000-0400-00007A43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xdr:row>
          <xdr:rowOff>0</xdr:rowOff>
        </xdr:from>
        <xdr:to>
          <xdr:col>12</xdr:col>
          <xdr:colOff>523875</xdr:colOff>
          <xdr:row>2</xdr:row>
          <xdr:rowOff>0</xdr:rowOff>
        </xdr:to>
        <xdr:sp macro="" textlink="">
          <xdr:nvSpPr>
            <xdr:cNvPr id="148347" name="Drop Down 891" hidden="1">
              <a:extLst>
                <a:ext uri="{63B3BB69-23CF-44E3-9099-C40C66FF867C}">
                  <a14:compatExt spid="_x0000_s148347"/>
                </a:ext>
                <a:ext uri="{FF2B5EF4-FFF2-40B4-BE49-F238E27FC236}">
                  <a16:creationId xmlns:a16="http://schemas.microsoft.com/office/drawing/2014/main" id="{00000000-0008-0000-0400-00007B43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xdr:row>
          <xdr:rowOff>0</xdr:rowOff>
        </xdr:from>
        <xdr:to>
          <xdr:col>13</xdr:col>
          <xdr:colOff>552450</xdr:colOff>
          <xdr:row>2</xdr:row>
          <xdr:rowOff>0</xdr:rowOff>
        </xdr:to>
        <xdr:sp macro="" textlink="">
          <xdr:nvSpPr>
            <xdr:cNvPr id="148348" name="Drop Down 892" hidden="1">
              <a:extLst>
                <a:ext uri="{63B3BB69-23CF-44E3-9099-C40C66FF867C}">
                  <a14:compatExt spid="_x0000_s148348"/>
                </a:ext>
                <a:ext uri="{FF2B5EF4-FFF2-40B4-BE49-F238E27FC236}">
                  <a16:creationId xmlns:a16="http://schemas.microsoft.com/office/drawing/2014/main" id="{00000000-0008-0000-0400-00007C43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xdr:row>
          <xdr:rowOff>0</xdr:rowOff>
        </xdr:from>
        <xdr:to>
          <xdr:col>14</xdr:col>
          <xdr:colOff>457200</xdr:colOff>
          <xdr:row>2</xdr:row>
          <xdr:rowOff>0</xdr:rowOff>
        </xdr:to>
        <xdr:sp macro="" textlink="">
          <xdr:nvSpPr>
            <xdr:cNvPr id="148349" name="Drop Down 893" hidden="1">
              <a:extLst>
                <a:ext uri="{63B3BB69-23CF-44E3-9099-C40C66FF867C}">
                  <a14:compatExt spid="_x0000_s148349"/>
                </a:ext>
                <a:ext uri="{FF2B5EF4-FFF2-40B4-BE49-F238E27FC236}">
                  <a16:creationId xmlns:a16="http://schemas.microsoft.com/office/drawing/2014/main" id="{00000000-0008-0000-0400-00007D43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xdr:row>
          <xdr:rowOff>0</xdr:rowOff>
        </xdr:from>
        <xdr:to>
          <xdr:col>15</xdr:col>
          <xdr:colOff>542925</xdr:colOff>
          <xdr:row>2</xdr:row>
          <xdr:rowOff>0</xdr:rowOff>
        </xdr:to>
        <xdr:sp macro="" textlink="">
          <xdr:nvSpPr>
            <xdr:cNvPr id="148350" name="Drop Down 894" hidden="1">
              <a:extLst>
                <a:ext uri="{63B3BB69-23CF-44E3-9099-C40C66FF867C}">
                  <a14:compatExt spid="_x0000_s148350"/>
                </a:ext>
                <a:ext uri="{FF2B5EF4-FFF2-40B4-BE49-F238E27FC236}">
                  <a16:creationId xmlns:a16="http://schemas.microsoft.com/office/drawing/2014/main" id="{00000000-0008-0000-0400-00007E43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xdr:row>
          <xdr:rowOff>0</xdr:rowOff>
        </xdr:from>
        <xdr:to>
          <xdr:col>16</xdr:col>
          <xdr:colOff>457200</xdr:colOff>
          <xdr:row>2</xdr:row>
          <xdr:rowOff>0</xdr:rowOff>
        </xdr:to>
        <xdr:sp macro="" textlink="">
          <xdr:nvSpPr>
            <xdr:cNvPr id="148351" name="Drop Down 895" hidden="1">
              <a:extLst>
                <a:ext uri="{63B3BB69-23CF-44E3-9099-C40C66FF867C}">
                  <a14:compatExt spid="_x0000_s148351"/>
                </a:ext>
                <a:ext uri="{FF2B5EF4-FFF2-40B4-BE49-F238E27FC236}">
                  <a16:creationId xmlns:a16="http://schemas.microsoft.com/office/drawing/2014/main" id="{00000000-0008-0000-0400-00007F43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xdr:row>
          <xdr:rowOff>0</xdr:rowOff>
        </xdr:from>
        <xdr:to>
          <xdr:col>17</xdr:col>
          <xdr:colOff>228600</xdr:colOff>
          <xdr:row>2</xdr:row>
          <xdr:rowOff>0</xdr:rowOff>
        </xdr:to>
        <xdr:sp macro="" textlink="">
          <xdr:nvSpPr>
            <xdr:cNvPr id="148352" name="Drop Down 896" hidden="1">
              <a:extLst>
                <a:ext uri="{63B3BB69-23CF-44E3-9099-C40C66FF867C}">
                  <a14:compatExt spid="_x0000_s148352"/>
                </a:ext>
                <a:ext uri="{FF2B5EF4-FFF2-40B4-BE49-F238E27FC236}">
                  <a16:creationId xmlns:a16="http://schemas.microsoft.com/office/drawing/2014/main" id="{00000000-0008-0000-0400-00008043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20</xdr:row>
          <xdr:rowOff>171450</xdr:rowOff>
        </xdr:from>
        <xdr:to>
          <xdr:col>2</xdr:col>
          <xdr:colOff>38100</xdr:colOff>
          <xdr:row>23</xdr:row>
          <xdr:rowOff>66675</xdr:rowOff>
        </xdr:to>
        <xdr:sp macro="" textlink="">
          <xdr:nvSpPr>
            <xdr:cNvPr id="148391" name="Group Box 935" hidden="1">
              <a:extLst>
                <a:ext uri="{63B3BB69-23CF-44E3-9099-C40C66FF867C}">
                  <a14:compatExt spid="_x0000_s148391"/>
                </a:ext>
                <a:ext uri="{FF2B5EF4-FFF2-40B4-BE49-F238E27FC236}">
                  <a16:creationId xmlns:a16="http://schemas.microsoft.com/office/drawing/2014/main" id="{00000000-0008-0000-0400-0000A743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Concentrations or activities?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190500</xdr:colOff>
          <xdr:row>21</xdr:row>
          <xdr:rowOff>38100</xdr:rowOff>
        </xdr:from>
        <xdr:to>
          <xdr:col>1</xdr:col>
          <xdr:colOff>609600</xdr:colOff>
          <xdr:row>22</xdr:row>
          <xdr:rowOff>9525</xdr:rowOff>
        </xdr:to>
        <xdr:sp macro="" textlink="">
          <xdr:nvSpPr>
            <xdr:cNvPr id="148392" name="Option Button 936" hidden="1">
              <a:extLst>
                <a:ext uri="{63B3BB69-23CF-44E3-9099-C40C66FF867C}">
                  <a14:compatExt spid="_x0000_s148392"/>
                </a:ext>
                <a:ext uri="{FF2B5EF4-FFF2-40B4-BE49-F238E27FC236}">
                  <a16:creationId xmlns:a16="http://schemas.microsoft.com/office/drawing/2014/main" id="{00000000-0008-0000-0400-0000A843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Concentr.,  plot "pH"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190500</xdr:colOff>
          <xdr:row>22</xdr:row>
          <xdr:rowOff>47625</xdr:rowOff>
        </xdr:from>
        <xdr:to>
          <xdr:col>1</xdr:col>
          <xdr:colOff>581025</xdr:colOff>
          <xdr:row>23</xdr:row>
          <xdr:rowOff>0</xdr:rowOff>
        </xdr:to>
        <xdr:sp macro="" textlink="">
          <xdr:nvSpPr>
            <xdr:cNvPr id="148393" name="Option Button 937" hidden="1">
              <a:extLst>
                <a:ext uri="{63B3BB69-23CF-44E3-9099-C40C66FF867C}">
                  <a14:compatExt spid="_x0000_s148393"/>
                </a:ext>
                <a:ext uri="{FF2B5EF4-FFF2-40B4-BE49-F238E27FC236}">
                  <a16:creationId xmlns:a16="http://schemas.microsoft.com/office/drawing/2014/main" id="{00000000-0008-0000-0400-0000A943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Activities,  plot   pH</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133350</xdr:colOff>
          <xdr:row>23</xdr:row>
          <xdr:rowOff>171450</xdr:rowOff>
        </xdr:from>
        <xdr:to>
          <xdr:col>2</xdr:col>
          <xdr:colOff>28575</xdr:colOff>
          <xdr:row>24</xdr:row>
          <xdr:rowOff>247650</xdr:rowOff>
        </xdr:to>
        <xdr:sp macro="" textlink="">
          <xdr:nvSpPr>
            <xdr:cNvPr id="148431" name="Button 7" hidden="1">
              <a:extLst>
                <a:ext uri="{63B3BB69-23CF-44E3-9099-C40C66FF867C}">
                  <a14:compatExt spid="_x0000_s148431"/>
                </a:ext>
                <a:ext uri="{FF2B5EF4-FFF2-40B4-BE49-F238E27FC236}">
                  <a16:creationId xmlns:a16="http://schemas.microsoft.com/office/drawing/2014/main" id="{00000000-0008-0000-0400-0000CF43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9007E"/>
                  </a:solidFill>
                  <a:latin typeface="Arial"/>
                  <a:cs typeface="Arial"/>
                </a:rPr>
                <a:t>Delete</a:t>
              </a:r>
              <a:r>
                <a:rPr lang="en-US" sz="1000" b="0" i="0" u="none" strike="noStrike" baseline="0">
                  <a:solidFill>
                    <a:srgbClr val="09007E"/>
                  </a:solidFill>
                  <a:latin typeface="Arial"/>
                  <a:cs typeface="Arial"/>
                </a:rPr>
                <a:t> all curves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34</xdr:row>
          <xdr:rowOff>85725</xdr:rowOff>
        </xdr:from>
        <xdr:to>
          <xdr:col>1</xdr:col>
          <xdr:colOff>771525</xdr:colOff>
          <xdr:row>35</xdr:row>
          <xdr:rowOff>152400</xdr:rowOff>
        </xdr:to>
        <xdr:sp macro="" textlink="">
          <xdr:nvSpPr>
            <xdr:cNvPr id="148432" name="Button 6" hidden="1">
              <a:extLst>
                <a:ext uri="{63B3BB69-23CF-44E3-9099-C40C66FF867C}">
                  <a14:compatExt spid="_x0000_s148432"/>
                </a:ext>
                <a:ext uri="{FF2B5EF4-FFF2-40B4-BE49-F238E27FC236}">
                  <a16:creationId xmlns:a16="http://schemas.microsoft.com/office/drawing/2014/main" id="{00000000-0008-0000-0400-0000D043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9007E"/>
                  </a:solidFill>
                  <a:latin typeface="Arial"/>
                  <a:cs typeface="Arial"/>
                </a:rPr>
                <a:t>Copy </a:t>
              </a:r>
              <a:r>
                <a:rPr lang="en-US" sz="1000" b="0" i="0" u="none" strike="noStrike" baseline="0">
                  <a:solidFill>
                    <a:srgbClr val="09007E"/>
                  </a:solidFill>
                  <a:latin typeface="Arial"/>
                  <a:cs typeface="Arial"/>
                </a:rPr>
                <a:t>from </a:t>
              </a:r>
              <a:r>
                <a:rPr lang="en-US" sz="1000" b="1" i="0" u="none" strike="noStrike" baseline="0">
                  <a:solidFill>
                    <a:srgbClr val="09007E"/>
                  </a:solidFill>
                  <a:latin typeface="Arial"/>
                  <a:cs typeface="Arial"/>
                </a:rPr>
                <a:t>Evaluation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36</xdr:row>
          <xdr:rowOff>19050</xdr:rowOff>
        </xdr:from>
        <xdr:to>
          <xdr:col>1</xdr:col>
          <xdr:colOff>771525</xdr:colOff>
          <xdr:row>37</xdr:row>
          <xdr:rowOff>85725</xdr:rowOff>
        </xdr:to>
        <xdr:sp macro="" textlink="">
          <xdr:nvSpPr>
            <xdr:cNvPr id="148447" name="Button 6" hidden="1">
              <a:extLst>
                <a:ext uri="{63B3BB69-23CF-44E3-9099-C40C66FF867C}">
                  <a14:compatExt spid="_x0000_s148447"/>
                </a:ext>
                <a:ext uri="{FF2B5EF4-FFF2-40B4-BE49-F238E27FC236}">
                  <a16:creationId xmlns:a16="http://schemas.microsoft.com/office/drawing/2014/main" id="{00000000-0008-0000-0400-0000DF43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9007E"/>
                  </a:solidFill>
                  <a:latin typeface="Arial"/>
                  <a:cs typeface="Arial"/>
                </a:rPr>
                <a:t>Copy </a:t>
              </a:r>
              <a:r>
                <a:rPr lang="en-US" sz="1000" b="0" i="0" u="none" strike="noStrike" baseline="0">
                  <a:solidFill>
                    <a:srgbClr val="09007E"/>
                  </a:solidFill>
                  <a:latin typeface="Arial"/>
                  <a:cs typeface="Arial"/>
                </a:rPr>
                <a:t>from </a:t>
              </a:r>
              <a:r>
                <a:rPr lang="en-US" sz="1000" b="1" i="0" u="none" strike="noStrike" baseline="0">
                  <a:solidFill>
                    <a:srgbClr val="09007E"/>
                  </a:solidFill>
                  <a:latin typeface="Arial"/>
                  <a:cs typeface="Arial"/>
                </a:rPr>
                <a:t>Regression</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0</xdr:colOff>
      <xdr:row>12</xdr:row>
      <xdr:rowOff>76200</xdr:rowOff>
    </xdr:from>
    <xdr:to>
      <xdr:col>7</xdr:col>
      <xdr:colOff>381000</xdr:colOff>
      <xdr:row>35</xdr:row>
      <xdr:rowOff>85725</xdr:rowOff>
    </xdr:to>
    <xdr:graphicFrame macro="">
      <xdr:nvGraphicFramePr>
        <xdr:cNvPr id="5521139" name="Chart 1">
          <a:extLst>
            <a:ext uri="{FF2B5EF4-FFF2-40B4-BE49-F238E27FC236}">
              <a16:creationId xmlns:a16="http://schemas.microsoft.com/office/drawing/2014/main" id="{00000000-0008-0000-0500-0000F33E5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105</xdr:row>
      <xdr:rowOff>123825</xdr:rowOff>
    </xdr:from>
    <xdr:to>
      <xdr:col>7</xdr:col>
      <xdr:colOff>400050</xdr:colOff>
      <xdr:row>129</xdr:row>
      <xdr:rowOff>142875</xdr:rowOff>
    </xdr:to>
    <xdr:graphicFrame macro="">
      <xdr:nvGraphicFramePr>
        <xdr:cNvPr id="5521140" name="Chart 2">
          <a:extLst>
            <a:ext uri="{FF2B5EF4-FFF2-40B4-BE49-F238E27FC236}">
              <a16:creationId xmlns:a16="http://schemas.microsoft.com/office/drawing/2014/main" id="{00000000-0008-0000-0500-0000F43E5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495300</xdr:colOff>
      <xdr:row>12</xdr:row>
      <xdr:rowOff>76200</xdr:rowOff>
    </xdr:from>
    <xdr:to>
      <xdr:col>13</xdr:col>
      <xdr:colOff>361950</xdr:colOff>
      <xdr:row>35</xdr:row>
      <xdr:rowOff>95250</xdr:rowOff>
    </xdr:to>
    <xdr:graphicFrame macro="">
      <xdr:nvGraphicFramePr>
        <xdr:cNvPr id="5521141" name="Chart 30">
          <a:extLst>
            <a:ext uri="{FF2B5EF4-FFF2-40B4-BE49-F238E27FC236}">
              <a16:creationId xmlns:a16="http://schemas.microsoft.com/office/drawing/2014/main" id="{00000000-0008-0000-0500-0000F53E5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523875</xdr:colOff>
      <xdr:row>105</xdr:row>
      <xdr:rowOff>133350</xdr:rowOff>
    </xdr:from>
    <xdr:to>
      <xdr:col>13</xdr:col>
      <xdr:colOff>438150</xdr:colOff>
      <xdr:row>129</xdr:row>
      <xdr:rowOff>152400</xdr:rowOff>
    </xdr:to>
    <xdr:graphicFrame macro="">
      <xdr:nvGraphicFramePr>
        <xdr:cNvPr id="5521142" name="Chart 31">
          <a:extLst>
            <a:ext uri="{FF2B5EF4-FFF2-40B4-BE49-F238E27FC236}">
              <a16:creationId xmlns:a16="http://schemas.microsoft.com/office/drawing/2014/main" id="{00000000-0008-0000-0500-0000F63E5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59</xdr:row>
      <xdr:rowOff>85725</xdr:rowOff>
    </xdr:from>
    <xdr:to>
      <xdr:col>7</xdr:col>
      <xdr:colOff>400050</xdr:colOff>
      <xdr:row>81</xdr:row>
      <xdr:rowOff>133350</xdr:rowOff>
    </xdr:to>
    <xdr:graphicFrame macro="">
      <xdr:nvGraphicFramePr>
        <xdr:cNvPr id="5521143" name="Chart 34">
          <a:extLst>
            <a:ext uri="{FF2B5EF4-FFF2-40B4-BE49-F238E27FC236}">
              <a16:creationId xmlns:a16="http://schemas.microsoft.com/office/drawing/2014/main" id="{00000000-0008-0000-0500-0000F73E5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504825</xdr:colOff>
      <xdr:row>59</xdr:row>
      <xdr:rowOff>74001</xdr:rowOff>
    </xdr:from>
    <xdr:to>
      <xdr:col>13</xdr:col>
      <xdr:colOff>400050</xdr:colOff>
      <xdr:row>81</xdr:row>
      <xdr:rowOff>121626</xdr:rowOff>
    </xdr:to>
    <xdr:graphicFrame macro="">
      <xdr:nvGraphicFramePr>
        <xdr:cNvPr id="5521144" name="Chart 34">
          <a:extLst>
            <a:ext uri="{FF2B5EF4-FFF2-40B4-BE49-F238E27FC236}">
              <a16:creationId xmlns:a16="http://schemas.microsoft.com/office/drawing/2014/main" id="{00000000-0008-0000-0500-0000F83E5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36</xdr:row>
      <xdr:rowOff>57150</xdr:rowOff>
    </xdr:from>
    <xdr:to>
      <xdr:col>7</xdr:col>
      <xdr:colOff>400050</xdr:colOff>
      <xdr:row>58</xdr:row>
      <xdr:rowOff>133350</xdr:rowOff>
    </xdr:to>
    <xdr:graphicFrame macro="">
      <xdr:nvGraphicFramePr>
        <xdr:cNvPr id="5521153" name="Chart 2">
          <a:extLst>
            <a:ext uri="{FF2B5EF4-FFF2-40B4-BE49-F238E27FC236}">
              <a16:creationId xmlns:a16="http://schemas.microsoft.com/office/drawing/2014/main" id="{00000000-0008-0000-0500-0000013F5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495300</xdr:colOff>
      <xdr:row>36</xdr:row>
      <xdr:rowOff>57150</xdr:rowOff>
    </xdr:from>
    <xdr:to>
      <xdr:col>13</xdr:col>
      <xdr:colOff>381000</xdr:colOff>
      <xdr:row>58</xdr:row>
      <xdr:rowOff>142875</xdr:rowOff>
    </xdr:to>
    <xdr:graphicFrame macro="">
      <xdr:nvGraphicFramePr>
        <xdr:cNvPr id="5521154" name="Chart 31">
          <a:extLst>
            <a:ext uri="{FF2B5EF4-FFF2-40B4-BE49-F238E27FC236}">
              <a16:creationId xmlns:a16="http://schemas.microsoft.com/office/drawing/2014/main" id="{00000000-0008-0000-0500-0000023F5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82</xdr:row>
      <xdr:rowOff>66675</xdr:rowOff>
    </xdr:from>
    <xdr:to>
      <xdr:col>7</xdr:col>
      <xdr:colOff>400050</xdr:colOff>
      <xdr:row>105</xdr:row>
      <xdr:rowOff>38100</xdr:rowOff>
    </xdr:to>
    <xdr:graphicFrame macro="">
      <xdr:nvGraphicFramePr>
        <xdr:cNvPr id="5521155" name="Chart 2">
          <a:extLst>
            <a:ext uri="{FF2B5EF4-FFF2-40B4-BE49-F238E27FC236}">
              <a16:creationId xmlns:a16="http://schemas.microsoft.com/office/drawing/2014/main" id="{00000000-0008-0000-0500-0000033F5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514350</xdr:colOff>
      <xdr:row>82</xdr:row>
      <xdr:rowOff>66675</xdr:rowOff>
    </xdr:from>
    <xdr:to>
      <xdr:col>13</xdr:col>
      <xdr:colOff>419100</xdr:colOff>
      <xdr:row>105</xdr:row>
      <xdr:rowOff>47625</xdr:rowOff>
    </xdr:to>
    <xdr:graphicFrame macro="">
      <xdr:nvGraphicFramePr>
        <xdr:cNvPr id="5521156" name="Chart 31">
          <a:extLst>
            <a:ext uri="{FF2B5EF4-FFF2-40B4-BE49-F238E27FC236}">
              <a16:creationId xmlns:a16="http://schemas.microsoft.com/office/drawing/2014/main" id="{00000000-0008-0000-0500-0000043F5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130</xdr:row>
      <xdr:rowOff>95250</xdr:rowOff>
    </xdr:from>
    <xdr:to>
      <xdr:col>7</xdr:col>
      <xdr:colOff>409575</xdr:colOff>
      <xdr:row>154</xdr:row>
      <xdr:rowOff>104775</xdr:rowOff>
    </xdr:to>
    <xdr:graphicFrame macro="">
      <xdr:nvGraphicFramePr>
        <xdr:cNvPr id="5521157" name="Chart 2">
          <a:extLst>
            <a:ext uri="{FF2B5EF4-FFF2-40B4-BE49-F238E27FC236}">
              <a16:creationId xmlns:a16="http://schemas.microsoft.com/office/drawing/2014/main" id="{00000000-0008-0000-0500-0000053F5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523875</xdr:colOff>
      <xdr:row>130</xdr:row>
      <xdr:rowOff>104775</xdr:rowOff>
    </xdr:from>
    <xdr:to>
      <xdr:col>13</xdr:col>
      <xdr:colOff>466725</xdr:colOff>
      <xdr:row>154</xdr:row>
      <xdr:rowOff>133350</xdr:rowOff>
    </xdr:to>
    <xdr:graphicFrame macro="">
      <xdr:nvGraphicFramePr>
        <xdr:cNvPr id="5521158" name="Chart 31">
          <a:extLst>
            <a:ext uri="{FF2B5EF4-FFF2-40B4-BE49-F238E27FC236}">
              <a16:creationId xmlns:a16="http://schemas.microsoft.com/office/drawing/2014/main" id="{00000000-0008-0000-0500-0000063F5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0</xdr:colOff>
      <xdr:row>0</xdr:row>
      <xdr:rowOff>0</xdr:rowOff>
    </xdr:from>
    <xdr:to>
      <xdr:col>1</xdr:col>
      <xdr:colOff>176371</xdr:colOff>
      <xdr:row>0</xdr:row>
      <xdr:rowOff>285750</xdr:rowOff>
    </xdr:to>
    <xdr:pic>
      <xdr:nvPicPr>
        <xdr:cNvPr id="21" name="Picture 11" descr="curtipotp">
          <a:extLst>
            <a:ext uri="{FF2B5EF4-FFF2-40B4-BE49-F238E27FC236}">
              <a16:creationId xmlns:a16="http://schemas.microsoft.com/office/drawing/2014/main" id="{00000000-0008-0000-0500-000015000000}"/>
            </a:ext>
          </a:extLst>
        </xdr:cNvPr>
        <xdr:cNvPicPr>
          <a:picLocks noChangeAspect="1" noChangeArrowheads="1"/>
        </xdr:cNvPicPr>
      </xdr:nvPicPr>
      <xdr:blipFill>
        <a:blip xmlns:r="http://schemas.openxmlformats.org/officeDocument/2006/relationships" r:embed="rId13"/>
        <a:srcRect/>
        <a:stretch>
          <a:fillRect/>
        </a:stretch>
      </xdr:blipFill>
      <xdr:spPr bwMode="auto">
        <a:xfrm>
          <a:off x="0" y="0"/>
          <a:ext cx="1145436" cy="28575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10</xdr:col>
          <xdr:colOff>38100</xdr:colOff>
          <xdr:row>11</xdr:row>
          <xdr:rowOff>9525</xdr:rowOff>
        </xdr:from>
        <xdr:to>
          <xdr:col>11</xdr:col>
          <xdr:colOff>933450</xdr:colOff>
          <xdr:row>11</xdr:row>
          <xdr:rowOff>276225</xdr:rowOff>
        </xdr:to>
        <xdr:sp macro="" textlink="">
          <xdr:nvSpPr>
            <xdr:cNvPr id="1266689" name="Drop Down 1" hidden="1">
              <a:extLst>
                <a:ext uri="{63B3BB69-23CF-44E3-9099-C40C66FF867C}">
                  <a14:compatExt spid="_x0000_s1266689"/>
                </a:ext>
                <a:ext uri="{FF2B5EF4-FFF2-40B4-BE49-F238E27FC236}">
                  <a16:creationId xmlns:a16="http://schemas.microsoft.com/office/drawing/2014/main" id="{00000000-0008-0000-0500-000001541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590550</xdr:colOff>
          <xdr:row>1</xdr:row>
          <xdr:rowOff>123825</xdr:rowOff>
        </xdr:from>
        <xdr:to>
          <xdr:col>2</xdr:col>
          <xdr:colOff>419100</xdr:colOff>
          <xdr:row>3</xdr:row>
          <xdr:rowOff>228600</xdr:rowOff>
        </xdr:to>
        <xdr:sp macro="" textlink="">
          <xdr:nvSpPr>
            <xdr:cNvPr id="1266690" name="Button 2" hidden="1">
              <a:extLst>
                <a:ext uri="{63B3BB69-23CF-44E3-9099-C40C66FF867C}">
                  <a14:compatExt spid="_x0000_s1266690"/>
                </a:ext>
                <a:ext uri="{FF2B5EF4-FFF2-40B4-BE49-F238E27FC236}">
                  <a16:creationId xmlns:a16="http://schemas.microsoft.com/office/drawing/2014/main" id="{00000000-0008-0000-0500-000002541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endParaRPr lang="en-US" sz="1100" b="1" i="0" u="none" strike="noStrike" baseline="0">
                <a:solidFill>
                  <a:srgbClr val="09007E"/>
                </a:solidFill>
                <a:latin typeface="Arial"/>
                <a:cs typeface="Arial"/>
              </a:endParaRPr>
            </a:p>
            <a:p>
              <a:pPr algn="ctr" rtl="0">
                <a:defRPr sz="1000"/>
              </a:pPr>
              <a:r>
                <a:rPr lang="en-US" sz="1100" b="1" i="0" u="none" strike="noStrike" baseline="0">
                  <a:solidFill>
                    <a:srgbClr val="09007E"/>
                  </a:solidFill>
                  <a:latin typeface="Arial"/>
                  <a:cs typeface="Arial"/>
                </a:rPr>
                <a:t>Plot curves</a:t>
              </a:r>
              <a:endParaRPr lang="en-US" sz="1000" b="1" i="0" u="none" strike="noStrike" baseline="0">
                <a:solidFill>
                  <a:srgbClr val="09007E"/>
                </a:solidFill>
                <a:latin typeface="Arial"/>
                <a:cs typeface="Arial"/>
              </a:endParaRPr>
            </a:p>
            <a:p>
              <a:pPr algn="ctr" rtl="0">
                <a:defRPr sz="1000"/>
              </a:pPr>
              <a:endParaRPr lang="en-US" sz="1000" b="1" i="0" u="none" strike="noStrike" baseline="0">
                <a:solidFill>
                  <a:srgbClr val="09007E"/>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xdr:row>
          <xdr:rowOff>238125</xdr:rowOff>
        </xdr:from>
        <xdr:to>
          <xdr:col>5</xdr:col>
          <xdr:colOff>0</xdr:colOff>
          <xdr:row>3</xdr:row>
          <xdr:rowOff>38100</xdr:rowOff>
        </xdr:to>
        <xdr:sp macro="" textlink="">
          <xdr:nvSpPr>
            <xdr:cNvPr id="1266691" name="Drop Down 3" hidden="1">
              <a:extLst>
                <a:ext uri="{63B3BB69-23CF-44E3-9099-C40C66FF867C}">
                  <a14:compatExt spid="_x0000_s1266691"/>
                </a:ext>
                <a:ext uri="{FF2B5EF4-FFF2-40B4-BE49-F238E27FC236}">
                  <a16:creationId xmlns:a16="http://schemas.microsoft.com/office/drawing/2014/main" id="{00000000-0008-0000-0500-000003541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1038225</xdr:colOff>
          <xdr:row>11</xdr:row>
          <xdr:rowOff>19050</xdr:rowOff>
        </xdr:from>
        <xdr:to>
          <xdr:col>12</xdr:col>
          <xdr:colOff>952500</xdr:colOff>
          <xdr:row>11</xdr:row>
          <xdr:rowOff>276225</xdr:rowOff>
        </xdr:to>
        <xdr:sp macro="" textlink="">
          <xdr:nvSpPr>
            <xdr:cNvPr id="5521108" name="Button 5844" hidden="1">
              <a:extLst>
                <a:ext uri="{63B3BB69-23CF-44E3-9099-C40C66FF867C}">
                  <a14:compatExt spid="_x0000_s5521108"/>
                </a:ext>
                <a:ext uri="{FF2B5EF4-FFF2-40B4-BE49-F238E27FC236}">
                  <a16:creationId xmlns:a16="http://schemas.microsoft.com/office/drawing/2014/main" id="{00000000-0008-0000-0500-0000D43E5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9007E"/>
                  </a:solidFill>
                  <a:latin typeface="Arial"/>
                  <a:cs typeface="Arial"/>
                </a:rPr>
                <a:t>Plot curves</a:t>
              </a:r>
              <a:endParaRPr lang="en-US" sz="1000" b="1" i="0" u="none" strike="noStrike" baseline="0">
                <a:solidFill>
                  <a:srgbClr val="09007E"/>
                </a:solidFill>
                <a:latin typeface="Arial"/>
                <a:cs typeface="Arial"/>
              </a:endParaRPr>
            </a:p>
            <a:p>
              <a:pPr algn="ctr" rtl="0">
                <a:defRPr sz="1000"/>
              </a:pPr>
              <a:endParaRPr lang="en-US" sz="1000" b="1" i="0" u="none" strike="noStrike" baseline="0">
                <a:solidFill>
                  <a:srgbClr val="09007E"/>
                </a:solidFill>
                <a:latin typeface="Arial"/>
                <a:cs typeface="Arial"/>
              </a:endParaRPr>
            </a:p>
          </xdr:txBody>
        </xdr:sp>
        <xdr:clientData fPrintsWithSheet="0"/>
      </xdr:twoCellAnchor>
    </mc:Choice>
    <mc:Fallback/>
  </mc:AlternateContent>
</xdr:wsDr>
</file>

<file path=xl/drawings/drawing7.xml><?xml version="1.0" encoding="utf-8"?>
<c:userShapes xmlns:c="http://schemas.openxmlformats.org/drawingml/2006/chart">
  <cdr:relSizeAnchor xmlns:cdr="http://schemas.openxmlformats.org/drawingml/2006/chartDrawing">
    <cdr:from>
      <cdr:x>0.533</cdr:x>
      <cdr:y>0</cdr:y>
    </cdr:from>
    <cdr:to>
      <cdr:x>0.53399</cdr:x>
      <cdr:y>0</cdr:y>
    </cdr:to>
    <cdr:sp macro="" textlink="">
      <cdr:nvSpPr>
        <cdr:cNvPr id="16385" name="Text Box 1"/>
        <cdr:cNvSpPr txBox="1">
          <a:spLocks xmlns:a="http://schemas.openxmlformats.org/drawingml/2006/main" noChangeArrowheads="1"/>
        </cdr:cNvSpPr>
      </cdr:nvSpPr>
      <cdr:spPr bwMode="auto">
        <a:xfrm xmlns:a="http://schemas.openxmlformats.org/drawingml/2006/main">
          <a:off x="3893776" y="0"/>
          <a:ext cx="1655504" cy="263899"/>
        </a:xfrm>
        <a:prstGeom xmlns:a="http://schemas.openxmlformats.org/drawingml/2006/main" prst="rect">
          <a:avLst/>
        </a:prstGeom>
        <a:noFill xmlns:a="http://schemas.openxmlformats.org/drawingml/2006/main"/>
        <a:ln xmlns:a="http://schemas.openxmlformats.org/drawingml/2006/main" w="9525">
          <a:noFill/>
          <a:miter lim="800000"/>
          <a:headEnd/>
          <a:tailEnd/>
        </a:ln>
        <a:effectLst xmlns:a="http://schemas.openxmlformats.org/drawingml/2006/main"/>
      </cdr:spPr>
      <cdr:txBody>
        <a:bodyPr xmlns:a="http://schemas.openxmlformats.org/drawingml/2006/main" vertOverflow="clip" wrap="square" lIns="36576" tIns="36576" rIns="0" bIns="0" anchor="b" upright="1"/>
        <a:lstStyle xmlns:a="http://schemas.openxmlformats.org/drawingml/2006/main"/>
        <a:p xmlns:a="http://schemas.openxmlformats.org/drawingml/2006/main">
          <a:pPr algn="l" rtl="1">
            <a:defRPr sz="1000"/>
          </a:pPr>
          <a:r>
            <a:rPr lang="pt-BR" sz="1600" b="0" i="0" strike="noStrike">
              <a:solidFill>
                <a:srgbClr val="000000"/>
              </a:solidFill>
              <a:latin typeface="Symbol"/>
            </a:rPr>
            <a:t>&lt;</a:t>
          </a:r>
          <a:r>
            <a:rPr lang="pt-BR" sz="1600" b="0" i="0" strike="noStrike">
              <a:solidFill>
                <a:srgbClr val="000000"/>
              </a:solidFill>
              <a:latin typeface="Arial"/>
              <a:cs typeface="Arial"/>
            </a:rPr>
            <a:t>— </a:t>
          </a:r>
          <a:r>
            <a:rPr lang="pt-BR" sz="1600" b="0" i="0" strike="noStrike">
              <a:solidFill>
                <a:srgbClr val="000000"/>
              </a:solidFill>
              <a:latin typeface="Symbol"/>
            </a:rPr>
            <a:t>a</a:t>
          </a:r>
          <a:r>
            <a:rPr lang="pt-BR" sz="975" b="0" i="0" strike="noStrike" baseline="-25000">
              <a:solidFill>
                <a:srgbClr val="000000"/>
              </a:solidFill>
              <a:latin typeface="Arial"/>
              <a:cs typeface="Arial"/>
            </a:rPr>
            <a:t>HiB</a:t>
          </a:r>
          <a:r>
            <a:rPr lang="pt-BR" sz="975" b="0" i="0" strike="noStrike">
              <a:solidFill>
                <a:srgbClr val="000000"/>
              </a:solidFill>
              <a:latin typeface="Arial"/>
              <a:cs typeface="Arial"/>
            </a:rPr>
            <a:t>      </a:t>
          </a:r>
          <a:r>
            <a:rPr lang="pt-BR" sz="1600" b="0" i="0" strike="noStrike">
              <a:solidFill>
                <a:srgbClr val="000000"/>
              </a:solidFill>
              <a:latin typeface="Symbol"/>
            </a:rPr>
            <a:t>a</a:t>
          </a:r>
          <a:r>
            <a:rPr lang="pt-BR" sz="975" b="0" i="0" strike="noStrike" baseline="-25000">
              <a:solidFill>
                <a:srgbClr val="000000"/>
              </a:solidFill>
              <a:latin typeface="Arial"/>
              <a:cs typeface="Arial"/>
            </a:rPr>
            <a:t>B</a:t>
          </a:r>
          <a:r>
            <a:rPr lang="pt-BR" sz="1600" b="0" i="0" strike="noStrike">
              <a:solidFill>
                <a:srgbClr val="000000"/>
              </a:solidFill>
              <a:latin typeface="Arial"/>
              <a:cs typeface="Arial"/>
            </a:rPr>
            <a:t>—</a:t>
          </a:r>
          <a:r>
            <a:rPr lang="pt-BR" sz="1600" b="0" i="0" strike="noStrike">
              <a:solidFill>
                <a:srgbClr val="000000"/>
              </a:solidFill>
              <a:latin typeface="Symbol"/>
            </a:rPr>
            <a:t>&gt;</a:t>
          </a:r>
        </a:p>
      </cdr:txBody>
    </cdr:sp>
  </cdr:relSizeAnchor>
  <cdr:relSizeAnchor xmlns:cdr="http://schemas.openxmlformats.org/drawingml/2006/chartDrawing">
    <cdr:from>
      <cdr:x>0.85649</cdr:x>
      <cdr:y>0.00838</cdr:y>
    </cdr:from>
    <cdr:to>
      <cdr:x>0.96875</cdr:x>
      <cdr:y>0.0576</cdr:y>
    </cdr:to>
    <cdr:pic>
      <cdr:nvPicPr>
        <cdr:cNvPr id="2079748" name="Picture 4" descr="curtipotp">
          <a:extLst xmlns:a="http://schemas.openxmlformats.org/drawingml/2006/main">
            <a:ext uri="{FF2B5EF4-FFF2-40B4-BE49-F238E27FC236}">
              <a16:creationId xmlns:a16="http://schemas.microsoft.com/office/drawing/2014/main" id="{0FFC1D0D-593C-4BC5-A165-5407BD309B66}"/>
            </a:ext>
          </a:extLst>
        </cdr:cNvPr>
        <cdr:cNvPicPr preferRelativeResize="0">
          <a:picLocks xmlns:a="http://schemas.openxmlformats.org/drawingml/2006/main" noChangeArrowheads="1"/>
        </cdr:cNvPicPr>
      </cdr:nvPicPr>
      <cdr:blipFill>
        <a:blip xmlns:a="http://schemas.openxmlformats.org/drawingml/2006/main" xmlns:r="http://schemas.openxmlformats.org/officeDocument/2006/relationships" r:embed="rId1"/>
        <a:srcRect xmlns:a="http://schemas.openxmlformats.org/drawingml/2006/main"/>
        <a:stretch xmlns:a="http://schemas.openxmlformats.org/drawingml/2006/main">
          <a:fillRect/>
        </a:stretch>
      </cdr:blipFill>
      <cdr:spPr bwMode="auto">
        <a:xfrm xmlns:a="http://schemas.openxmlformats.org/drawingml/2006/main">
          <a:off x="6228134" y="31564"/>
          <a:ext cx="816316" cy="185318"/>
        </a:xfrm>
        <a:prstGeom xmlns:a="http://schemas.openxmlformats.org/drawingml/2006/main" prst="rect">
          <a:avLst/>
        </a:prstGeom>
        <a:noFill xmlns:a="http://schemas.openxmlformats.org/drawingml/2006/main"/>
      </cdr:spPr>
    </cdr:pic>
  </cdr:relSizeAnchor>
  <cdr:relSizeAnchor xmlns:cdr="http://schemas.openxmlformats.org/drawingml/2006/chartDrawing">
    <cdr:from>
      <cdr:x>0.59168</cdr:x>
      <cdr:y>0</cdr:y>
    </cdr:from>
    <cdr:to>
      <cdr:x>0.84015</cdr:x>
      <cdr:y>0.08752</cdr:y>
    </cdr:to>
    <cdr:sp macro="" textlink="">
      <cdr:nvSpPr>
        <cdr:cNvPr id="4" name="Text Box 1"/>
        <cdr:cNvSpPr txBox="1">
          <a:spLocks xmlns:a="http://schemas.openxmlformats.org/drawingml/2006/main" noChangeArrowheads="1"/>
        </cdr:cNvSpPr>
      </cdr:nvSpPr>
      <cdr:spPr bwMode="auto">
        <a:xfrm xmlns:a="http://schemas.openxmlformats.org/drawingml/2006/main">
          <a:off x="4303059" y="0"/>
          <a:ext cx="1807009" cy="317223"/>
        </a:xfrm>
        <a:prstGeom xmlns:a="http://schemas.openxmlformats.org/drawingml/2006/main" prst="rect">
          <a:avLst/>
        </a:prstGeom>
        <a:noFill xmlns:a="http://schemas.openxmlformats.org/drawingml/2006/main"/>
        <a:ln xmlns:a="http://schemas.openxmlformats.org/drawingml/2006/main" w="9525">
          <a:noFill/>
          <a:miter lim="800000"/>
          <a:headEnd/>
          <a:tailEnd/>
        </a:ln>
        <a:effectLst xmlns:a="http://schemas.openxmlformats.org/drawingml/2006/main"/>
      </cdr:spPr>
      <cdr:txBody>
        <a:bodyPr xmlns:a="http://schemas.openxmlformats.org/drawingml/2006/main" wrap="square" lIns="90000" tIns="0" rIns="90000" bIns="46800" anchor="t" upright="1"/>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l" rtl="1">
            <a:defRPr sz="1000"/>
          </a:pPr>
          <a:r>
            <a:rPr lang="pt-BR" sz="1600" b="0" i="0" strike="noStrike">
              <a:solidFill>
                <a:srgbClr val="000000"/>
              </a:solidFill>
              <a:latin typeface="Symbol"/>
            </a:rPr>
            <a:t>&lt;</a:t>
          </a:r>
          <a:r>
            <a:rPr lang="pt-BR" sz="1600" b="0" i="0" strike="noStrike">
              <a:solidFill>
                <a:srgbClr val="000000"/>
              </a:solidFill>
              <a:latin typeface="Arial"/>
              <a:cs typeface="Arial"/>
            </a:rPr>
            <a:t>— </a:t>
          </a:r>
          <a:r>
            <a:rPr lang="pt-BR" sz="1600" b="0" i="0" strike="noStrike">
              <a:solidFill>
                <a:srgbClr val="000000"/>
              </a:solidFill>
              <a:latin typeface="Symbol"/>
            </a:rPr>
            <a:t>a</a:t>
          </a:r>
          <a:r>
            <a:rPr lang="pt-BR" sz="1250" b="0" i="0" strike="noStrike" baseline="-25000">
              <a:solidFill>
                <a:srgbClr val="000000"/>
              </a:solidFill>
              <a:latin typeface="Arial"/>
              <a:cs typeface="Arial"/>
            </a:rPr>
            <a:t>HiB</a:t>
          </a:r>
          <a:r>
            <a:rPr lang="pt-BR" sz="1000" b="0" i="0" strike="noStrike">
              <a:solidFill>
                <a:srgbClr val="000000"/>
              </a:solidFill>
              <a:latin typeface="Arial"/>
              <a:cs typeface="Arial"/>
            </a:rPr>
            <a:t>      </a:t>
          </a:r>
          <a:r>
            <a:rPr lang="pt-BR" sz="1600" b="0" i="0" strike="noStrike">
              <a:solidFill>
                <a:srgbClr val="000000"/>
              </a:solidFill>
              <a:latin typeface="Symbol"/>
            </a:rPr>
            <a:t>a</a:t>
          </a:r>
          <a:r>
            <a:rPr lang="pt-BR" sz="1250" b="0" i="0" strike="noStrike" baseline="-25000">
              <a:solidFill>
                <a:srgbClr val="000000"/>
              </a:solidFill>
              <a:latin typeface="Arial"/>
              <a:cs typeface="Arial"/>
            </a:rPr>
            <a:t>B</a:t>
          </a:r>
          <a:r>
            <a:rPr lang="pt-BR" sz="1600" b="0" i="0" strike="noStrike">
              <a:solidFill>
                <a:srgbClr val="000000"/>
              </a:solidFill>
              <a:latin typeface="Arial"/>
              <a:cs typeface="Arial"/>
            </a:rPr>
            <a:t>—</a:t>
          </a:r>
          <a:r>
            <a:rPr lang="pt-BR" sz="1600" b="0" i="0" strike="noStrike">
              <a:solidFill>
                <a:srgbClr val="000000"/>
              </a:solidFill>
              <a:latin typeface="Symbol"/>
            </a:rPr>
            <a:t>&gt;</a:t>
          </a:r>
        </a:p>
      </cdr:txBody>
    </cdr:sp>
  </cdr:relSizeAnchor>
</c:userShapes>
</file>

<file path=xl/drawings/drawing8.xml><?xml version="1.0" encoding="utf-8"?>
<c:userShapes xmlns:c="http://schemas.openxmlformats.org/drawingml/2006/chart">
  <cdr:relSizeAnchor xmlns:cdr="http://schemas.openxmlformats.org/drawingml/2006/chartDrawing">
    <cdr:from>
      <cdr:x>0.86145</cdr:x>
      <cdr:y>0.01217</cdr:y>
    </cdr:from>
    <cdr:to>
      <cdr:x>0.97346</cdr:x>
      <cdr:y>0.06046</cdr:y>
    </cdr:to>
    <cdr:pic>
      <cdr:nvPicPr>
        <cdr:cNvPr id="2080770" name="Picture 2" descr="curtipotp">
          <a:extLst xmlns:a="http://schemas.openxmlformats.org/drawingml/2006/main">
            <a:ext uri="{FF2B5EF4-FFF2-40B4-BE49-F238E27FC236}">
              <a16:creationId xmlns:a16="http://schemas.microsoft.com/office/drawing/2014/main" id="{13230FDE-3046-4F87-B22C-48F541F0C136}"/>
            </a:ext>
          </a:extLst>
        </cdr:cNvPr>
        <cdr:cNvPicPr preferRelativeResize="0">
          <a:picLocks xmlns:a="http://schemas.openxmlformats.org/drawingml/2006/main" noChangeArrowheads="1"/>
        </cdr:cNvPicPr>
      </cdr:nvPicPr>
      <cdr:blipFill>
        <a:blip xmlns:a="http://schemas.openxmlformats.org/drawingml/2006/main" xmlns:r="http://schemas.openxmlformats.org/officeDocument/2006/relationships" r:embed="rId1"/>
        <a:srcRect xmlns:a="http://schemas.openxmlformats.org/drawingml/2006/main"/>
        <a:stretch xmlns:a="http://schemas.openxmlformats.org/drawingml/2006/main">
          <a:fillRect/>
        </a:stretch>
      </cdr:blipFill>
      <cdr:spPr bwMode="auto">
        <a:xfrm xmlns:a="http://schemas.openxmlformats.org/drawingml/2006/main">
          <a:off x="6263827" y="50800"/>
          <a:ext cx="814058" cy="189066"/>
        </a:xfrm>
        <a:prstGeom xmlns:a="http://schemas.openxmlformats.org/drawingml/2006/main" prst="rect">
          <a:avLst/>
        </a:prstGeom>
        <a:noFill xmlns:a="http://schemas.openxmlformats.org/drawingml/2006/main"/>
      </cdr:spPr>
    </cdr:pic>
  </cdr:relSizeAnchor>
</c:userShapes>
</file>

<file path=xl/drawings/drawing9.xml><?xml version="1.0" encoding="utf-8"?>
<c:userShapes xmlns:c="http://schemas.openxmlformats.org/drawingml/2006/chart">
  <cdr:relSizeAnchor xmlns:cdr="http://schemas.openxmlformats.org/drawingml/2006/chartDrawing">
    <cdr:from>
      <cdr:x>0.94892</cdr:x>
      <cdr:y>0.45438</cdr:y>
    </cdr:from>
    <cdr:to>
      <cdr:x>0.99598</cdr:x>
      <cdr:y>0.56067</cdr:y>
    </cdr:to>
    <cdr:sp macro="" textlink="">
      <cdr:nvSpPr>
        <cdr:cNvPr id="2081794" name="Text Box 4"/>
        <cdr:cNvSpPr txBox="1">
          <a:spLocks xmlns:a="http://schemas.openxmlformats.org/drawingml/2006/main" noChangeArrowheads="1"/>
        </cdr:cNvSpPr>
      </cdr:nvSpPr>
      <cdr:spPr bwMode="auto">
        <a:xfrm xmlns:a="http://schemas.openxmlformats.org/drawingml/2006/main">
          <a:off x="7043342" y="1772652"/>
          <a:ext cx="349302" cy="41465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1">
            <a:defRPr sz="1000"/>
          </a:pPr>
          <a:r>
            <a:rPr lang="pt-BR" sz="1200" b="1" i="0" strike="noStrike">
              <a:solidFill>
                <a:srgbClr val="000000"/>
              </a:solidFill>
              <a:latin typeface="Arial"/>
              <a:cs typeface="Arial"/>
            </a:rPr>
            <a:t>pH</a:t>
          </a:r>
        </a:p>
      </cdr:txBody>
    </cdr:sp>
  </cdr:relSizeAnchor>
  <cdr:relSizeAnchor xmlns:cdr="http://schemas.openxmlformats.org/drawingml/2006/chartDrawing">
    <cdr:from>
      <cdr:x>0.82436</cdr:x>
      <cdr:y>0.01589</cdr:y>
    </cdr:from>
    <cdr:to>
      <cdr:x>0.9336</cdr:x>
      <cdr:y>0.06861</cdr:y>
    </cdr:to>
    <cdr:pic>
      <cdr:nvPicPr>
        <cdr:cNvPr id="6" name="Picture 7" descr="curtipotp">
          <a:extLst xmlns:a="http://schemas.openxmlformats.org/drawingml/2006/main">
            <a:ext uri="{FF2B5EF4-FFF2-40B4-BE49-F238E27FC236}">
              <a16:creationId xmlns:a16="http://schemas.microsoft.com/office/drawing/2014/main" id="{9CD0AD7E-C68D-44B2-AB70-361C8E5C8860}"/>
            </a:ext>
          </a:extLst>
        </cdr:cNvPr>
        <cdr:cNvPicPr preferRelativeResize="0">
          <a:picLocks xmlns:a="http://schemas.openxmlformats.org/drawingml/2006/main" noChangeArrowheads="1"/>
        </cdr:cNvPicPr>
      </cdr:nvPicPr>
      <cdr:blipFill>
        <a:blip xmlns:a="http://schemas.openxmlformats.org/drawingml/2006/main" xmlns:r="http://schemas.openxmlformats.org/officeDocument/2006/relationships" r:embed="rId1"/>
        <a:srcRect xmlns:a="http://schemas.openxmlformats.org/drawingml/2006/main"/>
        <a:stretch xmlns:a="http://schemas.openxmlformats.org/drawingml/2006/main">
          <a:fillRect/>
        </a:stretch>
      </cdr:blipFill>
      <cdr:spPr bwMode="auto">
        <a:xfrm xmlns:a="http://schemas.openxmlformats.org/drawingml/2006/main">
          <a:off x="6123353" y="62523"/>
          <a:ext cx="811428" cy="207430"/>
        </a:xfrm>
        <a:prstGeom xmlns:a="http://schemas.openxmlformats.org/drawingml/2006/main" prst="rect">
          <a:avLst/>
        </a:prstGeom>
        <a:noFill xmlns:a="http://schemas.openxmlformats.org/drawingml/2006/main"/>
      </cdr:spPr>
    </cdr:pic>
  </cdr:relSizeAnchor>
</c:userShapes>
</file>

<file path=xl/drawings/drawing10.xml><?xml version="1.0" encoding="utf-8"?>
<c:userShapes xmlns:c="http://schemas.openxmlformats.org/drawingml/2006/chart">
  <cdr:relSizeAnchor xmlns:cdr="http://schemas.openxmlformats.org/drawingml/2006/chartDrawing">
    <cdr:from>
      <cdr:x>0.94921</cdr:x>
      <cdr:y>0.43816</cdr:y>
    </cdr:from>
    <cdr:to>
      <cdr:x>0.99921</cdr:x>
      <cdr:y>0.5279</cdr:y>
    </cdr:to>
    <cdr:sp macro="" textlink="">
      <cdr:nvSpPr>
        <cdr:cNvPr id="1955843" name="Text Box 3"/>
        <cdr:cNvSpPr txBox="1">
          <a:spLocks xmlns:a="http://schemas.openxmlformats.org/drawingml/2006/main" noChangeArrowheads="1"/>
        </cdr:cNvSpPr>
      </cdr:nvSpPr>
      <cdr:spPr bwMode="auto">
        <a:xfrm xmlns:a="http://schemas.openxmlformats.org/drawingml/2006/main">
          <a:off x="7090700" y="1779671"/>
          <a:ext cx="373506" cy="364480"/>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1">
            <a:defRPr sz="1000"/>
          </a:pPr>
          <a:r>
            <a:rPr lang="pt-BR" sz="1200" b="1" i="0" strike="noStrike">
              <a:solidFill>
                <a:srgbClr val="000000"/>
              </a:solidFill>
              <a:latin typeface="Arial"/>
              <a:cs typeface="Arial"/>
            </a:rPr>
            <a:t>pH</a:t>
          </a:r>
        </a:p>
      </cdr:txBody>
    </cdr:sp>
  </cdr:relSizeAnchor>
  <cdr:relSizeAnchor xmlns:cdr="http://schemas.openxmlformats.org/drawingml/2006/chartDrawing">
    <cdr:from>
      <cdr:x>0.82369</cdr:x>
      <cdr:y>0.01922</cdr:y>
    </cdr:from>
    <cdr:to>
      <cdr:x>0.92649</cdr:x>
      <cdr:y>0.06605</cdr:y>
    </cdr:to>
    <cdr:pic>
      <cdr:nvPicPr>
        <cdr:cNvPr id="2082822" name="Picture 6" descr="curtipotp">
          <a:extLst xmlns:a="http://schemas.openxmlformats.org/drawingml/2006/main">
            <a:ext uri="{FF2B5EF4-FFF2-40B4-BE49-F238E27FC236}">
              <a16:creationId xmlns:a16="http://schemas.microsoft.com/office/drawing/2014/main" id="{F3BB4BCB-9281-47BD-AEE3-BB85F0C71E86}"/>
            </a:ext>
          </a:extLst>
        </cdr:cNvPr>
        <cdr:cNvPicPr preferRelativeResize="0">
          <a:picLocks xmlns:a="http://schemas.openxmlformats.org/drawingml/2006/main" noChangeArrowheads="1"/>
        </cdr:cNvPicPr>
      </cdr:nvPicPr>
      <cdr:blipFill>
        <a:blip xmlns:a="http://schemas.openxmlformats.org/drawingml/2006/main" xmlns:r="http://schemas.openxmlformats.org/officeDocument/2006/relationships" r:embed="rId1"/>
        <a:srcRect xmlns:a="http://schemas.openxmlformats.org/drawingml/2006/main"/>
        <a:stretch xmlns:a="http://schemas.openxmlformats.org/drawingml/2006/main">
          <a:fillRect/>
        </a:stretch>
      </cdr:blipFill>
      <cdr:spPr bwMode="auto">
        <a:xfrm xmlns:a="http://schemas.openxmlformats.org/drawingml/2006/main">
          <a:off x="6157600" y="78780"/>
          <a:ext cx="768541" cy="191941"/>
        </a:xfrm>
        <a:prstGeom xmlns:a="http://schemas.openxmlformats.org/drawingml/2006/main" prst="rect">
          <a:avLst/>
        </a:prstGeom>
        <a:noFill xmlns:a="http://schemas.openxmlformats.org/drawingml/2006/main"/>
      </cdr:spPr>
    </cdr:pic>
  </cdr:relSizeAnchor>
</c:userShapes>
</file>

<file path=xl/drawings/drawing11.xml><?xml version="1.0" encoding="utf-8"?>
<c:userShapes xmlns:c="http://schemas.openxmlformats.org/drawingml/2006/chart">
  <cdr:relSizeAnchor xmlns:cdr="http://schemas.openxmlformats.org/drawingml/2006/chartDrawing">
    <cdr:from>
      <cdr:x>0.59782</cdr:x>
      <cdr:y>0.0125</cdr:y>
    </cdr:from>
    <cdr:to>
      <cdr:x>0.84694</cdr:x>
      <cdr:y>0.10316</cdr:y>
    </cdr:to>
    <cdr:sp macro="" textlink="">
      <cdr:nvSpPr>
        <cdr:cNvPr id="150529" name="Text Box 1"/>
        <cdr:cNvSpPr txBox="1">
          <a:spLocks xmlns:a="http://schemas.openxmlformats.org/drawingml/2006/main" noChangeArrowheads="1"/>
        </cdr:cNvSpPr>
      </cdr:nvSpPr>
      <cdr:spPr bwMode="auto">
        <a:xfrm xmlns:a="http://schemas.openxmlformats.org/drawingml/2006/main">
          <a:off x="3960682" y="50800"/>
          <a:ext cx="1649099" cy="325969"/>
        </a:xfrm>
        <a:prstGeom xmlns:a="http://schemas.openxmlformats.org/drawingml/2006/main" prst="rect">
          <a:avLst/>
        </a:prstGeom>
        <a:noFill xmlns:a="http://schemas.openxmlformats.org/drawingml/2006/main"/>
        <a:ln xmlns:a="http://schemas.openxmlformats.org/drawingml/2006/main" w="9525">
          <a:noFill/>
          <a:miter lim="800000"/>
          <a:headEnd/>
          <a:tailEnd/>
        </a:ln>
        <a:effectLst xmlns:a="http://schemas.openxmlformats.org/drawingml/2006/main"/>
      </cdr:spPr>
      <cdr:txBody>
        <a:bodyPr xmlns:a="http://schemas.openxmlformats.org/drawingml/2006/main" vertOverflow="clip" wrap="square" lIns="90000" tIns="0" rIns="90000" bIns="46800" anchor="t" upright="1"/>
        <a:lstStyle xmlns:a="http://schemas.openxmlformats.org/drawingml/2006/main"/>
        <a:p xmlns:a="http://schemas.openxmlformats.org/drawingml/2006/main">
          <a:pPr algn="l" rtl="1">
            <a:defRPr sz="1000"/>
          </a:pPr>
          <a:r>
            <a:rPr lang="pt-BR" sz="1600" b="0" i="0" strike="noStrike">
              <a:solidFill>
                <a:srgbClr val="000000"/>
              </a:solidFill>
              <a:latin typeface="Symbol"/>
            </a:rPr>
            <a:t>&lt;</a:t>
          </a:r>
          <a:r>
            <a:rPr lang="pt-BR" sz="1600" b="0" i="0" strike="noStrike">
              <a:solidFill>
                <a:srgbClr val="000000"/>
              </a:solidFill>
              <a:latin typeface="Arial"/>
              <a:cs typeface="Arial"/>
            </a:rPr>
            <a:t>— </a:t>
          </a:r>
          <a:r>
            <a:rPr lang="pt-BR" sz="1600" b="0" i="0" strike="noStrike">
              <a:solidFill>
                <a:srgbClr val="000000"/>
              </a:solidFill>
              <a:latin typeface="Symbol"/>
            </a:rPr>
            <a:t>a</a:t>
          </a:r>
          <a:r>
            <a:rPr lang="pt-BR" sz="1250" b="0" i="0" strike="noStrike" baseline="-25000">
              <a:solidFill>
                <a:srgbClr val="000000"/>
              </a:solidFill>
              <a:latin typeface="Arial"/>
              <a:cs typeface="Arial"/>
            </a:rPr>
            <a:t>HiB</a:t>
          </a:r>
          <a:r>
            <a:rPr lang="pt-BR" sz="1000" b="0" i="0" strike="noStrike">
              <a:solidFill>
                <a:srgbClr val="000000"/>
              </a:solidFill>
              <a:latin typeface="Arial"/>
              <a:cs typeface="Arial"/>
            </a:rPr>
            <a:t>      </a:t>
          </a:r>
          <a:r>
            <a:rPr lang="pt-BR" sz="1600" b="0" i="0" strike="noStrike">
              <a:solidFill>
                <a:srgbClr val="000000"/>
              </a:solidFill>
              <a:latin typeface="Symbol"/>
            </a:rPr>
            <a:t>a</a:t>
          </a:r>
          <a:r>
            <a:rPr lang="pt-BR" sz="1250" b="0" i="0" strike="noStrike" baseline="-25000">
              <a:solidFill>
                <a:srgbClr val="000000"/>
              </a:solidFill>
              <a:latin typeface="Arial"/>
              <a:cs typeface="Arial"/>
            </a:rPr>
            <a:t>B</a:t>
          </a:r>
          <a:r>
            <a:rPr lang="pt-BR" sz="1600" b="0" i="0" strike="noStrike">
              <a:solidFill>
                <a:srgbClr val="000000"/>
              </a:solidFill>
              <a:latin typeface="Arial"/>
              <a:cs typeface="Arial"/>
            </a:rPr>
            <a:t>—</a:t>
          </a:r>
          <a:r>
            <a:rPr lang="pt-BR" sz="1600" b="0" i="0" strike="noStrike">
              <a:solidFill>
                <a:srgbClr val="000000"/>
              </a:solidFill>
              <a:latin typeface="Symbol"/>
            </a:rPr>
            <a:t>&gt;</a:t>
          </a:r>
        </a:p>
      </cdr:txBody>
    </cdr:sp>
  </cdr:relSizeAnchor>
  <cdr:relSizeAnchor xmlns:cdr="http://schemas.openxmlformats.org/drawingml/2006/chartDrawing">
    <cdr:from>
      <cdr:x>0.86046</cdr:x>
      <cdr:y>0.01316</cdr:y>
    </cdr:from>
    <cdr:to>
      <cdr:x>0.97271</cdr:x>
      <cdr:y>0.06622</cdr:y>
    </cdr:to>
    <cdr:pic>
      <cdr:nvPicPr>
        <cdr:cNvPr id="2083843" name="Picture 3" descr="curtipotp">
          <a:extLst xmlns:a="http://schemas.openxmlformats.org/drawingml/2006/main">
            <a:ext uri="{FF2B5EF4-FFF2-40B4-BE49-F238E27FC236}">
              <a16:creationId xmlns:a16="http://schemas.microsoft.com/office/drawing/2014/main" id="{FA92C2A0-7FE2-4E5E-9F39-94D91A8DE032}"/>
            </a:ext>
          </a:extLst>
        </cdr:cNvPr>
        <cdr:cNvPicPr preferRelativeResize="0">
          <a:picLocks xmlns:a="http://schemas.openxmlformats.org/drawingml/2006/main" noChangeArrowheads="1"/>
        </cdr:cNvPicPr>
      </cdr:nvPicPr>
      <cdr:blipFill>
        <a:blip xmlns:a="http://schemas.openxmlformats.org/drawingml/2006/main" xmlns:r="http://schemas.openxmlformats.org/officeDocument/2006/relationships" r:embed="rId1"/>
        <a:srcRect xmlns:a="http://schemas.openxmlformats.org/drawingml/2006/main"/>
        <a:stretch xmlns:a="http://schemas.openxmlformats.org/drawingml/2006/main">
          <a:fillRect/>
        </a:stretch>
      </cdr:blipFill>
      <cdr:spPr bwMode="auto">
        <a:xfrm xmlns:a="http://schemas.openxmlformats.org/drawingml/2006/main">
          <a:off x="6248413" y="50800"/>
          <a:ext cx="814768" cy="192072"/>
        </a:xfrm>
        <a:prstGeom xmlns:a="http://schemas.openxmlformats.org/drawingml/2006/main" prst="rect">
          <a:avLst/>
        </a:prstGeom>
        <a:noFill xmlns:a="http://schemas.openxmlformats.org/drawingml/2006/main"/>
      </cdr:spPr>
    </cdr:pic>
  </cdr:relSizeAnchor>
</c:userShapes>
</file>

<file path=xl/drawings/drawing12.xml><?xml version="1.0" encoding="utf-8"?>
<c:userShapes xmlns:c="http://schemas.openxmlformats.org/drawingml/2006/chart">
  <cdr:relSizeAnchor xmlns:cdr="http://schemas.openxmlformats.org/drawingml/2006/chartDrawing">
    <cdr:from>
      <cdr:x>0.95357</cdr:x>
      <cdr:y>0.45265</cdr:y>
    </cdr:from>
    <cdr:to>
      <cdr:x>0.9955</cdr:x>
      <cdr:y>0.52922</cdr:y>
    </cdr:to>
    <cdr:sp macro="" textlink="">
      <cdr:nvSpPr>
        <cdr:cNvPr id="2084868" name="Text Box 3"/>
        <cdr:cNvSpPr txBox="1">
          <a:spLocks xmlns:a="http://schemas.openxmlformats.org/drawingml/2006/main" noChangeArrowheads="1"/>
        </cdr:cNvSpPr>
      </cdr:nvSpPr>
      <cdr:spPr bwMode="auto">
        <a:xfrm xmlns:a="http://schemas.openxmlformats.org/drawingml/2006/main">
          <a:off x="7105104" y="1698959"/>
          <a:ext cx="312423" cy="287390"/>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1">
            <a:defRPr sz="1000"/>
          </a:pPr>
          <a:r>
            <a:rPr lang="pt-BR" sz="1200" b="1" i="0" strike="noStrike">
              <a:solidFill>
                <a:srgbClr val="000000"/>
              </a:solidFill>
              <a:latin typeface="Arial"/>
              <a:cs typeface="Arial"/>
            </a:rPr>
            <a:t>pH</a:t>
          </a:r>
        </a:p>
      </cdr:txBody>
    </cdr:sp>
  </cdr:relSizeAnchor>
  <cdr:relSizeAnchor xmlns:cdr="http://schemas.openxmlformats.org/drawingml/2006/chartDrawing">
    <cdr:from>
      <cdr:x>0.8269</cdr:x>
      <cdr:y>0.01656</cdr:y>
    </cdr:from>
    <cdr:to>
      <cdr:x>0.93572</cdr:x>
      <cdr:y>0.07133</cdr:y>
    </cdr:to>
    <cdr:pic>
      <cdr:nvPicPr>
        <cdr:cNvPr id="2084871" name="Picture 7" descr="curtipotp">
          <a:extLst xmlns:a="http://schemas.openxmlformats.org/drawingml/2006/main">
            <a:ext uri="{FF2B5EF4-FFF2-40B4-BE49-F238E27FC236}">
              <a16:creationId xmlns:a16="http://schemas.microsoft.com/office/drawing/2014/main" id="{D85C41C8-F64F-4B1C-B9DC-30F479288018}"/>
            </a:ext>
          </a:extLst>
        </cdr:cNvPr>
        <cdr:cNvPicPr preferRelativeResize="0">
          <a:picLocks xmlns:a="http://schemas.openxmlformats.org/drawingml/2006/main" noChangeArrowheads="1"/>
        </cdr:cNvPicPr>
      </cdr:nvPicPr>
      <cdr:blipFill>
        <a:blip xmlns:a="http://schemas.openxmlformats.org/drawingml/2006/main" xmlns:r="http://schemas.openxmlformats.org/officeDocument/2006/relationships" r:embed="rId1"/>
        <a:srcRect xmlns:a="http://schemas.openxmlformats.org/drawingml/2006/main"/>
        <a:stretch xmlns:a="http://schemas.openxmlformats.org/drawingml/2006/main">
          <a:fillRect/>
        </a:stretch>
      </cdr:blipFill>
      <cdr:spPr bwMode="auto">
        <a:xfrm xmlns:a="http://schemas.openxmlformats.org/drawingml/2006/main">
          <a:off x="6165884" y="62700"/>
          <a:ext cx="811428" cy="207430"/>
        </a:xfrm>
        <a:prstGeom xmlns:a="http://schemas.openxmlformats.org/drawingml/2006/main" prst="rect">
          <a:avLst/>
        </a:prstGeom>
        <a:noFill xmlns:a="http://schemas.openxmlformats.org/drawingml/2006/main"/>
      </cdr:spPr>
    </cdr:pic>
  </cdr:relSizeAnchor>
</c:userShapes>
</file>

<file path=xl/drawings/drawing13.xml><?xml version="1.0" encoding="utf-8"?>
<c:userShapes xmlns:c="http://schemas.openxmlformats.org/drawingml/2006/chart">
  <cdr:relSizeAnchor xmlns:cdr="http://schemas.openxmlformats.org/drawingml/2006/chartDrawing">
    <cdr:from>
      <cdr:x>0.87304</cdr:x>
      <cdr:y>0.0122</cdr:y>
    </cdr:from>
    <cdr:to>
      <cdr:x>0.97159</cdr:x>
      <cdr:y>0.05959</cdr:y>
    </cdr:to>
    <cdr:pic>
      <cdr:nvPicPr>
        <cdr:cNvPr id="21506" name="Picture 2" descr="curtipotp">
          <a:extLst xmlns:a="http://schemas.openxmlformats.org/drawingml/2006/main">
            <a:ext uri="{FF2B5EF4-FFF2-40B4-BE49-F238E27FC236}">
              <a16:creationId xmlns:a16="http://schemas.microsoft.com/office/drawing/2014/main" id="{5A02B2D4-1ED5-440C-869F-0D578FFBB0B8}"/>
            </a:ext>
          </a:extLst>
        </cdr:cNvPr>
        <cdr:cNvPicPr>
          <a:picLocks xmlns:a="http://schemas.openxmlformats.org/drawingml/2006/main" noChangeAspect="1" noChangeArrowheads="1"/>
        </cdr:cNvPicPr>
      </cdr:nvPicPr>
      <cdr:blipFill>
        <a:blip xmlns:a="http://schemas.openxmlformats.org/drawingml/2006/main" xmlns:r="http://schemas.openxmlformats.org/officeDocument/2006/relationships" r:embed="rId1"/>
        <a:srcRect xmlns:a="http://schemas.openxmlformats.org/drawingml/2006/main"/>
        <a:stretch xmlns:a="http://schemas.openxmlformats.org/drawingml/2006/main">
          <a:fillRect/>
        </a:stretch>
      </cdr:blipFill>
      <cdr:spPr bwMode="auto">
        <a:xfrm xmlns:a="http://schemas.openxmlformats.org/drawingml/2006/main">
          <a:off x="6364941" y="46052"/>
          <a:ext cx="717246" cy="166940"/>
        </a:xfrm>
        <a:prstGeom xmlns:a="http://schemas.openxmlformats.org/drawingml/2006/main" prst="rect">
          <a:avLst/>
        </a:prstGeom>
        <a:noFill xmlns:a="http://schemas.openxmlformats.org/drawingml/2006/main"/>
      </cdr:spPr>
    </cdr:pic>
  </cdr:relSizeAnchor>
</c:userShapes>
</file>

<file path=xl/drawings/drawing14.xml><?xml version="1.0" encoding="utf-8"?>
<c:userShapes xmlns:c="http://schemas.openxmlformats.org/drawingml/2006/chart">
  <cdr:relSizeAnchor xmlns:cdr="http://schemas.openxmlformats.org/drawingml/2006/chartDrawing">
    <cdr:from>
      <cdr:x>0.95062</cdr:x>
      <cdr:y>0.45987</cdr:y>
    </cdr:from>
    <cdr:to>
      <cdr:x>0.99352</cdr:x>
      <cdr:y>0.56961</cdr:y>
    </cdr:to>
    <cdr:sp macro="" textlink="">
      <cdr:nvSpPr>
        <cdr:cNvPr id="2082819" name="Text Box 3"/>
        <cdr:cNvSpPr txBox="1">
          <a:spLocks xmlns:a="http://schemas.openxmlformats.org/drawingml/2006/main" noChangeArrowheads="1"/>
        </cdr:cNvSpPr>
      </cdr:nvSpPr>
      <cdr:spPr bwMode="auto">
        <a:xfrm xmlns:a="http://schemas.openxmlformats.org/drawingml/2006/main">
          <a:off x="7074069" y="1743576"/>
          <a:ext cx="319242" cy="416072"/>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1">
            <a:defRPr sz="1000"/>
          </a:pPr>
          <a:r>
            <a:rPr lang="pt-BR" sz="1200" b="1" i="0" strike="noStrike">
              <a:solidFill>
                <a:srgbClr val="000000"/>
              </a:solidFill>
              <a:latin typeface="Arial"/>
              <a:cs typeface="Arial"/>
            </a:rPr>
            <a:t>pH</a:t>
          </a:r>
        </a:p>
      </cdr:txBody>
    </cdr:sp>
  </cdr:relSizeAnchor>
  <cdr:relSizeAnchor xmlns:cdr="http://schemas.openxmlformats.org/drawingml/2006/chartDrawing">
    <cdr:from>
      <cdr:x>0.82855</cdr:x>
      <cdr:y>0.01941</cdr:y>
    </cdr:from>
    <cdr:to>
      <cdr:x>0.9375</cdr:x>
      <cdr:y>0.07363</cdr:y>
    </cdr:to>
    <cdr:pic>
      <cdr:nvPicPr>
        <cdr:cNvPr id="6" name="Picture 7" descr="curtipotp">
          <a:extLst xmlns:a="http://schemas.openxmlformats.org/drawingml/2006/main">
            <a:ext uri="{FF2B5EF4-FFF2-40B4-BE49-F238E27FC236}">
              <a16:creationId xmlns:a16="http://schemas.microsoft.com/office/drawing/2014/main" id="{C7E429E6-0973-4176-B134-B7EF2BBAD650}"/>
            </a:ext>
          </a:extLst>
        </cdr:cNvPr>
        <cdr:cNvPicPr preferRelativeResize="0">
          <a:picLocks xmlns:a="http://schemas.openxmlformats.org/drawingml/2006/main" noChangeArrowheads="1"/>
        </cdr:cNvPicPr>
      </cdr:nvPicPr>
      <cdr:blipFill>
        <a:blip xmlns:a="http://schemas.openxmlformats.org/drawingml/2006/main" xmlns:r="http://schemas.openxmlformats.org/officeDocument/2006/relationships" r:embed="rId1"/>
        <a:srcRect xmlns:a="http://schemas.openxmlformats.org/drawingml/2006/main"/>
        <a:stretch xmlns:a="http://schemas.openxmlformats.org/drawingml/2006/main">
          <a:fillRect/>
        </a:stretch>
      </cdr:blipFill>
      <cdr:spPr bwMode="auto">
        <a:xfrm xmlns:a="http://schemas.openxmlformats.org/drawingml/2006/main">
          <a:off x="6170246" y="74246"/>
          <a:ext cx="811428" cy="207430"/>
        </a:xfrm>
        <a:prstGeom xmlns:a="http://schemas.openxmlformats.org/drawingml/2006/main" prst="rect">
          <a:avLst/>
        </a:prstGeom>
        <a:noFill xmlns:a="http://schemas.openxmlformats.org/drawingml/2006/main"/>
      </cdr:spPr>
    </cdr:pic>
  </cdr:relSizeAnchor>
</c:userShapes>
</file>

<file path=xl/drawings/drawing15.xml><?xml version="1.0" encoding="utf-8"?>
<c:userShapes xmlns:c="http://schemas.openxmlformats.org/drawingml/2006/chart">
  <cdr:relSizeAnchor xmlns:cdr="http://schemas.openxmlformats.org/drawingml/2006/chartDrawing">
    <cdr:from>
      <cdr:x>0.87304</cdr:x>
      <cdr:y>0.0122</cdr:y>
    </cdr:from>
    <cdr:to>
      <cdr:x>0.97159</cdr:x>
      <cdr:y>0.05959</cdr:y>
    </cdr:to>
    <cdr:pic>
      <cdr:nvPicPr>
        <cdr:cNvPr id="21506" name="Picture 2" descr="curtipotp">
          <a:extLst xmlns:a="http://schemas.openxmlformats.org/drawingml/2006/main">
            <a:ext uri="{FF2B5EF4-FFF2-40B4-BE49-F238E27FC236}">
              <a16:creationId xmlns:a16="http://schemas.microsoft.com/office/drawing/2014/main" id="{08AD97F2-3712-4EB0-A05D-108CED7A8192}"/>
            </a:ext>
          </a:extLst>
        </cdr:cNvPr>
        <cdr:cNvPicPr>
          <a:picLocks xmlns:a="http://schemas.openxmlformats.org/drawingml/2006/main" noChangeAspect="1" noChangeArrowheads="1"/>
        </cdr:cNvPicPr>
      </cdr:nvPicPr>
      <cdr:blipFill>
        <a:blip xmlns:a="http://schemas.openxmlformats.org/drawingml/2006/main" xmlns:r="http://schemas.openxmlformats.org/officeDocument/2006/relationships" r:embed="rId1"/>
        <a:srcRect xmlns:a="http://schemas.openxmlformats.org/drawingml/2006/main"/>
        <a:stretch xmlns:a="http://schemas.openxmlformats.org/drawingml/2006/main">
          <a:fillRect/>
        </a:stretch>
      </cdr:blipFill>
      <cdr:spPr bwMode="auto">
        <a:xfrm xmlns:a="http://schemas.openxmlformats.org/drawingml/2006/main">
          <a:off x="6364941" y="46052"/>
          <a:ext cx="717246" cy="166940"/>
        </a:xfrm>
        <a:prstGeom xmlns:a="http://schemas.openxmlformats.org/drawingml/2006/main" prst="rect">
          <a:avLst/>
        </a:prstGeom>
        <a:noFill xmlns:a="http://schemas.openxmlformats.org/drawingml/2006/main"/>
      </cdr:spPr>
    </cdr:pic>
  </cdr:relSizeAnchor>
</c:userShapes>
</file>

<file path=xl/drawings/drawing16.xml><?xml version="1.0" encoding="utf-8"?>
<c:userShapes xmlns:c="http://schemas.openxmlformats.org/drawingml/2006/chart">
  <cdr:relSizeAnchor xmlns:cdr="http://schemas.openxmlformats.org/drawingml/2006/chartDrawing">
    <cdr:from>
      <cdr:x>0.94814</cdr:x>
      <cdr:y>0.4498</cdr:y>
    </cdr:from>
    <cdr:to>
      <cdr:x>1</cdr:x>
      <cdr:y>0.54157</cdr:y>
    </cdr:to>
    <cdr:sp macro="" textlink="">
      <cdr:nvSpPr>
        <cdr:cNvPr id="2082819" name="Text Box 3"/>
        <cdr:cNvSpPr txBox="1">
          <a:spLocks xmlns:a="http://schemas.openxmlformats.org/drawingml/2006/main" noChangeArrowheads="1"/>
        </cdr:cNvSpPr>
      </cdr:nvSpPr>
      <cdr:spPr bwMode="auto">
        <a:xfrm xmlns:a="http://schemas.openxmlformats.org/drawingml/2006/main">
          <a:off x="7073676" y="1734050"/>
          <a:ext cx="386906" cy="35376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1">
            <a:defRPr sz="1000"/>
          </a:pPr>
          <a:r>
            <a:rPr lang="pt-BR" sz="1200" b="1" i="0" strike="noStrike">
              <a:solidFill>
                <a:srgbClr val="000000"/>
              </a:solidFill>
              <a:latin typeface="Arial"/>
              <a:cs typeface="Arial"/>
            </a:rPr>
            <a:t>pH</a:t>
          </a:r>
        </a:p>
      </cdr:txBody>
    </cdr:sp>
  </cdr:relSizeAnchor>
  <cdr:relSizeAnchor xmlns:cdr="http://schemas.openxmlformats.org/drawingml/2006/chartDrawing">
    <cdr:from>
      <cdr:x>0.828</cdr:x>
      <cdr:y>0.01155</cdr:y>
    </cdr:from>
    <cdr:to>
      <cdr:x>0.93668</cdr:x>
      <cdr:y>0.06487</cdr:y>
    </cdr:to>
    <cdr:pic>
      <cdr:nvPicPr>
        <cdr:cNvPr id="6" name="Picture 7" descr="curtipotp">
          <a:extLst xmlns:a="http://schemas.openxmlformats.org/drawingml/2006/main">
            <a:ext uri="{FF2B5EF4-FFF2-40B4-BE49-F238E27FC236}">
              <a16:creationId xmlns:a16="http://schemas.microsoft.com/office/drawing/2014/main" id="{A29D1C99-41E9-4E29-9AB1-C8D04241B41E}"/>
            </a:ext>
          </a:extLst>
        </cdr:cNvPr>
        <cdr:cNvPicPr preferRelativeResize="0">
          <a:picLocks xmlns:a="http://schemas.openxmlformats.org/drawingml/2006/main" noChangeArrowheads="1"/>
        </cdr:cNvPicPr>
      </cdr:nvPicPr>
      <cdr:blipFill>
        <a:blip xmlns:a="http://schemas.openxmlformats.org/drawingml/2006/main" xmlns:r="http://schemas.openxmlformats.org/officeDocument/2006/relationships" r:embed="rId1"/>
        <a:srcRect xmlns:a="http://schemas.openxmlformats.org/drawingml/2006/main"/>
        <a:stretch xmlns:a="http://schemas.openxmlformats.org/drawingml/2006/main">
          <a:fillRect/>
        </a:stretch>
      </cdr:blipFill>
      <cdr:spPr bwMode="auto">
        <a:xfrm xmlns:a="http://schemas.openxmlformats.org/drawingml/2006/main">
          <a:off x="6181969" y="44939"/>
          <a:ext cx="811428" cy="207430"/>
        </a:xfrm>
        <a:prstGeom xmlns:a="http://schemas.openxmlformats.org/drawingml/2006/main" prst="rect">
          <a:avLst/>
        </a:prstGeom>
        <a:noFill xmlns:a="http://schemas.openxmlformats.org/drawingml/2006/main"/>
      </cdr:spPr>
    </cdr:pic>
  </cdr:relSizeAnchor>
</c:userShapes>
</file>

<file path=xl/drawings/drawing17.xml><?xml version="1.0" encoding="utf-8"?>
<c:userShapes xmlns:c="http://schemas.openxmlformats.org/drawingml/2006/chart">
  <cdr:relSizeAnchor xmlns:cdr="http://schemas.openxmlformats.org/drawingml/2006/chartDrawing">
    <cdr:from>
      <cdr:x>0.8723</cdr:x>
      <cdr:y>0.0122</cdr:y>
    </cdr:from>
    <cdr:to>
      <cdr:x>0.9706</cdr:x>
      <cdr:y>0.05643</cdr:y>
    </cdr:to>
    <cdr:pic>
      <cdr:nvPicPr>
        <cdr:cNvPr id="21506" name="Picture 2" descr="curtipotp">
          <a:extLst xmlns:a="http://schemas.openxmlformats.org/drawingml/2006/main">
            <a:ext uri="{FF2B5EF4-FFF2-40B4-BE49-F238E27FC236}">
              <a16:creationId xmlns:a16="http://schemas.microsoft.com/office/drawing/2014/main" id="{F61BB028-7F9C-436A-949E-34283CF3CC87}"/>
            </a:ext>
          </a:extLst>
        </cdr:cNvPr>
        <cdr:cNvPicPr>
          <a:picLocks xmlns:a="http://schemas.openxmlformats.org/drawingml/2006/main" noChangeAspect="1" noChangeArrowheads="1"/>
        </cdr:cNvPicPr>
      </cdr:nvPicPr>
      <cdr:blipFill>
        <a:blip xmlns:a="http://schemas.openxmlformats.org/drawingml/2006/main" xmlns:r="http://schemas.openxmlformats.org/officeDocument/2006/relationships" r:embed="rId1"/>
        <a:srcRect xmlns:a="http://schemas.openxmlformats.org/drawingml/2006/main"/>
        <a:stretch xmlns:a="http://schemas.openxmlformats.org/drawingml/2006/main">
          <a:fillRect/>
        </a:stretch>
      </cdr:blipFill>
      <cdr:spPr bwMode="auto">
        <a:xfrm xmlns:a="http://schemas.openxmlformats.org/drawingml/2006/main">
          <a:off x="6364941" y="46052"/>
          <a:ext cx="717246" cy="166940"/>
        </a:xfrm>
        <a:prstGeom xmlns:a="http://schemas.openxmlformats.org/drawingml/2006/main" prst="rect">
          <a:avLst/>
        </a:prstGeom>
        <a:noFill xmlns:a="http://schemas.openxmlformats.org/drawingml/2006/main"/>
      </cdr:spPr>
    </cdr:pic>
  </cdr:relSizeAnchor>
</c:userShapes>
</file>

<file path=xl/drawings/drawing18.xml><?xml version="1.0" encoding="utf-8"?>
<c:userShapes xmlns:c="http://schemas.openxmlformats.org/drawingml/2006/chart">
  <cdr:relSizeAnchor xmlns:cdr="http://schemas.openxmlformats.org/drawingml/2006/chartDrawing">
    <cdr:from>
      <cdr:x>0.8355</cdr:x>
      <cdr:y>0.01528</cdr:y>
    </cdr:from>
    <cdr:to>
      <cdr:x>0.93123</cdr:x>
      <cdr:y>0.05807</cdr:y>
    </cdr:to>
    <cdr:pic>
      <cdr:nvPicPr>
        <cdr:cNvPr id="46081" name="Picture 1" descr="curtipotp">
          <a:extLst xmlns:a="http://schemas.openxmlformats.org/drawingml/2006/main">
            <a:ext uri="{FF2B5EF4-FFF2-40B4-BE49-F238E27FC236}">
              <a16:creationId xmlns:a16="http://schemas.microsoft.com/office/drawing/2014/main" id="{4D2E3900-6BA9-403D-9CE1-81B50B267B8D}"/>
            </a:ext>
          </a:extLst>
        </cdr:cNvPr>
        <cdr:cNvPicPr>
          <a:picLocks xmlns:a="http://schemas.openxmlformats.org/drawingml/2006/main" noChangeAspect="1" noChangeArrowheads="1"/>
        </cdr:cNvPicPr>
      </cdr:nvPicPr>
      <cdr:blipFill>
        <a:blip xmlns:a="http://schemas.openxmlformats.org/drawingml/2006/main" xmlns:r="http://schemas.openxmlformats.org/officeDocument/2006/relationships" r:embed="rId1"/>
        <a:srcRect xmlns:a="http://schemas.openxmlformats.org/drawingml/2006/main"/>
        <a:stretch xmlns:a="http://schemas.openxmlformats.org/drawingml/2006/main">
          <a:fillRect/>
        </a:stretch>
      </cdr:blipFill>
      <cdr:spPr bwMode="auto">
        <a:xfrm xmlns:a="http://schemas.openxmlformats.org/drawingml/2006/main">
          <a:off x="6269781" y="62774"/>
          <a:ext cx="718381" cy="175790"/>
        </a:xfrm>
        <a:prstGeom xmlns:a="http://schemas.openxmlformats.org/drawingml/2006/main" prst="rect">
          <a:avLst/>
        </a:prstGeom>
        <a:noFill xmlns:a="http://schemas.openxmlformats.org/drawingml/2006/main"/>
      </cdr:spPr>
    </cdr:pic>
  </cdr:relSizeAnchor>
  <cdr:relSizeAnchor xmlns:cdr="http://schemas.openxmlformats.org/drawingml/2006/chartDrawing">
    <cdr:from>
      <cdr:x>0.94118</cdr:x>
      <cdr:y>0.43332</cdr:y>
    </cdr:from>
    <cdr:to>
      <cdr:x>0.99352</cdr:x>
      <cdr:y>0.53732</cdr:y>
    </cdr:to>
    <cdr:sp macro="" textlink="">
      <cdr:nvSpPr>
        <cdr:cNvPr id="2082819" name="Text Box 3"/>
        <cdr:cNvSpPr txBox="1">
          <a:spLocks xmlns:a="http://schemas.openxmlformats.org/drawingml/2006/main" noChangeArrowheads="1"/>
        </cdr:cNvSpPr>
      </cdr:nvSpPr>
      <cdr:spPr bwMode="auto">
        <a:xfrm xmlns:a="http://schemas.openxmlformats.org/drawingml/2006/main">
          <a:off x="7057610" y="1764129"/>
          <a:ext cx="392481" cy="423399"/>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1">
            <a:defRPr sz="1000"/>
          </a:pPr>
          <a:r>
            <a:rPr lang="pt-BR" sz="1200" b="1" i="0" strike="noStrike">
              <a:solidFill>
                <a:srgbClr val="000000"/>
              </a:solidFill>
              <a:latin typeface="Arial"/>
              <a:cs typeface="Arial"/>
            </a:rPr>
            <a:t>pH</a:t>
          </a:r>
        </a:p>
      </cdr:txBody>
    </cdr:sp>
  </cdr:relSizeAnchor>
</c:userShapes>
</file>

<file path=xl/drawings/drawing19.xml><?xml version="1.0" encoding="utf-8"?>
<xdr:wsDr xmlns:xdr="http://schemas.openxmlformats.org/drawingml/2006/spreadsheetDrawing" xmlns:a="http://schemas.openxmlformats.org/drawingml/2006/main">
  <xdr:twoCellAnchor>
    <xdr:from>
      <xdr:col>3</xdr:col>
      <xdr:colOff>627531</xdr:colOff>
      <xdr:row>23</xdr:row>
      <xdr:rowOff>159683</xdr:rowOff>
    </xdr:from>
    <xdr:to>
      <xdr:col>13</xdr:col>
      <xdr:colOff>728382</xdr:colOff>
      <xdr:row>42</xdr:row>
      <xdr:rowOff>179294</xdr:rowOff>
    </xdr:to>
    <xdr:graphicFrame macro="">
      <xdr:nvGraphicFramePr>
        <xdr:cNvPr id="18419" name="Chart 2">
          <a:extLst>
            <a:ext uri="{FF2B5EF4-FFF2-40B4-BE49-F238E27FC236}">
              <a16:creationId xmlns:a16="http://schemas.microsoft.com/office/drawing/2014/main" id="{00000000-0008-0000-0600-0000F34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649940</xdr:colOff>
      <xdr:row>4</xdr:row>
      <xdr:rowOff>81803</xdr:rowOff>
    </xdr:from>
    <xdr:to>
      <xdr:col>13</xdr:col>
      <xdr:colOff>728382</xdr:colOff>
      <xdr:row>23</xdr:row>
      <xdr:rowOff>100854</xdr:rowOff>
    </xdr:to>
    <xdr:graphicFrame macro="">
      <xdr:nvGraphicFramePr>
        <xdr:cNvPr id="18420" name="Chart 3">
          <a:extLst>
            <a:ext uri="{FF2B5EF4-FFF2-40B4-BE49-F238E27FC236}">
              <a16:creationId xmlns:a16="http://schemas.microsoft.com/office/drawing/2014/main" id="{00000000-0008-0000-0600-0000F44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498059</xdr:colOff>
      <xdr:row>16</xdr:row>
      <xdr:rowOff>153550</xdr:rowOff>
    </xdr:from>
    <xdr:to>
      <xdr:col>10</xdr:col>
      <xdr:colOff>405634</xdr:colOff>
      <xdr:row>20</xdr:row>
      <xdr:rowOff>109473</xdr:rowOff>
    </xdr:to>
    <xdr:sp macro="" textlink="">
      <xdr:nvSpPr>
        <xdr:cNvPr id="17442" name="Text Box 34">
          <a:extLst>
            <a:ext uri="{FF2B5EF4-FFF2-40B4-BE49-F238E27FC236}">
              <a16:creationId xmlns:a16="http://schemas.microsoft.com/office/drawing/2014/main" id="{00000000-0008-0000-0600-000022440000}"/>
            </a:ext>
          </a:extLst>
        </xdr:cNvPr>
        <xdr:cNvSpPr txBox="1">
          <a:spLocks noChangeArrowheads="1"/>
        </xdr:cNvSpPr>
      </xdr:nvSpPr>
      <xdr:spPr bwMode="auto">
        <a:xfrm>
          <a:off x="4388655" y="3751069"/>
          <a:ext cx="2530614" cy="717923"/>
        </a:xfrm>
        <a:prstGeom prst="rect">
          <a:avLst/>
        </a:prstGeom>
        <a:solidFill>
          <a:srgbClr val="FFFFFF"/>
        </a:solidFill>
        <a:ln w="9525">
          <a:solidFill>
            <a:srgbClr val="000000"/>
          </a:solidFill>
          <a:miter lim="800000"/>
          <a:headEnd/>
          <a:tailEnd/>
        </a:ln>
        <a:effectLst/>
      </xdr:spPr>
      <xdr:txBody>
        <a:bodyPr vertOverflow="clip" wrap="square" lIns="27432" tIns="22860" rIns="0" bIns="0" anchor="t" upright="1"/>
        <a:lstStyle/>
        <a:p>
          <a:pPr algn="l" rtl="1">
            <a:defRPr sz="1000"/>
          </a:pPr>
          <a:r>
            <a:rPr lang="pt-BR" sz="1000" b="0" i="0" strike="noStrike">
              <a:solidFill>
                <a:srgbClr val="000000"/>
              </a:solidFill>
              <a:latin typeface="Arial"/>
              <a:cs typeface="Arial"/>
            </a:rPr>
            <a:t>Titration with  0.100 mol/L NaOH of  20 mL</a:t>
          </a:r>
        </a:p>
        <a:p>
          <a:pPr algn="l" rtl="1">
            <a:defRPr sz="1000"/>
          </a:pPr>
          <a:r>
            <a:rPr lang="pt-BR" sz="1000" b="0" i="0" strike="noStrike">
              <a:solidFill>
                <a:srgbClr val="000000"/>
              </a:solidFill>
              <a:latin typeface="Arial"/>
              <a:cs typeface="Arial"/>
            </a:rPr>
            <a:t>of sample containing 0.05 mol/L H3PO4 </a:t>
          </a:r>
          <a:br>
            <a:rPr lang="pt-BR" sz="1000" b="0" i="0" strike="noStrike">
              <a:solidFill>
                <a:srgbClr val="000000"/>
              </a:solidFill>
              <a:latin typeface="Arial"/>
              <a:cs typeface="Arial"/>
            </a:rPr>
          </a:br>
          <a:r>
            <a:rPr lang="pt-BR" sz="1000" b="0" i="0" strike="noStrike">
              <a:solidFill>
                <a:srgbClr val="000000"/>
              </a:solidFill>
              <a:latin typeface="Arial"/>
              <a:cs typeface="Arial"/>
            </a:rPr>
            <a:t>and 0.05 mol/L NaH2PO4 with simulated dispersion (sVol=0.05 mL and spH=0.05)</a:t>
          </a:r>
        </a:p>
      </xdr:txBody>
    </xdr:sp>
    <xdr:clientData/>
  </xdr:twoCellAnchor>
  <xdr:twoCellAnchor>
    <xdr:from>
      <xdr:col>0</xdr:col>
      <xdr:colOff>0</xdr:colOff>
      <xdr:row>0</xdr:row>
      <xdr:rowOff>0</xdr:rowOff>
    </xdr:from>
    <xdr:to>
      <xdr:col>1</xdr:col>
      <xdr:colOff>499393</xdr:colOff>
      <xdr:row>0</xdr:row>
      <xdr:rowOff>285750</xdr:rowOff>
    </xdr:to>
    <xdr:pic>
      <xdr:nvPicPr>
        <xdr:cNvPr id="12" name="Picture 11" descr="curtipotp">
          <a:extLst>
            <a:ext uri="{FF2B5EF4-FFF2-40B4-BE49-F238E27FC236}">
              <a16:creationId xmlns:a16="http://schemas.microsoft.com/office/drawing/2014/main" id="{00000000-0008-0000-0600-00000C000000}"/>
            </a:ext>
          </a:extLst>
        </xdr:cNvPr>
        <xdr:cNvPicPr>
          <a:picLocks noChangeAspect="1" noChangeArrowheads="1"/>
        </xdr:cNvPicPr>
      </xdr:nvPicPr>
      <xdr:blipFill>
        <a:blip xmlns:r="http://schemas.openxmlformats.org/officeDocument/2006/relationships" r:embed="rId3"/>
        <a:srcRect/>
        <a:stretch>
          <a:fillRect/>
        </a:stretch>
      </xdr:blipFill>
      <xdr:spPr bwMode="auto">
        <a:xfrm>
          <a:off x="0" y="0"/>
          <a:ext cx="1145436" cy="28575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xdr:from>
          <xdr:col>3</xdr:col>
          <xdr:colOff>581025</xdr:colOff>
          <xdr:row>2</xdr:row>
          <xdr:rowOff>57150</xdr:rowOff>
        </xdr:from>
        <xdr:to>
          <xdr:col>5</xdr:col>
          <xdr:colOff>561975</xdr:colOff>
          <xdr:row>3</xdr:row>
          <xdr:rowOff>276225</xdr:rowOff>
        </xdr:to>
        <xdr:sp macro="" textlink="">
          <xdr:nvSpPr>
            <xdr:cNvPr id="17443" name="Button 35" hidden="1">
              <a:extLst>
                <a:ext uri="{63B3BB69-23CF-44E3-9099-C40C66FF867C}">
                  <a14:compatExt spid="_x0000_s17443"/>
                </a:ext>
                <a:ext uri="{FF2B5EF4-FFF2-40B4-BE49-F238E27FC236}">
                  <a16:creationId xmlns:a16="http://schemas.microsoft.com/office/drawing/2014/main" id="{00000000-0008-0000-0600-000023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9007E"/>
                  </a:solidFill>
                  <a:latin typeface="Arial"/>
                  <a:cs typeface="Arial"/>
                </a:rPr>
                <a:t>Process</a:t>
              </a:r>
            </a:p>
            <a:p>
              <a:pPr algn="ctr" rtl="0">
                <a:defRPr sz="1000"/>
              </a:pPr>
              <a:r>
                <a:rPr lang="en-US" sz="1000" b="0" i="0" u="none" strike="noStrike" baseline="0">
                  <a:solidFill>
                    <a:srgbClr val="09007E"/>
                  </a:solidFill>
                  <a:latin typeface="Arial"/>
                  <a:cs typeface="Arial"/>
                </a:rPr>
                <a:t>Smooth, interpolate and find inflections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2</xdr:row>
          <xdr:rowOff>57150</xdr:rowOff>
        </xdr:from>
        <xdr:to>
          <xdr:col>1</xdr:col>
          <xdr:colOff>495300</xdr:colOff>
          <xdr:row>2</xdr:row>
          <xdr:rowOff>304800</xdr:rowOff>
        </xdr:to>
        <xdr:sp macro="" textlink="">
          <xdr:nvSpPr>
            <xdr:cNvPr id="17453" name="Button 45" hidden="1">
              <a:extLst>
                <a:ext uri="{63B3BB69-23CF-44E3-9099-C40C66FF867C}">
                  <a14:compatExt spid="_x0000_s17453"/>
                </a:ext>
                <a:ext uri="{FF2B5EF4-FFF2-40B4-BE49-F238E27FC236}">
                  <a16:creationId xmlns:a16="http://schemas.microsoft.com/office/drawing/2014/main" id="{00000000-0008-0000-0600-00002D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9007E"/>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47625</xdr:colOff>
          <xdr:row>2</xdr:row>
          <xdr:rowOff>57150</xdr:rowOff>
        </xdr:from>
        <xdr:to>
          <xdr:col>3</xdr:col>
          <xdr:colOff>504825</xdr:colOff>
          <xdr:row>2</xdr:row>
          <xdr:rowOff>295275</xdr:rowOff>
        </xdr:to>
        <xdr:sp macro="" textlink="">
          <xdr:nvSpPr>
            <xdr:cNvPr id="17454" name="Button 46" hidden="1">
              <a:extLst>
                <a:ext uri="{63B3BB69-23CF-44E3-9099-C40C66FF867C}">
                  <a14:compatExt spid="_x0000_s17454"/>
                </a:ext>
                <a:ext uri="{FF2B5EF4-FFF2-40B4-BE49-F238E27FC236}">
                  <a16:creationId xmlns:a16="http://schemas.microsoft.com/office/drawing/2014/main" id="{00000000-0008-0000-0600-00002E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9007E"/>
                  </a:solidFill>
                  <a:latin typeface="Arial"/>
                  <a:cs typeface="Arial"/>
                </a:rPr>
                <a:t>Copy Titration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561975</xdr:colOff>
          <xdr:row>3</xdr:row>
          <xdr:rowOff>38100</xdr:rowOff>
        </xdr:from>
        <xdr:to>
          <xdr:col>3</xdr:col>
          <xdr:colOff>504825</xdr:colOff>
          <xdr:row>3</xdr:row>
          <xdr:rowOff>266700</xdr:rowOff>
        </xdr:to>
        <xdr:sp macro="" textlink="">
          <xdr:nvSpPr>
            <xdr:cNvPr id="17455" name="Button 47" hidden="1">
              <a:extLst>
                <a:ext uri="{63B3BB69-23CF-44E3-9099-C40C66FF867C}">
                  <a14:compatExt spid="_x0000_s17455"/>
                </a:ext>
                <a:ext uri="{FF2B5EF4-FFF2-40B4-BE49-F238E27FC236}">
                  <a16:creationId xmlns:a16="http://schemas.microsoft.com/office/drawing/2014/main" id="{00000000-0008-0000-0600-00002F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9007E"/>
                  </a:solidFill>
                  <a:latin typeface="Arial"/>
                  <a:cs typeface="Arial"/>
                </a:rPr>
                <a:t>Copy Sim. with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295275</xdr:colOff>
          <xdr:row>20</xdr:row>
          <xdr:rowOff>57150</xdr:rowOff>
        </xdr:from>
        <xdr:to>
          <xdr:col>15</xdr:col>
          <xdr:colOff>781050</xdr:colOff>
          <xdr:row>21</xdr:row>
          <xdr:rowOff>142875</xdr:rowOff>
        </xdr:to>
        <xdr:sp macro="" textlink="">
          <xdr:nvSpPr>
            <xdr:cNvPr id="18403" name="Button 995" hidden="1">
              <a:extLst>
                <a:ext uri="{63B3BB69-23CF-44E3-9099-C40C66FF867C}">
                  <a14:compatExt spid="_x0000_s18403"/>
                </a:ext>
                <a:ext uri="{FF2B5EF4-FFF2-40B4-BE49-F238E27FC236}">
                  <a16:creationId xmlns:a16="http://schemas.microsoft.com/office/drawing/2014/main" id="{00000000-0008-0000-0600-0000E347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9007E"/>
                  </a:solidFill>
                  <a:latin typeface="Arial"/>
                  <a:cs typeface="Arial"/>
                </a:rPr>
                <a:t>Copy volumes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3</xdr:row>
          <xdr:rowOff>28575</xdr:rowOff>
        </xdr:from>
        <xdr:to>
          <xdr:col>1</xdr:col>
          <xdr:colOff>504825</xdr:colOff>
          <xdr:row>3</xdr:row>
          <xdr:rowOff>266700</xdr:rowOff>
        </xdr:to>
        <xdr:sp macro="" textlink="">
          <xdr:nvSpPr>
            <xdr:cNvPr id="5525507" name="Button 1027" hidden="1">
              <a:extLst>
                <a:ext uri="{63B3BB69-23CF-44E3-9099-C40C66FF867C}">
                  <a14:compatExt spid="_x0000_s5525507"/>
                </a:ext>
                <a:ext uri="{FF2B5EF4-FFF2-40B4-BE49-F238E27FC236}">
                  <a16:creationId xmlns:a16="http://schemas.microsoft.com/office/drawing/2014/main" id="{00000000-0008-0000-0600-000003505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9007E"/>
                  </a:solidFill>
                  <a:latin typeface="Arial"/>
                  <a:cs typeface="Arial"/>
                </a:rPr>
                <a:t>Copy Simulation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571500</xdr:colOff>
          <xdr:row>18</xdr:row>
          <xdr:rowOff>47625</xdr:rowOff>
        </xdr:from>
        <xdr:to>
          <xdr:col>17</xdr:col>
          <xdr:colOff>704850</xdr:colOff>
          <xdr:row>19</xdr:row>
          <xdr:rowOff>133350</xdr:rowOff>
        </xdr:to>
        <xdr:sp macro="" textlink="">
          <xdr:nvSpPr>
            <xdr:cNvPr id="5525512" name="Button 1032" hidden="1">
              <a:extLst>
                <a:ext uri="{63B3BB69-23CF-44E3-9099-C40C66FF867C}">
                  <a14:compatExt spid="_x0000_s5525512"/>
                </a:ext>
                <a:ext uri="{FF2B5EF4-FFF2-40B4-BE49-F238E27FC236}">
                  <a16:creationId xmlns:a16="http://schemas.microsoft.com/office/drawing/2014/main" id="{00000000-0008-0000-0600-000008505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9007E"/>
                  </a:solidFill>
                  <a:latin typeface="Arial"/>
                  <a:cs typeface="Arial"/>
                </a:rPr>
                <a:t>Save this result in +Eva</a:t>
              </a:r>
            </a:p>
          </xdr:txBody>
        </xdr:sp>
        <xdr:clientData fPrintsWithSheet="0"/>
      </xdr:twoCellAnchor>
    </mc:Choice>
    <mc:Fallback/>
  </mc:AlternateContent>
</xdr:wsDr>
</file>

<file path=xl/drawings/drawing20.xml><?xml version="1.0" encoding="utf-8"?>
<c:userShapes xmlns:c="http://schemas.openxmlformats.org/drawingml/2006/chart">
  <cdr:relSizeAnchor xmlns:cdr="http://schemas.openxmlformats.org/drawingml/2006/chartDrawing">
    <cdr:from>
      <cdr:x>0.89225</cdr:x>
      <cdr:y>0</cdr:y>
    </cdr:from>
    <cdr:to>
      <cdr:x>0.92009</cdr:x>
      <cdr:y>0</cdr:y>
    </cdr:to>
    <cdr:pic>
      <cdr:nvPicPr>
        <cdr:cNvPr id="22529" name="Picture 1" descr="curtipotp">
          <a:extLst xmlns:a="http://schemas.openxmlformats.org/drawingml/2006/main">
            <a:ext uri="{FF2B5EF4-FFF2-40B4-BE49-F238E27FC236}">
              <a16:creationId xmlns:a16="http://schemas.microsoft.com/office/drawing/2014/main" id="{4C84B3E3-8998-42E3-B84E-64EE053E28E4}"/>
            </a:ext>
          </a:extLst>
        </cdr:cNvPr>
        <cdr:cNvPicPr>
          <a:picLocks xmlns:a="http://schemas.openxmlformats.org/drawingml/2006/main" noChangeAspect="1" noChangeArrowheads="1"/>
        </cdr:cNvPicPr>
      </cdr:nvPicPr>
      <cdr:blipFill>
        <a:blip xmlns:a="http://schemas.openxmlformats.org/drawingml/2006/main" xmlns:r="http://schemas.openxmlformats.org/officeDocument/2006/relationships" r:embed="rId1"/>
        <a:srcRect xmlns:a="http://schemas.openxmlformats.org/drawingml/2006/main"/>
        <a:stretch xmlns:a="http://schemas.openxmlformats.org/drawingml/2006/main">
          <a:fillRect/>
        </a:stretch>
      </cdr:blipFill>
      <cdr:spPr bwMode="auto">
        <a:xfrm xmlns:a="http://schemas.openxmlformats.org/drawingml/2006/main">
          <a:off x="6097058" y="42720"/>
          <a:ext cx="740833" cy="196609"/>
        </a:xfrm>
        <a:prstGeom xmlns:a="http://schemas.openxmlformats.org/drawingml/2006/main" prst="rect">
          <a:avLst/>
        </a:prstGeom>
        <a:noFill xmlns:a="http://schemas.openxmlformats.org/drawingml/2006/main"/>
      </cdr:spPr>
    </cdr:pic>
  </cdr:relSizeAnchor>
  <cdr:relSizeAnchor xmlns:cdr="http://schemas.openxmlformats.org/drawingml/2006/chartDrawing">
    <cdr:from>
      <cdr:x>0.86971</cdr:x>
      <cdr:y>0.0087</cdr:y>
    </cdr:from>
    <cdr:to>
      <cdr:x>0.96058</cdr:x>
      <cdr:y>0.06019</cdr:y>
    </cdr:to>
    <cdr:pic>
      <cdr:nvPicPr>
        <cdr:cNvPr id="3" name="Picture 4" descr="curtipotp">
          <a:extLst xmlns:a="http://schemas.openxmlformats.org/drawingml/2006/main">
            <a:ext uri="{FF2B5EF4-FFF2-40B4-BE49-F238E27FC236}">
              <a16:creationId xmlns:a16="http://schemas.microsoft.com/office/drawing/2014/main" id="{3FCECEDE-FC1C-4D06-82AB-617962E2FDD8}"/>
            </a:ext>
          </a:extLst>
        </cdr:cNvPr>
        <cdr:cNvPicPr preferRelativeResize="0">
          <a:picLocks xmlns:a="http://schemas.openxmlformats.org/drawingml/2006/main" noChangeArrowheads="1"/>
        </cdr:cNvPicPr>
      </cdr:nvPicPr>
      <cdr:blipFill>
        <a:blip xmlns:a="http://schemas.openxmlformats.org/drawingml/2006/main" xmlns:r="http://schemas.openxmlformats.org/officeDocument/2006/relationships" r:embed="rId1"/>
        <a:srcRect xmlns:a="http://schemas.openxmlformats.org/drawingml/2006/main"/>
        <a:stretch xmlns:a="http://schemas.openxmlformats.org/drawingml/2006/main">
          <a:fillRect/>
        </a:stretch>
      </cdr:blipFill>
      <cdr:spPr bwMode="auto">
        <a:xfrm xmlns:a="http://schemas.openxmlformats.org/drawingml/2006/main">
          <a:off x="5759823" y="33617"/>
          <a:ext cx="601806" cy="198906"/>
        </a:xfrm>
        <a:prstGeom xmlns:a="http://schemas.openxmlformats.org/drawingml/2006/main" prst="rect">
          <a:avLst/>
        </a:prstGeom>
        <a:noFill xmlns:a="http://schemas.openxmlformats.org/drawingml/2006/main"/>
      </cdr:spPr>
    </cdr:pic>
  </cdr:relSizeAnchor>
</c:userShapes>
</file>

<file path=xl/drawings/drawing21.xml><?xml version="1.0" encoding="utf-8"?>
<c:userShapes xmlns:c="http://schemas.openxmlformats.org/drawingml/2006/chart">
  <cdr:relSizeAnchor xmlns:cdr="http://schemas.openxmlformats.org/drawingml/2006/chartDrawing">
    <cdr:from>
      <cdr:x>0.876</cdr:x>
      <cdr:y>0</cdr:y>
    </cdr:from>
    <cdr:to>
      <cdr:x>0.89078</cdr:x>
      <cdr:y>0</cdr:y>
    </cdr:to>
    <cdr:pic>
      <cdr:nvPicPr>
        <cdr:cNvPr id="55297" name="Picture 1" descr="curtipotp">
          <a:extLst xmlns:a="http://schemas.openxmlformats.org/drawingml/2006/main">
            <a:ext uri="{FF2B5EF4-FFF2-40B4-BE49-F238E27FC236}">
              <a16:creationId xmlns:a16="http://schemas.microsoft.com/office/drawing/2014/main" id="{7A0B5813-2678-48D9-848D-CE342390DCCD}"/>
            </a:ext>
          </a:extLst>
        </cdr:cNvPr>
        <cdr:cNvPicPr>
          <a:picLocks xmlns:a="http://schemas.openxmlformats.org/drawingml/2006/main" noChangeAspect="1" noChangeArrowheads="1"/>
        </cdr:cNvPicPr>
      </cdr:nvPicPr>
      <cdr:blipFill>
        <a:blip xmlns:a="http://schemas.openxmlformats.org/drawingml/2006/main" xmlns:r="http://schemas.openxmlformats.org/officeDocument/2006/relationships" r:embed="rId1"/>
        <a:srcRect xmlns:a="http://schemas.openxmlformats.org/drawingml/2006/main"/>
        <a:stretch xmlns:a="http://schemas.openxmlformats.org/drawingml/2006/main">
          <a:fillRect/>
        </a:stretch>
      </cdr:blipFill>
      <cdr:spPr bwMode="auto">
        <a:xfrm xmlns:a="http://schemas.openxmlformats.org/drawingml/2006/main">
          <a:off x="6080688" y="35999"/>
          <a:ext cx="704288" cy="183352"/>
        </a:xfrm>
        <a:prstGeom xmlns:a="http://schemas.openxmlformats.org/drawingml/2006/main" prst="rect">
          <a:avLst/>
        </a:prstGeom>
        <a:noFill xmlns:a="http://schemas.openxmlformats.org/drawingml/2006/main"/>
      </cdr:spPr>
    </cdr:pic>
  </cdr:relSizeAnchor>
  <cdr:relSizeAnchor xmlns:cdr="http://schemas.openxmlformats.org/drawingml/2006/chartDrawing">
    <cdr:from>
      <cdr:x>0.87367</cdr:x>
      <cdr:y>0.00816</cdr:y>
    </cdr:from>
    <cdr:to>
      <cdr:x>0.95916</cdr:x>
      <cdr:y>0.0634</cdr:y>
    </cdr:to>
    <cdr:pic>
      <cdr:nvPicPr>
        <cdr:cNvPr id="3" name="Picture 4" descr="curtipotp">
          <a:extLst xmlns:a="http://schemas.openxmlformats.org/drawingml/2006/main">
            <a:ext uri="{FF2B5EF4-FFF2-40B4-BE49-F238E27FC236}">
              <a16:creationId xmlns:a16="http://schemas.microsoft.com/office/drawing/2014/main" id="{482CB324-C1C5-4E27-824A-BD620F726EC2}"/>
            </a:ext>
          </a:extLst>
        </cdr:cNvPr>
        <cdr:cNvPicPr preferRelativeResize="0">
          <a:picLocks xmlns:a="http://schemas.openxmlformats.org/drawingml/2006/main" noChangeArrowheads="1"/>
        </cdr:cNvPicPr>
      </cdr:nvPicPr>
      <cdr:blipFill>
        <a:blip xmlns:a="http://schemas.openxmlformats.org/drawingml/2006/main" xmlns:r="http://schemas.openxmlformats.org/officeDocument/2006/relationships" r:embed="rId1"/>
        <a:srcRect xmlns:a="http://schemas.openxmlformats.org/drawingml/2006/main"/>
        <a:stretch xmlns:a="http://schemas.openxmlformats.org/drawingml/2006/main">
          <a:fillRect/>
        </a:stretch>
      </cdr:blipFill>
      <cdr:spPr bwMode="auto">
        <a:xfrm xmlns:a="http://schemas.openxmlformats.org/drawingml/2006/main">
          <a:off x="5766454" y="30151"/>
          <a:ext cx="564257" cy="204089"/>
        </a:xfrm>
        <a:prstGeom xmlns:a="http://schemas.openxmlformats.org/drawingml/2006/main" prst="rect">
          <a:avLst/>
        </a:prstGeom>
        <a:noFill xmlns:a="http://schemas.openxmlformats.org/drawingml/2006/main"/>
      </cdr:spPr>
    </cdr:pic>
  </cdr:relSizeAnchor>
</c:userShapes>
</file>

<file path=xl/drawings/drawing2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1062038</xdr:colOff>
      <xdr:row>1</xdr:row>
      <xdr:rowOff>1432</xdr:rowOff>
    </xdr:to>
    <xdr:pic>
      <xdr:nvPicPr>
        <xdr:cNvPr id="2" name="Picture 26" descr="curtipotp">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0"/>
          <a:ext cx="1062038" cy="300789"/>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xdr:from>
          <xdr:col>2</xdr:col>
          <xdr:colOff>238125</xdr:colOff>
          <xdr:row>1</xdr:row>
          <xdr:rowOff>76200</xdr:rowOff>
        </xdr:from>
        <xdr:to>
          <xdr:col>6</xdr:col>
          <xdr:colOff>676275</xdr:colOff>
          <xdr:row>2</xdr:row>
          <xdr:rowOff>190500</xdr:rowOff>
        </xdr:to>
        <xdr:sp macro="" textlink="">
          <xdr:nvSpPr>
            <xdr:cNvPr id="5541889" name="Button 1" hidden="1">
              <a:extLst>
                <a:ext uri="{63B3BB69-23CF-44E3-9099-C40C66FF867C}">
                  <a14:compatExt spid="_x0000_s5541889"/>
                </a:ext>
                <a:ext uri="{FF2B5EF4-FFF2-40B4-BE49-F238E27FC236}">
                  <a16:creationId xmlns:a16="http://schemas.microsoft.com/office/drawing/2014/main" id="{00000000-0008-0000-0700-000001905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9007E"/>
                  </a:solidFill>
                  <a:latin typeface="Arial"/>
                  <a:cs typeface="Arial"/>
                </a:rPr>
                <a:t>Copy the current result from Evaluation</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twoCellAnchor>
    <xdr:from>
      <xdr:col>0</xdr:col>
      <xdr:colOff>0</xdr:colOff>
      <xdr:row>22</xdr:row>
      <xdr:rowOff>6569</xdr:rowOff>
    </xdr:from>
    <xdr:to>
      <xdr:col>7</xdr:col>
      <xdr:colOff>1162050</xdr:colOff>
      <xdr:row>37</xdr:row>
      <xdr:rowOff>7328</xdr:rowOff>
    </xdr:to>
    <xdr:graphicFrame macro="">
      <xdr:nvGraphicFramePr>
        <xdr:cNvPr id="5127814" name="Chart 4">
          <a:extLst>
            <a:ext uri="{FF2B5EF4-FFF2-40B4-BE49-F238E27FC236}">
              <a16:creationId xmlns:a16="http://schemas.microsoft.com/office/drawing/2014/main" id="{00000000-0008-0000-0800-0000863E4E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1266825</xdr:colOff>
      <xdr:row>20</xdr:row>
      <xdr:rowOff>95250</xdr:rowOff>
    </xdr:from>
    <xdr:to>
      <xdr:col>12</xdr:col>
      <xdr:colOff>1032062</xdr:colOff>
      <xdr:row>28</xdr:row>
      <xdr:rowOff>76200</xdr:rowOff>
    </xdr:to>
    <xdr:graphicFrame macro="">
      <xdr:nvGraphicFramePr>
        <xdr:cNvPr id="5127815" name="Chart 9">
          <a:extLst>
            <a:ext uri="{FF2B5EF4-FFF2-40B4-BE49-F238E27FC236}">
              <a16:creationId xmlns:a16="http://schemas.microsoft.com/office/drawing/2014/main" id="{00000000-0008-0000-0800-0000873E4E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1266824</xdr:colOff>
      <xdr:row>28</xdr:row>
      <xdr:rowOff>47624</xdr:rowOff>
    </xdr:from>
    <xdr:to>
      <xdr:col>12</xdr:col>
      <xdr:colOff>1032061</xdr:colOff>
      <xdr:row>37</xdr:row>
      <xdr:rowOff>14654</xdr:rowOff>
    </xdr:to>
    <xdr:graphicFrame macro="">
      <xdr:nvGraphicFramePr>
        <xdr:cNvPr id="5127818" name="Chart 2809">
          <a:extLst>
            <a:ext uri="{FF2B5EF4-FFF2-40B4-BE49-F238E27FC236}">
              <a16:creationId xmlns:a16="http://schemas.microsoft.com/office/drawing/2014/main" id="{00000000-0008-0000-0800-00008A3E4E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0</xdr:row>
      <xdr:rowOff>0</xdr:rowOff>
    </xdr:from>
    <xdr:to>
      <xdr:col>1</xdr:col>
      <xdr:colOff>234349</xdr:colOff>
      <xdr:row>0</xdr:row>
      <xdr:rowOff>285750</xdr:rowOff>
    </xdr:to>
    <xdr:pic>
      <xdr:nvPicPr>
        <xdr:cNvPr id="27" name="Picture 11" descr="curtipotp">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4"/>
        <a:srcRect/>
        <a:stretch>
          <a:fillRect/>
        </a:stretch>
      </xdr:blipFill>
      <xdr:spPr bwMode="auto">
        <a:xfrm>
          <a:off x="0" y="0"/>
          <a:ext cx="1145436" cy="28575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xdr:from>
          <xdr:col>3</xdr:col>
          <xdr:colOff>180975</xdr:colOff>
          <xdr:row>20</xdr:row>
          <xdr:rowOff>133350</xdr:rowOff>
        </xdr:from>
        <xdr:to>
          <xdr:col>5</xdr:col>
          <xdr:colOff>276225</xdr:colOff>
          <xdr:row>21</xdr:row>
          <xdr:rowOff>133350</xdr:rowOff>
        </xdr:to>
        <xdr:sp macro="" textlink="">
          <xdr:nvSpPr>
            <xdr:cNvPr id="20179" name="Button 1747" hidden="1">
              <a:extLst>
                <a:ext uri="{63B3BB69-23CF-44E3-9099-C40C66FF867C}">
                  <a14:compatExt spid="_x0000_s20179"/>
                </a:ext>
                <a:ext uri="{FF2B5EF4-FFF2-40B4-BE49-F238E27FC236}">
                  <a16:creationId xmlns:a16="http://schemas.microsoft.com/office/drawing/2014/main" id="{00000000-0008-0000-0800-0000D34E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9007E"/>
                  </a:solidFill>
                  <a:latin typeface="Arial"/>
                  <a:cs typeface="Arial"/>
                </a:rPr>
                <a:t>Overlay curve fitted by Regression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20</xdr:row>
          <xdr:rowOff>142875</xdr:rowOff>
        </xdr:from>
        <xdr:to>
          <xdr:col>1</xdr:col>
          <xdr:colOff>466725</xdr:colOff>
          <xdr:row>21</xdr:row>
          <xdr:rowOff>142875</xdr:rowOff>
        </xdr:to>
        <xdr:sp macro="" textlink="">
          <xdr:nvSpPr>
            <xdr:cNvPr id="891826" name="Button 2994" hidden="1">
              <a:extLst>
                <a:ext uri="{63B3BB69-23CF-44E3-9099-C40C66FF867C}">
                  <a14:compatExt spid="_x0000_s891826"/>
                </a:ext>
                <a:ext uri="{FF2B5EF4-FFF2-40B4-BE49-F238E27FC236}">
                  <a16:creationId xmlns:a16="http://schemas.microsoft.com/office/drawing/2014/main" id="{00000000-0008-0000-0800-0000B29B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9007E"/>
                  </a:solidFill>
                  <a:latin typeface="Arial"/>
                  <a:cs typeface="Arial"/>
                </a:rPr>
                <a:t>Set </a:t>
              </a:r>
              <a:r>
                <a:rPr lang="en-US" sz="1000" b="0" i="0" u="none" strike="noStrike" baseline="0">
                  <a:solidFill>
                    <a:srgbClr val="09007E"/>
                  </a:solidFill>
                  <a:latin typeface="Bookman Old Style"/>
                  <a:cs typeface="Arial"/>
                </a:rPr>
                <a:t>I</a:t>
              </a:r>
              <a:r>
                <a:rPr lang="en-US" sz="1000" b="0" i="0" u="none" strike="noStrike" baseline="0">
                  <a:solidFill>
                    <a:srgbClr val="09007E"/>
                  </a:solidFill>
                  <a:latin typeface="Arial"/>
                  <a:cs typeface="Arial"/>
                </a:rPr>
                <a:t> = 0 and </a:t>
              </a:r>
              <a:r>
                <a:rPr lang="en-US" sz="1000" b="0" i="0" u="none" strike="noStrike" baseline="0">
                  <a:solidFill>
                    <a:srgbClr val="09007E"/>
                  </a:solidFill>
                  <a:latin typeface="Symbol"/>
                  <a:cs typeface="Arial"/>
                </a:rPr>
                <a:t>g</a:t>
              </a:r>
              <a:r>
                <a:rPr lang="en-US" sz="1000" b="0" i="0" u="none" strike="noStrike" baseline="0">
                  <a:solidFill>
                    <a:srgbClr val="09007E"/>
                  </a:solidFill>
                  <a:latin typeface="Arial"/>
                  <a:cs typeface="Arial"/>
                </a:rPr>
                <a: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714375</xdr:colOff>
          <xdr:row>19</xdr:row>
          <xdr:rowOff>95250</xdr:rowOff>
        </xdr:from>
        <xdr:to>
          <xdr:col>6</xdr:col>
          <xdr:colOff>914400</xdr:colOff>
          <xdr:row>20</xdr:row>
          <xdr:rowOff>76200</xdr:rowOff>
        </xdr:to>
        <xdr:sp macro="" textlink="">
          <xdr:nvSpPr>
            <xdr:cNvPr id="5127777" name="Button 6753" hidden="1">
              <a:extLst>
                <a:ext uri="{63B3BB69-23CF-44E3-9099-C40C66FF867C}">
                  <a14:compatExt spid="_x0000_s5127777"/>
                </a:ext>
                <a:ext uri="{FF2B5EF4-FFF2-40B4-BE49-F238E27FC236}">
                  <a16:creationId xmlns:a16="http://schemas.microsoft.com/office/drawing/2014/main" id="{00000000-0008-0000-0800-0000613E4E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9007E"/>
                  </a:solidFill>
                  <a:latin typeface="Arial"/>
                  <a:cs typeface="Arial"/>
                </a:rPr>
                <a:t>Copy Evaluation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20</xdr:row>
          <xdr:rowOff>133350</xdr:rowOff>
        </xdr:from>
        <xdr:to>
          <xdr:col>6</xdr:col>
          <xdr:colOff>923925</xdr:colOff>
          <xdr:row>21</xdr:row>
          <xdr:rowOff>133350</xdr:rowOff>
        </xdr:to>
        <xdr:sp macro="" textlink="">
          <xdr:nvSpPr>
            <xdr:cNvPr id="20180" name="Button 1748" hidden="1">
              <a:extLst>
                <a:ext uri="{63B3BB69-23CF-44E3-9099-C40C66FF867C}">
                  <a14:compatExt spid="_x0000_s20180"/>
                </a:ext>
                <a:ext uri="{FF2B5EF4-FFF2-40B4-BE49-F238E27FC236}">
                  <a16:creationId xmlns:a16="http://schemas.microsoft.com/office/drawing/2014/main" id="{00000000-0008-0000-0800-0000D44E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9007E"/>
                  </a:solidFill>
                  <a:latin typeface="Arial"/>
                  <a:cs typeface="Arial"/>
                </a:rPr>
                <a:t>Clear Regression curve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428625</xdr:colOff>
          <xdr:row>19</xdr:row>
          <xdr:rowOff>104775</xdr:rowOff>
        </xdr:from>
        <xdr:to>
          <xdr:col>3</xdr:col>
          <xdr:colOff>542925</xdr:colOff>
          <xdr:row>20</xdr:row>
          <xdr:rowOff>76200</xdr:rowOff>
        </xdr:to>
        <xdr:sp macro="" textlink="">
          <xdr:nvSpPr>
            <xdr:cNvPr id="20184" name="Button 1752" hidden="1">
              <a:extLst>
                <a:ext uri="{63B3BB69-23CF-44E3-9099-C40C66FF867C}">
                  <a14:compatExt spid="_x0000_s20184"/>
                </a:ext>
                <a:ext uri="{FF2B5EF4-FFF2-40B4-BE49-F238E27FC236}">
                  <a16:creationId xmlns:a16="http://schemas.microsoft.com/office/drawing/2014/main" id="{00000000-0008-0000-0800-0000D84E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9007E"/>
                  </a:solidFill>
                  <a:latin typeface="Arial"/>
                  <a:cs typeface="Arial"/>
                </a:rPr>
                <a:t>Copy Simulation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19</xdr:row>
          <xdr:rowOff>85725</xdr:rowOff>
        </xdr:from>
        <xdr:to>
          <xdr:col>1</xdr:col>
          <xdr:colOff>66675</xdr:colOff>
          <xdr:row>20</xdr:row>
          <xdr:rowOff>66675</xdr:rowOff>
        </xdr:to>
        <xdr:sp macro="" textlink="">
          <xdr:nvSpPr>
            <xdr:cNvPr id="20185" name="Button 1753" hidden="1">
              <a:extLst>
                <a:ext uri="{63B3BB69-23CF-44E3-9099-C40C66FF867C}">
                  <a14:compatExt spid="_x0000_s20185"/>
                </a:ext>
                <a:ext uri="{FF2B5EF4-FFF2-40B4-BE49-F238E27FC236}">
                  <a16:creationId xmlns:a16="http://schemas.microsoft.com/office/drawing/2014/main" id="{00000000-0008-0000-0800-0000D94E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9007E"/>
                  </a:solidFill>
                  <a:latin typeface="Arial"/>
                  <a:cs typeface="Arial"/>
                </a:rPr>
                <a:t>Clear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609600</xdr:colOff>
          <xdr:row>19</xdr:row>
          <xdr:rowOff>95250</xdr:rowOff>
        </xdr:from>
        <xdr:to>
          <xdr:col>5</xdr:col>
          <xdr:colOff>638175</xdr:colOff>
          <xdr:row>20</xdr:row>
          <xdr:rowOff>76200</xdr:rowOff>
        </xdr:to>
        <xdr:sp macro="" textlink="">
          <xdr:nvSpPr>
            <xdr:cNvPr id="20186" name="Button 1754" hidden="1">
              <a:extLst>
                <a:ext uri="{63B3BB69-23CF-44E3-9099-C40C66FF867C}">
                  <a14:compatExt spid="_x0000_s20186"/>
                </a:ext>
                <a:ext uri="{FF2B5EF4-FFF2-40B4-BE49-F238E27FC236}">
                  <a16:creationId xmlns:a16="http://schemas.microsoft.com/office/drawing/2014/main" id="{00000000-0008-0000-0800-0000DA4E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9007E"/>
                  </a:solidFill>
                  <a:latin typeface="Arial"/>
                  <a:cs typeface="Arial"/>
                </a:rPr>
                <a:t>Copy Simulation with dispersion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0</xdr:row>
          <xdr:rowOff>47625</xdr:rowOff>
        </xdr:from>
        <xdr:to>
          <xdr:col>9</xdr:col>
          <xdr:colOff>1009650</xdr:colOff>
          <xdr:row>2</xdr:row>
          <xdr:rowOff>66675</xdr:rowOff>
        </xdr:to>
        <xdr:sp macro="" textlink="">
          <xdr:nvSpPr>
            <xdr:cNvPr id="891360" name="Button 2528" hidden="1">
              <a:extLst>
                <a:ext uri="{63B3BB69-23CF-44E3-9099-C40C66FF867C}">
                  <a14:compatExt spid="_x0000_s891360"/>
                </a:ext>
                <a:ext uri="{FF2B5EF4-FFF2-40B4-BE49-F238E27FC236}">
                  <a16:creationId xmlns:a16="http://schemas.microsoft.com/office/drawing/2014/main" id="{00000000-0008-0000-0800-0000E099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9007E"/>
                  </a:solidFill>
                  <a:latin typeface="Arial"/>
                  <a:cs typeface="Arial"/>
                </a:rPr>
                <a:t>Load pKa</a:t>
              </a:r>
              <a:r>
                <a:rPr lang="en-US" sz="1000" b="0" i="0" u="none" strike="noStrike" baseline="0">
                  <a:solidFill>
                    <a:srgbClr val="09007E"/>
                  </a:solidFill>
                  <a:latin typeface="Arial"/>
                  <a:cs typeface="Arial"/>
                </a:rPr>
                <a:t>s </a:t>
              </a:r>
            </a:p>
            <a:p>
              <a:pPr algn="ctr" rtl="0">
                <a:defRPr sz="1000"/>
              </a:pPr>
              <a:r>
                <a:rPr lang="en-US" sz="1000" b="0" i="0" u="none" strike="noStrike" baseline="0">
                  <a:solidFill>
                    <a:srgbClr val="09007E"/>
                  </a:solidFill>
                  <a:latin typeface="Arial"/>
                  <a:cs typeface="Arial"/>
                </a:rPr>
                <a:t>of these H</a:t>
              </a:r>
              <a:r>
                <a:rPr lang="en-US" sz="1200" b="0" i="0" u="none" strike="noStrike" baseline="-25000">
                  <a:solidFill>
                    <a:srgbClr val="09007E"/>
                  </a:solidFill>
                  <a:latin typeface="Arial"/>
                  <a:cs typeface="Arial"/>
                </a:rPr>
                <a:t>i</a:t>
              </a:r>
              <a:r>
                <a:rPr lang="en-US" sz="1000" b="0" i="0" u="none" strike="noStrike" baseline="0">
                  <a:solidFill>
                    <a:srgbClr val="09007E"/>
                  </a:solidFill>
                  <a:latin typeface="Arial"/>
                  <a:cs typeface="Arial"/>
                </a:rPr>
                <a:t>B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xdr:row>
          <xdr:rowOff>0</xdr:rowOff>
        </xdr:from>
        <xdr:to>
          <xdr:col>11</xdr:col>
          <xdr:colOff>628650</xdr:colOff>
          <xdr:row>2</xdr:row>
          <xdr:rowOff>0</xdr:rowOff>
        </xdr:to>
        <xdr:sp macro="" textlink="">
          <xdr:nvSpPr>
            <xdr:cNvPr id="891624" name="Drop Down 2792" hidden="1">
              <a:extLst>
                <a:ext uri="{63B3BB69-23CF-44E3-9099-C40C66FF867C}">
                  <a14:compatExt spid="_x0000_s891624"/>
                </a:ext>
                <a:ext uri="{FF2B5EF4-FFF2-40B4-BE49-F238E27FC236}">
                  <a16:creationId xmlns:a16="http://schemas.microsoft.com/office/drawing/2014/main" id="{00000000-0008-0000-0800-0000E89A0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xdr:row>
          <xdr:rowOff>0</xdr:rowOff>
        </xdr:from>
        <xdr:to>
          <xdr:col>12</xdr:col>
          <xdr:colOff>838200</xdr:colOff>
          <xdr:row>2</xdr:row>
          <xdr:rowOff>0</xdr:rowOff>
        </xdr:to>
        <xdr:sp macro="" textlink="">
          <xdr:nvSpPr>
            <xdr:cNvPr id="891625" name="Drop Down 2793" hidden="1">
              <a:extLst>
                <a:ext uri="{63B3BB69-23CF-44E3-9099-C40C66FF867C}">
                  <a14:compatExt spid="_x0000_s891625"/>
                </a:ext>
                <a:ext uri="{FF2B5EF4-FFF2-40B4-BE49-F238E27FC236}">
                  <a16:creationId xmlns:a16="http://schemas.microsoft.com/office/drawing/2014/main" id="{00000000-0008-0000-0800-0000E99A0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xdr:row>
          <xdr:rowOff>0</xdr:rowOff>
        </xdr:from>
        <xdr:to>
          <xdr:col>13</xdr:col>
          <xdr:colOff>809625</xdr:colOff>
          <xdr:row>2</xdr:row>
          <xdr:rowOff>0</xdr:rowOff>
        </xdr:to>
        <xdr:sp macro="" textlink="">
          <xdr:nvSpPr>
            <xdr:cNvPr id="891626" name="Drop Down 2794" hidden="1">
              <a:extLst>
                <a:ext uri="{63B3BB69-23CF-44E3-9099-C40C66FF867C}">
                  <a14:compatExt spid="_x0000_s891626"/>
                </a:ext>
                <a:ext uri="{FF2B5EF4-FFF2-40B4-BE49-F238E27FC236}">
                  <a16:creationId xmlns:a16="http://schemas.microsoft.com/office/drawing/2014/main" id="{00000000-0008-0000-0800-0000EA9A0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xdr:row>
          <xdr:rowOff>0</xdr:rowOff>
        </xdr:from>
        <xdr:to>
          <xdr:col>14</xdr:col>
          <xdr:colOff>457200</xdr:colOff>
          <xdr:row>2</xdr:row>
          <xdr:rowOff>0</xdr:rowOff>
        </xdr:to>
        <xdr:sp macro="" textlink="">
          <xdr:nvSpPr>
            <xdr:cNvPr id="891627" name="Drop Down 2795" hidden="1">
              <a:extLst>
                <a:ext uri="{63B3BB69-23CF-44E3-9099-C40C66FF867C}">
                  <a14:compatExt spid="_x0000_s891627"/>
                </a:ext>
                <a:ext uri="{FF2B5EF4-FFF2-40B4-BE49-F238E27FC236}">
                  <a16:creationId xmlns:a16="http://schemas.microsoft.com/office/drawing/2014/main" id="{00000000-0008-0000-0800-0000EB9A0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xdr:row>
          <xdr:rowOff>0</xdr:rowOff>
        </xdr:from>
        <xdr:to>
          <xdr:col>15</xdr:col>
          <xdr:colOff>866775</xdr:colOff>
          <xdr:row>2</xdr:row>
          <xdr:rowOff>0</xdr:rowOff>
        </xdr:to>
        <xdr:sp macro="" textlink="">
          <xdr:nvSpPr>
            <xdr:cNvPr id="891628" name="Drop Down 2796" hidden="1">
              <a:extLst>
                <a:ext uri="{63B3BB69-23CF-44E3-9099-C40C66FF867C}">
                  <a14:compatExt spid="_x0000_s891628"/>
                </a:ext>
                <a:ext uri="{FF2B5EF4-FFF2-40B4-BE49-F238E27FC236}">
                  <a16:creationId xmlns:a16="http://schemas.microsoft.com/office/drawing/2014/main" id="{00000000-0008-0000-0800-0000EC9A0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xdr:row>
          <xdr:rowOff>0</xdr:rowOff>
        </xdr:from>
        <xdr:to>
          <xdr:col>16</xdr:col>
          <xdr:colOff>457200</xdr:colOff>
          <xdr:row>2</xdr:row>
          <xdr:rowOff>0</xdr:rowOff>
        </xdr:to>
        <xdr:sp macro="" textlink="">
          <xdr:nvSpPr>
            <xdr:cNvPr id="891629" name="Drop Down 2797" hidden="1">
              <a:extLst>
                <a:ext uri="{63B3BB69-23CF-44E3-9099-C40C66FF867C}">
                  <a14:compatExt spid="_x0000_s891629"/>
                </a:ext>
                <a:ext uri="{FF2B5EF4-FFF2-40B4-BE49-F238E27FC236}">
                  <a16:creationId xmlns:a16="http://schemas.microsoft.com/office/drawing/2014/main" id="{00000000-0008-0000-0800-0000ED9A0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xdr:row>
          <xdr:rowOff>0</xdr:rowOff>
        </xdr:from>
        <xdr:to>
          <xdr:col>17</xdr:col>
          <xdr:colOff>209550</xdr:colOff>
          <xdr:row>2</xdr:row>
          <xdr:rowOff>0</xdr:rowOff>
        </xdr:to>
        <xdr:sp macro="" textlink="">
          <xdr:nvSpPr>
            <xdr:cNvPr id="891630" name="Drop Down 2798" hidden="1">
              <a:extLst>
                <a:ext uri="{63B3BB69-23CF-44E3-9099-C40C66FF867C}">
                  <a14:compatExt spid="_x0000_s891630"/>
                </a:ext>
                <a:ext uri="{FF2B5EF4-FFF2-40B4-BE49-F238E27FC236}">
                  <a16:creationId xmlns:a16="http://schemas.microsoft.com/office/drawing/2014/main" id="{00000000-0008-0000-0800-0000EE9A0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571500</xdr:colOff>
          <xdr:row>20</xdr:row>
          <xdr:rowOff>142875</xdr:rowOff>
        </xdr:from>
        <xdr:to>
          <xdr:col>3</xdr:col>
          <xdr:colOff>95250</xdr:colOff>
          <xdr:row>21</xdr:row>
          <xdr:rowOff>142875</xdr:rowOff>
        </xdr:to>
        <xdr:sp macro="" textlink="">
          <xdr:nvSpPr>
            <xdr:cNvPr id="891828" name="Button 2996" hidden="1">
              <a:extLst>
                <a:ext uri="{63B3BB69-23CF-44E3-9099-C40C66FF867C}">
                  <a14:compatExt spid="_x0000_s891828"/>
                </a:ext>
                <a:ext uri="{FF2B5EF4-FFF2-40B4-BE49-F238E27FC236}">
                  <a16:creationId xmlns:a16="http://schemas.microsoft.com/office/drawing/2014/main" id="{00000000-0008-0000-0800-0000B49B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9007E"/>
                  </a:solidFill>
                  <a:latin typeface="Arial"/>
                  <a:cs typeface="Arial"/>
                </a:rPr>
                <a:t>Calculate / Update</a:t>
              </a:r>
              <a:r>
                <a:rPr lang="en-US" sz="1000" b="0" i="0" u="none" strike="noStrike" baseline="0">
                  <a:solidFill>
                    <a:srgbClr val="09007E"/>
                  </a:solidFill>
                  <a:latin typeface="Bookman Old Style"/>
                  <a:cs typeface="Arial"/>
                </a:rPr>
                <a:t> I</a:t>
              </a:r>
              <a:endParaRPr lang="en-US" sz="1000" b="0" i="0" u="none" strike="noStrike" baseline="0">
                <a:solidFill>
                  <a:srgbClr val="09007E"/>
                </a:solidFill>
                <a:latin typeface="Bookman Old Style"/>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885825</xdr:colOff>
          <xdr:row>16</xdr:row>
          <xdr:rowOff>104775</xdr:rowOff>
        </xdr:from>
        <xdr:to>
          <xdr:col>6</xdr:col>
          <xdr:colOff>847725</xdr:colOff>
          <xdr:row>17</xdr:row>
          <xdr:rowOff>152400</xdr:rowOff>
        </xdr:to>
        <xdr:sp macro="" textlink="">
          <xdr:nvSpPr>
            <xdr:cNvPr id="3988813" name="Button 5453" hidden="1">
              <a:extLst>
                <a:ext uri="{63B3BB69-23CF-44E3-9099-C40C66FF867C}">
                  <a14:compatExt spid="_x0000_s3988813"/>
                </a:ext>
                <a:ext uri="{FF2B5EF4-FFF2-40B4-BE49-F238E27FC236}">
                  <a16:creationId xmlns:a16="http://schemas.microsoft.com/office/drawing/2014/main" id="{00000000-0008-0000-0800-00004DDD3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9007E"/>
                  </a:solidFill>
                  <a:latin typeface="Arial"/>
                  <a:cs typeface="Arial"/>
                </a:rPr>
                <a:t>Find titrant pH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133350</xdr:colOff>
          <xdr:row>21</xdr:row>
          <xdr:rowOff>238125</xdr:rowOff>
        </xdr:from>
        <xdr:to>
          <xdr:col>16</xdr:col>
          <xdr:colOff>866775</xdr:colOff>
          <xdr:row>23</xdr:row>
          <xdr:rowOff>9525</xdr:rowOff>
        </xdr:to>
        <xdr:sp macro="" textlink="">
          <xdr:nvSpPr>
            <xdr:cNvPr id="5127770" name="Button 6746" hidden="1">
              <a:extLst>
                <a:ext uri="{63B3BB69-23CF-44E3-9099-C40C66FF867C}">
                  <a14:compatExt spid="_x0000_s5127770"/>
                </a:ext>
                <a:ext uri="{FF2B5EF4-FFF2-40B4-BE49-F238E27FC236}">
                  <a16:creationId xmlns:a16="http://schemas.microsoft.com/office/drawing/2014/main" id="{00000000-0008-0000-0800-00005A3E4E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9007E"/>
                  </a:solidFill>
                  <a:latin typeface="Arial"/>
                  <a:cs typeface="Arial"/>
                </a:rPr>
                <a:t>Set </a:t>
              </a:r>
              <a:r>
                <a:rPr lang="en-US" sz="1000" b="0" i="0" u="none" strike="noStrike" baseline="0">
                  <a:solidFill>
                    <a:srgbClr val="09007E"/>
                  </a:solidFill>
                  <a:latin typeface="Bookman Old Style"/>
                  <a:cs typeface="Arial"/>
                </a:rPr>
                <a:t>I</a:t>
              </a:r>
              <a:r>
                <a:rPr lang="en-US" sz="1000" b="0" i="0" u="none" strike="noStrike" baseline="0">
                  <a:solidFill>
                    <a:srgbClr val="09007E"/>
                  </a:solidFill>
                  <a:latin typeface="Arial"/>
                  <a:cs typeface="Arial"/>
                </a:rPr>
                <a:t> = 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123825</xdr:colOff>
          <xdr:row>23</xdr:row>
          <xdr:rowOff>152400</xdr:rowOff>
        </xdr:from>
        <xdr:to>
          <xdr:col>16</xdr:col>
          <xdr:colOff>866775</xdr:colOff>
          <xdr:row>25</xdr:row>
          <xdr:rowOff>104775</xdr:rowOff>
        </xdr:to>
        <xdr:sp macro="" textlink="">
          <xdr:nvSpPr>
            <xdr:cNvPr id="5127771" name="Button 6747" hidden="1">
              <a:extLst>
                <a:ext uri="{63B3BB69-23CF-44E3-9099-C40C66FF867C}">
                  <a14:compatExt spid="_x0000_s5127771"/>
                </a:ext>
                <a:ext uri="{FF2B5EF4-FFF2-40B4-BE49-F238E27FC236}">
                  <a16:creationId xmlns:a16="http://schemas.microsoft.com/office/drawing/2014/main" id="{00000000-0008-0000-0800-00005B3E4E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9007E"/>
                  </a:solidFill>
                  <a:latin typeface="Arial"/>
                  <a:cs typeface="Arial"/>
                </a:rPr>
                <a:t>Calculate</a:t>
              </a:r>
            </a:p>
            <a:p>
              <a:pPr algn="ctr" rtl="0">
                <a:defRPr sz="1000"/>
              </a:pPr>
              <a:r>
                <a:rPr lang="en-US" sz="1000" b="0" i="0" u="none" strike="noStrike" baseline="0">
                  <a:solidFill>
                    <a:srgbClr val="09007E"/>
                  </a:solidFill>
                  <a:latin typeface="Arial"/>
                  <a:cs typeface="Arial"/>
                </a:rPr>
                <a:t>/ update</a:t>
              </a:r>
              <a:r>
                <a:rPr lang="en-US" sz="1000" b="0" i="0" u="none" strike="noStrike" baseline="0">
                  <a:solidFill>
                    <a:srgbClr val="09007E"/>
                  </a:solidFill>
                  <a:latin typeface="Bookman Old Style"/>
                  <a:cs typeface="Arial"/>
                </a:rPr>
                <a:t> I</a:t>
              </a:r>
              <a:endParaRPr lang="en-US" sz="1000" b="0" i="0" u="none" strike="noStrike" baseline="0">
                <a:solidFill>
                  <a:srgbClr val="09007E"/>
                </a:solidFill>
                <a:latin typeface="Bookman Old Style"/>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123825</xdr:colOff>
          <xdr:row>19</xdr:row>
          <xdr:rowOff>104775</xdr:rowOff>
        </xdr:from>
        <xdr:to>
          <xdr:col>2</xdr:col>
          <xdr:colOff>371475</xdr:colOff>
          <xdr:row>20</xdr:row>
          <xdr:rowOff>76200</xdr:rowOff>
        </xdr:to>
        <xdr:sp macro="" textlink="">
          <xdr:nvSpPr>
            <xdr:cNvPr id="5127776" name="Button 6752" hidden="1">
              <a:extLst>
                <a:ext uri="{63B3BB69-23CF-44E3-9099-C40C66FF867C}">
                  <a14:compatExt spid="_x0000_s5127776"/>
                </a:ext>
                <a:ext uri="{FF2B5EF4-FFF2-40B4-BE49-F238E27FC236}">
                  <a16:creationId xmlns:a16="http://schemas.microsoft.com/office/drawing/2014/main" id="{00000000-0008-0000-0800-0000603E4E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9007E"/>
                  </a:solidFill>
                  <a:latin typeface="Arial"/>
                  <a:cs typeface="Arial"/>
                </a:rPr>
                <a:t>Copy Titration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20</xdr:row>
          <xdr:rowOff>19050</xdr:rowOff>
        </xdr:from>
        <xdr:to>
          <xdr:col>7</xdr:col>
          <xdr:colOff>1133475</xdr:colOff>
          <xdr:row>21</xdr:row>
          <xdr:rowOff>133350</xdr:rowOff>
        </xdr:to>
        <xdr:sp macro="" textlink="">
          <xdr:nvSpPr>
            <xdr:cNvPr id="5538375" name="Button 8775" hidden="1">
              <a:extLst>
                <a:ext uri="{63B3BB69-23CF-44E3-9099-C40C66FF867C}">
                  <a14:compatExt spid="_x0000_s5538375"/>
                </a:ext>
                <a:ext uri="{FF2B5EF4-FFF2-40B4-BE49-F238E27FC236}">
                  <a16:creationId xmlns:a16="http://schemas.microsoft.com/office/drawing/2014/main" id="{00000000-0008-0000-0800-000047825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9007E"/>
                  </a:solidFill>
                  <a:latin typeface="Arial"/>
                  <a:cs typeface="Arial"/>
                </a:rPr>
                <a:t>Save this result </a:t>
              </a:r>
            </a:p>
            <a:p>
              <a:pPr algn="ctr" rtl="0">
                <a:defRPr sz="1000"/>
              </a:pPr>
              <a:r>
                <a:rPr lang="en-US" sz="1000" b="0" i="0" u="none" strike="noStrike" baseline="0">
                  <a:solidFill>
                    <a:srgbClr val="09007E"/>
                  </a:solidFill>
                  <a:latin typeface="Arial"/>
                  <a:cs typeface="Arial"/>
                </a:rPr>
                <a:t>in +Reg</a:t>
              </a:r>
            </a:p>
          </xdr:txBody>
        </xdr:sp>
        <xdr:clientData fPrintsWithSheet="0"/>
      </xdr:twoCellAnchor>
    </mc:Choice>
    <mc:Fallback/>
  </mc:AlternateContent>
</xdr:wsDr>
</file>

<file path=xl/drawings/drawing24.xml><?xml version="1.0" encoding="utf-8"?>
<c:userShapes xmlns:c="http://schemas.openxmlformats.org/drawingml/2006/chart">
  <cdr:relSizeAnchor xmlns:cdr="http://schemas.openxmlformats.org/drawingml/2006/chartDrawing">
    <cdr:from>
      <cdr:x>0.87309</cdr:x>
      <cdr:y>0.00544</cdr:y>
    </cdr:from>
    <cdr:to>
      <cdr:x>0.97559</cdr:x>
      <cdr:y>0.05207</cdr:y>
    </cdr:to>
    <cdr:pic>
      <cdr:nvPicPr>
        <cdr:cNvPr id="2087937" name="Picture 1" descr="curtipotp">
          <a:extLst xmlns:a="http://schemas.openxmlformats.org/drawingml/2006/main">
            <a:ext uri="{FF2B5EF4-FFF2-40B4-BE49-F238E27FC236}">
              <a16:creationId xmlns:a16="http://schemas.microsoft.com/office/drawing/2014/main" id="{DA1B725F-3ABE-472F-AFBF-333C0894C576}"/>
            </a:ext>
          </a:extLst>
        </cdr:cNvPr>
        <cdr:cNvPicPr preferRelativeResize="0">
          <a:picLocks xmlns:a="http://schemas.openxmlformats.org/drawingml/2006/main" noChangeArrowheads="1"/>
        </cdr:cNvPicPr>
      </cdr:nvPicPr>
      <cdr:blipFill>
        <a:blip xmlns:a="http://schemas.openxmlformats.org/drawingml/2006/main" xmlns:r="http://schemas.openxmlformats.org/officeDocument/2006/relationships" r:embed="rId1"/>
        <a:srcRect xmlns:a="http://schemas.openxmlformats.org/drawingml/2006/main"/>
        <a:stretch xmlns:a="http://schemas.openxmlformats.org/drawingml/2006/main">
          <a:fillRect/>
        </a:stretch>
      </cdr:blipFill>
      <cdr:spPr bwMode="auto">
        <a:xfrm xmlns:a="http://schemas.openxmlformats.org/drawingml/2006/main">
          <a:off x="6902452" y="20416"/>
          <a:ext cx="810339" cy="174920"/>
        </a:xfrm>
        <a:prstGeom xmlns:a="http://schemas.openxmlformats.org/drawingml/2006/main" prst="rect">
          <a:avLst/>
        </a:prstGeom>
        <a:noFill xmlns:a="http://schemas.openxmlformats.org/drawingml/2006/main"/>
      </cdr:spPr>
    </cdr:pic>
  </cdr:relSizeAnchor>
</c:userShapes>
</file>

<file path=xl/drawings/drawing25.xml><?xml version="1.0" encoding="utf-8"?>
<xdr:wsDr xmlns:xdr="http://schemas.openxmlformats.org/drawingml/2006/spreadsheetDrawing" xmlns:a="http://schemas.openxmlformats.org/drawingml/2006/main">
  <xdr:twoCellAnchor editAs="oneCell">
    <xdr:from>
      <xdr:col>0</xdr:col>
      <xdr:colOff>7144</xdr:colOff>
      <xdr:row>0</xdr:row>
      <xdr:rowOff>4763</xdr:rowOff>
    </xdr:from>
    <xdr:to>
      <xdr:col>0</xdr:col>
      <xdr:colOff>1069181</xdr:colOff>
      <xdr:row>1</xdr:row>
      <xdr:rowOff>1</xdr:rowOff>
    </xdr:to>
    <xdr:pic>
      <xdr:nvPicPr>
        <xdr:cNvPr id="2" name="Picture 26" descr="curtipotp">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7144" y="4763"/>
          <a:ext cx="1062037" cy="300038"/>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xdr:from>
          <xdr:col>1</xdr:col>
          <xdr:colOff>762000</xdr:colOff>
          <xdr:row>1</xdr:row>
          <xdr:rowOff>85725</xdr:rowOff>
        </xdr:from>
        <xdr:to>
          <xdr:col>4</xdr:col>
          <xdr:colOff>895350</xdr:colOff>
          <xdr:row>2</xdr:row>
          <xdr:rowOff>200025</xdr:rowOff>
        </xdr:to>
        <xdr:sp macro="" textlink="">
          <xdr:nvSpPr>
            <xdr:cNvPr id="5542914" name="Button 2" hidden="1">
              <a:extLst>
                <a:ext uri="{63B3BB69-23CF-44E3-9099-C40C66FF867C}">
                  <a14:compatExt spid="_x0000_s5542914"/>
                </a:ext>
                <a:ext uri="{FF2B5EF4-FFF2-40B4-BE49-F238E27FC236}">
                  <a16:creationId xmlns:a16="http://schemas.microsoft.com/office/drawing/2014/main" id="{00000000-0008-0000-0900-000002945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9007E"/>
                  </a:solidFill>
                  <a:latin typeface="Arial"/>
                  <a:cs typeface="Arial"/>
                </a:rPr>
                <a:t>Copy the current result fom Regression</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xdr:twoCellAnchor>
    <xdr:from>
      <xdr:col>0</xdr:col>
      <xdr:colOff>0</xdr:colOff>
      <xdr:row>7</xdr:row>
      <xdr:rowOff>104775</xdr:rowOff>
    </xdr:from>
    <xdr:to>
      <xdr:col>14</xdr:col>
      <xdr:colOff>95250</xdr:colOff>
      <xdr:row>38</xdr:row>
      <xdr:rowOff>57150</xdr:rowOff>
    </xdr:to>
    <xdr:graphicFrame macro="">
      <xdr:nvGraphicFramePr>
        <xdr:cNvPr id="5506" name="Chart 70">
          <a:extLst>
            <a:ext uri="{FF2B5EF4-FFF2-40B4-BE49-F238E27FC236}">
              <a16:creationId xmlns:a16="http://schemas.microsoft.com/office/drawing/2014/main" id="{00000000-0008-0000-0A00-00008215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49695</xdr:colOff>
      <xdr:row>19</xdr:row>
      <xdr:rowOff>24848</xdr:rowOff>
    </xdr:from>
    <xdr:to>
      <xdr:col>13</xdr:col>
      <xdr:colOff>157369</xdr:colOff>
      <xdr:row>19</xdr:row>
      <xdr:rowOff>70567</xdr:rowOff>
    </xdr:to>
    <xdr:sp macro="" textlink="">
      <xdr:nvSpPr>
        <xdr:cNvPr id="6" name="Retângulo 5">
          <a:extLst>
            <a:ext uri="{FF2B5EF4-FFF2-40B4-BE49-F238E27FC236}">
              <a16:creationId xmlns:a16="http://schemas.microsoft.com/office/drawing/2014/main" id="{00000000-0008-0000-0A00-000006000000}"/>
            </a:ext>
          </a:extLst>
        </xdr:cNvPr>
        <xdr:cNvSpPr/>
      </xdr:nvSpPr>
      <xdr:spPr bwMode="auto">
        <a:xfrm>
          <a:off x="8986630" y="3594652"/>
          <a:ext cx="107674" cy="45719"/>
        </a:xfrm>
        <a:prstGeom prst="rect">
          <a:avLst/>
        </a:prstGeom>
        <a:solidFill>
          <a:schemeClr val="bg1"/>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endParaRPr lang="pt-BR" sz="1100"/>
        </a:p>
      </xdr:txBody>
    </xdr:sp>
    <xdr:clientData/>
  </xdr:twoCellAnchor>
  <xdr:twoCellAnchor>
    <xdr:from>
      <xdr:col>0</xdr:col>
      <xdr:colOff>0</xdr:colOff>
      <xdr:row>0</xdr:row>
      <xdr:rowOff>0</xdr:rowOff>
    </xdr:from>
    <xdr:to>
      <xdr:col>1</xdr:col>
      <xdr:colOff>408284</xdr:colOff>
      <xdr:row>0</xdr:row>
      <xdr:rowOff>285750</xdr:rowOff>
    </xdr:to>
    <xdr:pic>
      <xdr:nvPicPr>
        <xdr:cNvPr id="17" name="Picture 11" descr="curtipotp">
          <a:extLst>
            <a:ext uri="{FF2B5EF4-FFF2-40B4-BE49-F238E27FC236}">
              <a16:creationId xmlns:a16="http://schemas.microsoft.com/office/drawing/2014/main" id="{00000000-0008-0000-0A00-000011000000}"/>
            </a:ext>
          </a:extLst>
        </xdr:cNvPr>
        <xdr:cNvPicPr>
          <a:picLocks noChangeAspect="1" noChangeArrowheads="1"/>
        </xdr:cNvPicPr>
      </xdr:nvPicPr>
      <xdr:blipFill>
        <a:blip xmlns:r="http://schemas.openxmlformats.org/officeDocument/2006/relationships" r:embed="rId2"/>
        <a:srcRect/>
        <a:stretch>
          <a:fillRect/>
        </a:stretch>
      </xdr:blipFill>
      <xdr:spPr bwMode="auto">
        <a:xfrm>
          <a:off x="0" y="0"/>
          <a:ext cx="1145436" cy="28575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0</xdr:col>
          <xdr:colOff>228600</xdr:colOff>
          <xdr:row>2</xdr:row>
          <xdr:rowOff>0</xdr:rowOff>
        </xdr:from>
        <xdr:to>
          <xdr:col>1</xdr:col>
          <xdr:colOff>323850</xdr:colOff>
          <xdr:row>2</xdr:row>
          <xdr:rowOff>219075</xdr:rowOff>
        </xdr:to>
        <xdr:sp macro="" textlink="">
          <xdr:nvSpPr>
            <xdr:cNvPr id="5172" name="Check Box 52" hidden="1">
              <a:extLst>
                <a:ext uri="{63B3BB69-23CF-44E3-9099-C40C66FF867C}">
                  <a14:compatExt spid="_x0000_s5172"/>
                </a:ext>
                <a:ext uri="{FF2B5EF4-FFF2-40B4-BE49-F238E27FC236}">
                  <a16:creationId xmlns:a16="http://schemas.microsoft.com/office/drawing/2014/main" id="{00000000-0008-0000-0A00-00003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Simulation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447675</xdr:colOff>
          <xdr:row>2</xdr:row>
          <xdr:rowOff>0</xdr:rowOff>
        </xdr:from>
        <xdr:to>
          <xdr:col>2</xdr:col>
          <xdr:colOff>28575</xdr:colOff>
          <xdr:row>2</xdr:row>
          <xdr:rowOff>219075</xdr:rowOff>
        </xdr:to>
        <xdr:sp macro="" textlink="">
          <xdr:nvSpPr>
            <xdr:cNvPr id="5173" name="Check Box 53" hidden="1">
              <a:extLst>
                <a:ext uri="{63B3BB69-23CF-44E3-9099-C40C66FF867C}">
                  <a14:compatExt spid="_x0000_s5173"/>
                </a:ext>
                <a:ext uri="{FF2B5EF4-FFF2-40B4-BE49-F238E27FC236}">
                  <a16:creationId xmlns:a16="http://schemas.microsoft.com/office/drawing/2014/main" id="{00000000-0008-0000-0A00-00003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dpH/dV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190500</xdr:colOff>
          <xdr:row>2</xdr:row>
          <xdr:rowOff>0</xdr:rowOff>
        </xdr:from>
        <xdr:to>
          <xdr:col>5</xdr:col>
          <xdr:colOff>171450</xdr:colOff>
          <xdr:row>2</xdr:row>
          <xdr:rowOff>219075</xdr:rowOff>
        </xdr:to>
        <xdr:sp macro="" textlink="">
          <xdr:nvSpPr>
            <xdr:cNvPr id="5174" name="Check Box 54" hidden="1">
              <a:extLst>
                <a:ext uri="{63B3BB69-23CF-44E3-9099-C40C66FF867C}">
                  <a14:compatExt spid="_x0000_s5174"/>
                </a:ext>
                <a:ext uri="{FF2B5EF4-FFF2-40B4-BE49-F238E27FC236}">
                  <a16:creationId xmlns:a16="http://schemas.microsoft.com/office/drawing/2014/main" id="{00000000-0008-0000-0A00-00003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Simulation with dispersion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xdr:row>
          <xdr:rowOff>9525</xdr:rowOff>
        </xdr:from>
        <xdr:to>
          <xdr:col>5</xdr:col>
          <xdr:colOff>876300</xdr:colOff>
          <xdr:row>3</xdr:row>
          <xdr:rowOff>0</xdr:rowOff>
        </xdr:to>
        <xdr:sp macro="" textlink="">
          <xdr:nvSpPr>
            <xdr:cNvPr id="5175" name="Check Box 55" hidden="1">
              <a:extLst>
                <a:ext uri="{63B3BB69-23CF-44E3-9099-C40C66FF867C}">
                  <a14:compatExt spid="_x0000_s5175"/>
                </a:ext>
                <a:ext uri="{FF2B5EF4-FFF2-40B4-BE49-F238E27FC236}">
                  <a16:creationId xmlns:a16="http://schemas.microsoft.com/office/drawing/2014/main" id="{00000000-0008-0000-0A00-00003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dpH/dV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228600</xdr:colOff>
          <xdr:row>3</xdr:row>
          <xdr:rowOff>0</xdr:rowOff>
        </xdr:from>
        <xdr:to>
          <xdr:col>1</xdr:col>
          <xdr:colOff>742950</xdr:colOff>
          <xdr:row>3</xdr:row>
          <xdr:rowOff>219075</xdr:rowOff>
        </xdr:to>
        <xdr:sp macro="" textlink="">
          <xdr:nvSpPr>
            <xdr:cNvPr id="5176" name="Check Box 56" hidden="1">
              <a:extLst>
                <a:ext uri="{63B3BB69-23CF-44E3-9099-C40C66FF867C}">
                  <a14:compatExt spid="_x0000_s5176"/>
                </a:ext>
                <a:ext uri="{FF2B5EF4-FFF2-40B4-BE49-F238E27FC236}">
                  <a16:creationId xmlns:a16="http://schemas.microsoft.com/office/drawing/2014/main" id="{00000000-0008-0000-0A00-000038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Evaluation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228600</xdr:colOff>
          <xdr:row>4</xdr:row>
          <xdr:rowOff>0</xdr:rowOff>
        </xdr:from>
        <xdr:to>
          <xdr:col>1</xdr:col>
          <xdr:colOff>742950</xdr:colOff>
          <xdr:row>4</xdr:row>
          <xdr:rowOff>219075</xdr:rowOff>
        </xdr:to>
        <xdr:sp macro="" textlink="">
          <xdr:nvSpPr>
            <xdr:cNvPr id="5177" name="Check Box 57" hidden="1">
              <a:extLst>
                <a:ext uri="{63B3BB69-23CF-44E3-9099-C40C66FF867C}">
                  <a14:compatExt spid="_x0000_s5177"/>
                </a:ext>
                <a:ext uri="{FF2B5EF4-FFF2-40B4-BE49-F238E27FC236}">
                  <a16:creationId xmlns:a16="http://schemas.microsoft.com/office/drawing/2014/main" id="{00000000-0008-0000-0A00-00003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Regression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447675</xdr:colOff>
          <xdr:row>3</xdr:row>
          <xdr:rowOff>0</xdr:rowOff>
        </xdr:from>
        <xdr:to>
          <xdr:col>2</xdr:col>
          <xdr:colOff>76200</xdr:colOff>
          <xdr:row>3</xdr:row>
          <xdr:rowOff>219075</xdr:rowOff>
        </xdr:to>
        <xdr:sp macro="" textlink="">
          <xdr:nvSpPr>
            <xdr:cNvPr id="5178" name="Check Box 58" hidden="1">
              <a:extLst>
                <a:ext uri="{63B3BB69-23CF-44E3-9099-C40C66FF867C}">
                  <a14:compatExt spid="_x0000_s5178"/>
                </a:ext>
                <a:ext uri="{FF2B5EF4-FFF2-40B4-BE49-F238E27FC236}">
                  <a16:creationId xmlns:a16="http://schemas.microsoft.com/office/drawing/2014/main" id="{00000000-0008-0000-0A00-00003A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dpH/dV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190500</xdr:colOff>
          <xdr:row>3</xdr:row>
          <xdr:rowOff>0</xdr:rowOff>
        </xdr:from>
        <xdr:to>
          <xdr:col>5</xdr:col>
          <xdr:colOff>238125</xdr:colOff>
          <xdr:row>3</xdr:row>
          <xdr:rowOff>219075</xdr:rowOff>
        </xdr:to>
        <xdr:sp macro="" textlink="">
          <xdr:nvSpPr>
            <xdr:cNvPr id="5179" name="Check Box 59" hidden="1">
              <a:extLst>
                <a:ext uri="{63B3BB69-23CF-44E3-9099-C40C66FF867C}">
                  <a14:compatExt spid="_x0000_s5179"/>
                </a:ext>
                <a:ext uri="{FF2B5EF4-FFF2-40B4-BE49-F238E27FC236}">
                  <a16:creationId xmlns:a16="http://schemas.microsoft.com/office/drawing/2014/main" id="{00000000-0008-0000-0A00-00003B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Evaluation with smoothing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3</xdr:row>
          <xdr:rowOff>9525</xdr:rowOff>
        </xdr:from>
        <xdr:to>
          <xdr:col>5</xdr:col>
          <xdr:colOff>885825</xdr:colOff>
          <xdr:row>4</xdr:row>
          <xdr:rowOff>0</xdr:rowOff>
        </xdr:to>
        <xdr:sp macro="" textlink="">
          <xdr:nvSpPr>
            <xdr:cNvPr id="5180" name="Check Box 60" hidden="1">
              <a:extLst>
                <a:ext uri="{63B3BB69-23CF-44E3-9099-C40C66FF867C}">
                  <a14:compatExt spid="_x0000_s5180"/>
                </a:ext>
                <a:ext uri="{FF2B5EF4-FFF2-40B4-BE49-F238E27FC236}">
                  <a16:creationId xmlns:a16="http://schemas.microsoft.com/office/drawing/2014/main" id="{00000000-0008-0000-0A00-00003C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dpH/dV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447675</xdr:colOff>
          <xdr:row>4</xdr:row>
          <xdr:rowOff>0</xdr:rowOff>
        </xdr:from>
        <xdr:to>
          <xdr:col>2</xdr:col>
          <xdr:colOff>57150</xdr:colOff>
          <xdr:row>4</xdr:row>
          <xdr:rowOff>219075</xdr:rowOff>
        </xdr:to>
        <xdr:sp macro="" textlink="">
          <xdr:nvSpPr>
            <xdr:cNvPr id="5181" name="Check Box 61" hidden="1">
              <a:extLst>
                <a:ext uri="{63B3BB69-23CF-44E3-9099-C40C66FF867C}">
                  <a14:compatExt spid="_x0000_s5181"/>
                </a:ext>
                <a:ext uri="{FF2B5EF4-FFF2-40B4-BE49-F238E27FC236}">
                  <a16:creationId xmlns:a16="http://schemas.microsoft.com/office/drawing/2014/main" id="{00000000-0008-0000-0A00-00003D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dpH/dV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190500</xdr:colOff>
          <xdr:row>4</xdr:row>
          <xdr:rowOff>0</xdr:rowOff>
        </xdr:from>
        <xdr:to>
          <xdr:col>5</xdr:col>
          <xdr:colOff>200025</xdr:colOff>
          <xdr:row>4</xdr:row>
          <xdr:rowOff>219075</xdr:rowOff>
        </xdr:to>
        <xdr:sp macro="" textlink="">
          <xdr:nvSpPr>
            <xdr:cNvPr id="5182" name="Check Box 62" hidden="1">
              <a:extLst>
                <a:ext uri="{63B3BB69-23CF-44E3-9099-C40C66FF867C}">
                  <a14:compatExt spid="_x0000_s5182"/>
                </a:ext>
                <a:ext uri="{FF2B5EF4-FFF2-40B4-BE49-F238E27FC236}">
                  <a16:creationId xmlns:a16="http://schemas.microsoft.com/office/drawing/2014/main" id="{00000000-0008-0000-0A00-00003E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Fitted regression curve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4</xdr:row>
          <xdr:rowOff>0</xdr:rowOff>
        </xdr:from>
        <xdr:to>
          <xdr:col>5</xdr:col>
          <xdr:colOff>885825</xdr:colOff>
          <xdr:row>4</xdr:row>
          <xdr:rowOff>219075</xdr:rowOff>
        </xdr:to>
        <xdr:sp macro="" textlink="">
          <xdr:nvSpPr>
            <xdr:cNvPr id="5183" name="Check Box 63" hidden="1">
              <a:extLst>
                <a:ext uri="{63B3BB69-23CF-44E3-9099-C40C66FF867C}">
                  <a14:compatExt spid="_x0000_s5183"/>
                </a:ext>
                <a:ext uri="{FF2B5EF4-FFF2-40B4-BE49-F238E27FC236}">
                  <a16:creationId xmlns:a16="http://schemas.microsoft.com/office/drawing/2014/main" id="{00000000-0008-0000-0A00-00003F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dpH/dV</a:t>
              </a:r>
            </a:p>
          </xdr:txBody>
        </xdr:sp>
        <xdr:clientData/>
      </xdr:twoCellAnchor>
    </mc:Choice>
    <mc:Fallback/>
  </mc:AlternateContent>
</xdr:wsDr>
</file>

<file path=xl/drawings/drawing27.xml><?xml version="1.0" encoding="utf-8"?>
<c:userShapes xmlns:c="http://schemas.openxmlformats.org/drawingml/2006/chart">
  <cdr:relSizeAnchor xmlns:cdr="http://schemas.openxmlformats.org/drawingml/2006/chartDrawing">
    <cdr:from>
      <cdr:x>0.85655</cdr:x>
      <cdr:y>0.0071</cdr:y>
    </cdr:from>
    <cdr:to>
      <cdr:x>0.96967</cdr:x>
      <cdr:y>0.06455</cdr:y>
    </cdr:to>
    <cdr:pic>
      <cdr:nvPicPr>
        <cdr:cNvPr id="113665" name="Picture 1025" descr="curtipotp">
          <a:extLst xmlns:a="http://schemas.openxmlformats.org/drawingml/2006/main">
            <a:ext uri="{FF2B5EF4-FFF2-40B4-BE49-F238E27FC236}">
              <a16:creationId xmlns:a16="http://schemas.microsoft.com/office/drawing/2014/main" id="{2CE13AC0-EFAB-47BF-B3C3-CEC5AD571F9F}"/>
            </a:ext>
          </a:extLst>
        </cdr:cNvPr>
        <cdr:cNvPicPr>
          <a:picLocks xmlns:a="http://schemas.openxmlformats.org/drawingml/2006/main" noChangeAspect="1" noChangeArrowheads="1"/>
        </cdr:cNvPicPr>
      </cdr:nvPicPr>
      <cdr:blipFill>
        <a:blip xmlns:a="http://schemas.openxmlformats.org/drawingml/2006/main" xmlns:r="http://schemas.openxmlformats.org/officeDocument/2006/relationships" r:embed="rId1"/>
        <a:srcRect xmlns:a="http://schemas.openxmlformats.org/drawingml/2006/main"/>
        <a:stretch xmlns:a="http://schemas.openxmlformats.org/drawingml/2006/main">
          <a:fillRect/>
        </a:stretch>
      </cdr:blipFill>
      <cdr:spPr bwMode="auto">
        <a:xfrm xmlns:a="http://schemas.openxmlformats.org/drawingml/2006/main">
          <a:off x="8232297" y="35450"/>
          <a:ext cx="1087192" cy="286886"/>
        </a:xfrm>
        <a:prstGeom xmlns:a="http://schemas.openxmlformats.org/drawingml/2006/main" prst="rect">
          <a:avLst/>
        </a:prstGeom>
        <a:noFill xmlns:a="http://schemas.openxmlformats.org/drawingml/2006/main"/>
      </cdr:spPr>
    </cdr:pic>
  </cdr:relSizeAnchor>
  <cdr:relSizeAnchor xmlns:cdr="http://schemas.openxmlformats.org/drawingml/2006/chartDrawing">
    <cdr:from>
      <cdr:x>0.92417</cdr:x>
      <cdr:y>0.3735</cdr:y>
    </cdr:from>
    <cdr:to>
      <cdr:x>0.92985</cdr:x>
      <cdr:y>0.3735</cdr:y>
    </cdr:to>
    <cdr:sp macro="" textlink="">
      <cdr:nvSpPr>
        <cdr:cNvPr id="113666" name="Text Box 1026"/>
        <cdr:cNvSpPr txBox="1">
          <a:spLocks xmlns:a="http://schemas.openxmlformats.org/drawingml/2006/main" noChangeArrowheads="1"/>
        </cdr:cNvSpPr>
      </cdr:nvSpPr>
      <cdr:spPr bwMode="auto">
        <a:xfrm xmlns:a="http://schemas.openxmlformats.org/drawingml/2006/main">
          <a:off x="8496300" y="1877546"/>
          <a:ext cx="336702" cy="815116"/>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vert="vert270" wrap="square" lIns="36576" tIns="36576" rIns="0" bIns="0" anchor="t" upright="1"/>
        <a:lstStyle xmlns:a="http://schemas.openxmlformats.org/drawingml/2006/main"/>
        <a:p xmlns:a="http://schemas.openxmlformats.org/drawingml/2006/main">
          <a:pPr algn="r" rtl="0">
            <a:defRPr sz="1000"/>
          </a:pPr>
          <a:r>
            <a:rPr lang="pt-BR" sz="1575" b="0" i="0" strike="noStrike">
              <a:solidFill>
                <a:srgbClr val="000000"/>
              </a:solidFill>
              <a:latin typeface="Symbol"/>
            </a:rPr>
            <a:t>D</a:t>
          </a:r>
          <a:r>
            <a:rPr lang="pt-BR" sz="1575" b="0" i="0" strike="noStrike">
              <a:solidFill>
                <a:srgbClr val="000000"/>
              </a:solidFill>
              <a:latin typeface="Arial"/>
              <a:cs typeface="Arial"/>
            </a:rPr>
            <a:t>pH/</a:t>
          </a:r>
          <a:r>
            <a:rPr lang="pt-BR" sz="1575" b="0" i="0" strike="noStrike">
              <a:solidFill>
                <a:srgbClr val="000000"/>
              </a:solidFill>
              <a:latin typeface="Symbol"/>
            </a:rPr>
            <a:t>D</a:t>
          </a:r>
          <a:r>
            <a:rPr lang="pt-BR" sz="1575" b="0" i="0" strike="noStrike">
              <a:solidFill>
                <a:srgbClr val="000000"/>
              </a:solidFill>
              <a:latin typeface="Arial"/>
              <a:cs typeface="Arial"/>
            </a:rPr>
            <a:t>V</a:t>
          </a:r>
        </a:p>
        <a:p xmlns:a="http://schemas.openxmlformats.org/drawingml/2006/main">
          <a:pPr algn="r" rtl="0">
            <a:defRPr sz="1000"/>
          </a:pPr>
          <a:endParaRPr lang="pt-BR" sz="1575" b="0" i="0" strike="noStrike">
            <a:solidFill>
              <a:srgbClr val="000000"/>
            </a:solidFill>
            <a:latin typeface="Arial"/>
            <a:cs typeface="Arial"/>
          </a:endParaRPr>
        </a:p>
      </cdr:txBody>
    </cdr:sp>
  </cdr:relSizeAnchor>
</c:userShapes>
</file>

<file path=xl/drawings/drawing28.xml><?xml version="1.0" encoding="utf-8"?>
<xdr:wsDr xmlns:xdr="http://schemas.openxmlformats.org/drawingml/2006/spreadsheetDrawing" xmlns:a="http://schemas.openxmlformats.org/drawingml/2006/main">
  <xdr:twoCellAnchor editAs="oneCell">
    <xdr:from>
      <xdr:col>5</xdr:col>
      <xdr:colOff>663518</xdr:colOff>
      <xdr:row>15</xdr:row>
      <xdr:rowOff>64735</xdr:rowOff>
    </xdr:from>
    <xdr:to>
      <xdr:col>8</xdr:col>
      <xdr:colOff>337555</xdr:colOff>
      <xdr:row>17</xdr:row>
      <xdr:rowOff>140506</xdr:rowOff>
    </xdr:to>
    <xdr:pic>
      <xdr:nvPicPr>
        <xdr:cNvPr id="1926238" name="Picture 9" descr="davies_eq">
          <a:extLst>
            <a:ext uri="{FF2B5EF4-FFF2-40B4-BE49-F238E27FC236}">
              <a16:creationId xmlns:a16="http://schemas.microsoft.com/office/drawing/2014/main" id="{00000000-0008-0000-0B00-00005E641D00}"/>
            </a:ext>
          </a:extLst>
        </xdr:cNvPr>
        <xdr:cNvPicPr>
          <a:picLocks noChangeAspect="1" noChangeArrowheads="1"/>
        </xdr:cNvPicPr>
      </xdr:nvPicPr>
      <xdr:blipFill>
        <a:blip xmlns:r="http://schemas.openxmlformats.org/officeDocument/2006/relationships" r:embed="rId1">
          <a:lum bright="-10000" contrast="22000"/>
        </a:blip>
        <a:srcRect/>
        <a:stretch>
          <a:fillRect/>
        </a:stretch>
      </xdr:blipFill>
      <xdr:spPr bwMode="auto">
        <a:xfrm>
          <a:off x="4383871" y="3336853"/>
          <a:ext cx="2228979" cy="501594"/>
        </a:xfrm>
        <a:prstGeom prst="rect">
          <a:avLst/>
        </a:prstGeom>
        <a:noFill/>
        <a:ln w="9525">
          <a:noFill/>
          <a:miter lim="800000"/>
          <a:headEnd/>
          <a:tailEnd/>
        </a:ln>
      </xdr:spPr>
    </xdr:pic>
    <xdr:clientData/>
  </xdr:twoCellAnchor>
  <xdr:twoCellAnchor editAs="oneCell">
    <xdr:from>
      <xdr:col>10</xdr:col>
      <xdr:colOff>100248</xdr:colOff>
      <xdr:row>15</xdr:row>
      <xdr:rowOff>122142</xdr:rowOff>
    </xdr:from>
    <xdr:to>
      <xdr:col>11</xdr:col>
      <xdr:colOff>366130</xdr:colOff>
      <xdr:row>17</xdr:row>
      <xdr:rowOff>93138</xdr:rowOff>
    </xdr:to>
    <xdr:pic>
      <xdr:nvPicPr>
        <xdr:cNvPr id="1926239" name="Picture 10" descr="IonicStrength">
          <a:extLst>
            <a:ext uri="{FF2B5EF4-FFF2-40B4-BE49-F238E27FC236}">
              <a16:creationId xmlns:a16="http://schemas.microsoft.com/office/drawing/2014/main" id="{00000000-0008-0000-0B00-00005F641D00}"/>
            </a:ext>
          </a:extLst>
        </xdr:cNvPr>
        <xdr:cNvPicPr>
          <a:picLocks noChangeAspect="1" noChangeArrowheads="1"/>
        </xdr:cNvPicPr>
      </xdr:nvPicPr>
      <xdr:blipFill>
        <a:blip xmlns:r="http://schemas.openxmlformats.org/officeDocument/2006/relationships" r:embed="rId2"/>
        <a:srcRect/>
        <a:stretch>
          <a:fillRect/>
        </a:stretch>
      </xdr:blipFill>
      <xdr:spPr bwMode="auto">
        <a:xfrm>
          <a:off x="8258130" y="3340471"/>
          <a:ext cx="1135458" cy="383373"/>
        </a:xfrm>
        <a:prstGeom prst="rect">
          <a:avLst/>
        </a:prstGeom>
        <a:noFill/>
        <a:ln w="9525">
          <a:noFill/>
          <a:miter lim="800000"/>
          <a:headEnd/>
          <a:tailEnd/>
        </a:ln>
      </xdr:spPr>
    </xdr:pic>
    <xdr:clientData/>
  </xdr:twoCellAnchor>
  <xdr:twoCellAnchor>
    <xdr:from>
      <xdr:col>0</xdr:col>
      <xdr:colOff>0</xdr:colOff>
      <xdr:row>0</xdr:row>
      <xdr:rowOff>0</xdr:rowOff>
    </xdr:from>
    <xdr:to>
      <xdr:col>2</xdr:col>
      <xdr:colOff>507675</xdr:colOff>
      <xdr:row>0</xdr:row>
      <xdr:rowOff>285750</xdr:rowOff>
    </xdr:to>
    <xdr:pic>
      <xdr:nvPicPr>
        <xdr:cNvPr id="5" name="Picture 11" descr="curtipotp">
          <a:extLst>
            <a:ext uri="{FF2B5EF4-FFF2-40B4-BE49-F238E27FC236}">
              <a16:creationId xmlns:a16="http://schemas.microsoft.com/office/drawing/2014/main" id="{00000000-0008-0000-0B00-000005000000}"/>
            </a:ext>
          </a:extLst>
        </xdr:cNvPr>
        <xdr:cNvPicPr>
          <a:picLocks noChangeAspect="1" noChangeArrowheads="1"/>
        </xdr:cNvPicPr>
      </xdr:nvPicPr>
      <xdr:blipFill>
        <a:blip xmlns:r="http://schemas.openxmlformats.org/officeDocument/2006/relationships" r:embed="rId3"/>
        <a:srcRect/>
        <a:stretch>
          <a:fillRect/>
        </a:stretch>
      </xdr:blipFill>
      <xdr:spPr bwMode="auto">
        <a:xfrm>
          <a:off x="0" y="0"/>
          <a:ext cx="1145436" cy="285750"/>
        </a:xfrm>
        <a:prstGeom prst="rect">
          <a:avLst/>
        </a:prstGeom>
        <a:noFill/>
        <a:ln w="9525">
          <a:noFill/>
          <a:miter lim="800000"/>
          <a:headEnd/>
          <a:tailEnd/>
        </a:ln>
      </xdr:spPr>
    </xdr:pic>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2.vml"/><Relationship Id="rId1" Type="http://schemas.openxmlformats.org/officeDocument/2006/relationships/drawing" Target="../drawings/drawing3.xml"/><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7.xml"/><Relationship Id="rId13" Type="http://schemas.openxmlformats.org/officeDocument/2006/relationships/ctrlProp" Target="../ctrlProps/ctrlProp22.xml"/><Relationship Id="rId18" Type="http://schemas.openxmlformats.org/officeDocument/2006/relationships/ctrlProp" Target="../ctrlProps/ctrlProp27.xml"/><Relationship Id="rId26" Type="http://schemas.openxmlformats.org/officeDocument/2006/relationships/comments" Target="../comments3.xml"/><Relationship Id="rId3" Type="http://schemas.openxmlformats.org/officeDocument/2006/relationships/ctrlProp" Target="../ctrlProps/ctrlProp12.xml"/><Relationship Id="rId21" Type="http://schemas.openxmlformats.org/officeDocument/2006/relationships/ctrlProp" Target="../ctrlProps/ctrlProp30.xml"/><Relationship Id="rId7" Type="http://schemas.openxmlformats.org/officeDocument/2006/relationships/ctrlProp" Target="../ctrlProps/ctrlProp16.xml"/><Relationship Id="rId12" Type="http://schemas.openxmlformats.org/officeDocument/2006/relationships/ctrlProp" Target="../ctrlProps/ctrlProp21.xml"/><Relationship Id="rId17" Type="http://schemas.openxmlformats.org/officeDocument/2006/relationships/ctrlProp" Target="../ctrlProps/ctrlProp26.xml"/><Relationship Id="rId25" Type="http://schemas.openxmlformats.org/officeDocument/2006/relationships/ctrlProp" Target="../ctrlProps/ctrlProp34.xml"/><Relationship Id="rId2" Type="http://schemas.openxmlformats.org/officeDocument/2006/relationships/vmlDrawing" Target="../drawings/vmlDrawing3.vml"/><Relationship Id="rId16" Type="http://schemas.openxmlformats.org/officeDocument/2006/relationships/ctrlProp" Target="../ctrlProps/ctrlProp25.xml"/><Relationship Id="rId20" Type="http://schemas.openxmlformats.org/officeDocument/2006/relationships/ctrlProp" Target="../ctrlProps/ctrlProp29.xml"/><Relationship Id="rId1" Type="http://schemas.openxmlformats.org/officeDocument/2006/relationships/drawing" Target="../drawings/drawing4.xml"/><Relationship Id="rId6" Type="http://schemas.openxmlformats.org/officeDocument/2006/relationships/ctrlProp" Target="../ctrlProps/ctrlProp15.xml"/><Relationship Id="rId11" Type="http://schemas.openxmlformats.org/officeDocument/2006/relationships/ctrlProp" Target="../ctrlProps/ctrlProp20.xml"/><Relationship Id="rId24" Type="http://schemas.openxmlformats.org/officeDocument/2006/relationships/ctrlProp" Target="../ctrlProps/ctrlProp33.xml"/><Relationship Id="rId5" Type="http://schemas.openxmlformats.org/officeDocument/2006/relationships/ctrlProp" Target="../ctrlProps/ctrlProp14.xml"/><Relationship Id="rId15" Type="http://schemas.openxmlformats.org/officeDocument/2006/relationships/ctrlProp" Target="../ctrlProps/ctrlProp24.xml"/><Relationship Id="rId23" Type="http://schemas.openxmlformats.org/officeDocument/2006/relationships/ctrlProp" Target="../ctrlProps/ctrlProp32.xml"/><Relationship Id="rId10" Type="http://schemas.openxmlformats.org/officeDocument/2006/relationships/ctrlProp" Target="../ctrlProps/ctrlProp19.xml"/><Relationship Id="rId19" Type="http://schemas.openxmlformats.org/officeDocument/2006/relationships/ctrlProp" Target="../ctrlProps/ctrlProp28.xml"/><Relationship Id="rId4" Type="http://schemas.openxmlformats.org/officeDocument/2006/relationships/ctrlProp" Target="../ctrlProps/ctrlProp13.xml"/><Relationship Id="rId9" Type="http://schemas.openxmlformats.org/officeDocument/2006/relationships/ctrlProp" Target="../ctrlProps/ctrlProp18.xml"/><Relationship Id="rId14" Type="http://schemas.openxmlformats.org/officeDocument/2006/relationships/ctrlProp" Target="../ctrlProps/ctrlProp23.xml"/><Relationship Id="rId22" Type="http://schemas.openxmlformats.org/officeDocument/2006/relationships/ctrlProp" Target="../ctrlProps/ctrlProp3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39.xml"/><Relationship Id="rId13" Type="http://schemas.openxmlformats.org/officeDocument/2006/relationships/ctrlProp" Target="../ctrlProps/ctrlProp44.xml"/><Relationship Id="rId18" Type="http://schemas.openxmlformats.org/officeDocument/2006/relationships/ctrlProp" Target="../ctrlProps/ctrlProp49.xml"/><Relationship Id="rId3" Type="http://schemas.openxmlformats.org/officeDocument/2006/relationships/vmlDrawing" Target="../drawings/vmlDrawing4.vml"/><Relationship Id="rId21" Type="http://schemas.openxmlformats.org/officeDocument/2006/relationships/ctrlProp" Target="../ctrlProps/ctrlProp52.xml"/><Relationship Id="rId7" Type="http://schemas.openxmlformats.org/officeDocument/2006/relationships/ctrlProp" Target="../ctrlProps/ctrlProp38.xml"/><Relationship Id="rId12" Type="http://schemas.openxmlformats.org/officeDocument/2006/relationships/ctrlProp" Target="../ctrlProps/ctrlProp43.xml"/><Relationship Id="rId17" Type="http://schemas.openxmlformats.org/officeDocument/2006/relationships/ctrlProp" Target="../ctrlProps/ctrlProp48.xml"/><Relationship Id="rId2" Type="http://schemas.openxmlformats.org/officeDocument/2006/relationships/drawing" Target="../drawings/drawing5.xml"/><Relationship Id="rId16" Type="http://schemas.openxmlformats.org/officeDocument/2006/relationships/ctrlProp" Target="../ctrlProps/ctrlProp47.xml"/><Relationship Id="rId20" Type="http://schemas.openxmlformats.org/officeDocument/2006/relationships/ctrlProp" Target="../ctrlProps/ctrlProp51.xml"/><Relationship Id="rId1" Type="http://schemas.openxmlformats.org/officeDocument/2006/relationships/printerSettings" Target="../printerSettings/printerSettings3.bin"/><Relationship Id="rId6" Type="http://schemas.openxmlformats.org/officeDocument/2006/relationships/ctrlProp" Target="../ctrlProps/ctrlProp37.xml"/><Relationship Id="rId11" Type="http://schemas.openxmlformats.org/officeDocument/2006/relationships/ctrlProp" Target="../ctrlProps/ctrlProp42.xml"/><Relationship Id="rId5" Type="http://schemas.openxmlformats.org/officeDocument/2006/relationships/ctrlProp" Target="../ctrlProps/ctrlProp36.xml"/><Relationship Id="rId15" Type="http://schemas.openxmlformats.org/officeDocument/2006/relationships/ctrlProp" Target="../ctrlProps/ctrlProp46.xml"/><Relationship Id="rId10" Type="http://schemas.openxmlformats.org/officeDocument/2006/relationships/ctrlProp" Target="../ctrlProps/ctrlProp41.xml"/><Relationship Id="rId19" Type="http://schemas.openxmlformats.org/officeDocument/2006/relationships/ctrlProp" Target="../ctrlProps/ctrlProp50.xml"/><Relationship Id="rId4" Type="http://schemas.openxmlformats.org/officeDocument/2006/relationships/ctrlProp" Target="../ctrlProps/ctrlProp35.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omments" Target="../comments4.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ctrlProp" Target="../ctrlProps/ctrlProp56.xml"/><Relationship Id="rId2" Type="http://schemas.openxmlformats.org/officeDocument/2006/relationships/drawing" Target="../drawings/drawing6.xml"/><Relationship Id="rId1" Type="http://schemas.openxmlformats.org/officeDocument/2006/relationships/printerSettings" Target="../printerSettings/printerSettings4.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61.xml"/><Relationship Id="rId3" Type="http://schemas.openxmlformats.org/officeDocument/2006/relationships/vmlDrawing" Target="../drawings/vmlDrawing6.vml"/><Relationship Id="rId7" Type="http://schemas.openxmlformats.org/officeDocument/2006/relationships/ctrlProp" Target="../ctrlProps/ctrlProp60.xml"/><Relationship Id="rId2" Type="http://schemas.openxmlformats.org/officeDocument/2006/relationships/drawing" Target="../drawings/drawing19.xml"/><Relationship Id="rId1" Type="http://schemas.openxmlformats.org/officeDocument/2006/relationships/printerSettings" Target="../printerSettings/printerSettings5.bin"/><Relationship Id="rId6" Type="http://schemas.openxmlformats.org/officeDocument/2006/relationships/ctrlProp" Target="../ctrlProps/ctrlProp59.xml"/><Relationship Id="rId11" Type="http://schemas.openxmlformats.org/officeDocument/2006/relationships/comments" Target="../comments6.xml"/><Relationship Id="rId5" Type="http://schemas.openxmlformats.org/officeDocument/2006/relationships/ctrlProp" Target="../ctrlProps/ctrlProp58.xml"/><Relationship Id="rId10" Type="http://schemas.openxmlformats.org/officeDocument/2006/relationships/ctrlProp" Target="../ctrlProps/ctrlProp63.xml"/><Relationship Id="rId4" Type="http://schemas.openxmlformats.org/officeDocument/2006/relationships/ctrlProp" Target="../ctrlProps/ctrlProp57.xml"/><Relationship Id="rId9" Type="http://schemas.openxmlformats.org/officeDocument/2006/relationships/ctrlProp" Target="../ctrlProps/ctrlProp62.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4.xml"/><Relationship Id="rId2" Type="http://schemas.openxmlformats.org/officeDocument/2006/relationships/vmlDrawing" Target="../drawings/vmlDrawing7.vml"/><Relationship Id="rId1" Type="http://schemas.openxmlformats.org/officeDocument/2006/relationships/drawing" Target="../drawings/drawing22.xml"/><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69.xml"/><Relationship Id="rId13" Type="http://schemas.openxmlformats.org/officeDocument/2006/relationships/ctrlProp" Target="../ctrlProps/ctrlProp74.xml"/><Relationship Id="rId18" Type="http://schemas.openxmlformats.org/officeDocument/2006/relationships/ctrlProp" Target="../ctrlProps/ctrlProp79.xml"/><Relationship Id="rId3" Type="http://schemas.openxmlformats.org/officeDocument/2006/relationships/vmlDrawing" Target="../drawings/vmlDrawing8.vml"/><Relationship Id="rId21" Type="http://schemas.openxmlformats.org/officeDocument/2006/relationships/ctrlProp" Target="../ctrlProps/ctrlProp82.xml"/><Relationship Id="rId7" Type="http://schemas.openxmlformats.org/officeDocument/2006/relationships/ctrlProp" Target="../ctrlProps/ctrlProp68.xml"/><Relationship Id="rId12" Type="http://schemas.openxmlformats.org/officeDocument/2006/relationships/ctrlProp" Target="../ctrlProps/ctrlProp73.xml"/><Relationship Id="rId17" Type="http://schemas.openxmlformats.org/officeDocument/2006/relationships/ctrlProp" Target="../ctrlProps/ctrlProp78.xml"/><Relationship Id="rId25" Type="http://schemas.openxmlformats.org/officeDocument/2006/relationships/comments" Target="../comments8.xml"/><Relationship Id="rId2" Type="http://schemas.openxmlformats.org/officeDocument/2006/relationships/drawing" Target="../drawings/drawing23.xml"/><Relationship Id="rId16" Type="http://schemas.openxmlformats.org/officeDocument/2006/relationships/ctrlProp" Target="../ctrlProps/ctrlProp77.xml"/><Relationship Id="rId20" Type="http://schemas.openxmlformats.org/officeDocument/2006/relationships/ctrlProp" Target="../ctrlProps/ctrlProp81.xml"/><Relationship Id="rId1" Type="http://schemas.openxmlformats.org/officeDocument/2006/relationships/printerSettings" Target="../printerSettings/printerSettings6.bin"/><Relationship Id="rId6" Type="http://schemas.openxmlformats.org/officeDocument/2006/relationships/ctrlProp" Target="../ctrlProps/ctrlProp67.xml"/><Relationship Id="rId11" Type="http://schemas.openxmlformats.org/officeDocument/2006/relationships/ctrlProp" Target="../ctrlProps/ctrlProp72.xml"/><Relationship Id="rId24" Type="http://schemas.openxmlformats.org/officeDocument/2006/relationships/ctrlProp" Target="../ctrlProps/ctrlProp85.xml"/><Relationship Id="rId5" Type="http://schemas.openxmlformats.org/officeDocument/2006/relationships/ctrlProp" Target="../ctrlProps/ctrlProp66.xml"/><Relationship Id="rId15" Type="http://schemas.openxmlformats.org/officeDocument/2006/relationships/ctrlProp" Target="../ctrlProps/ctrlProp76.xml"/><Relationship Id="rId23" Type="http://schemas.openxmlformats.org/officeDocument/2006/relationships/ctrlProp" Target="../ctrlProps/ctrlProp84.xml"/><Relationship Id="rId10" Type="http://schemas.openxmlformats.org/officeDocument/2006/relationships/ctrlProp" Target="../ctrlProps/ctrlProp71.xml"/><Relationship Id="rId19" Type="http://schemas.openxmlformats.org/officeDocument/2006/relationships/ctrlProp" Target="../ctrlProps/ctrlProp80.xml"/><Relationship Id="rId4" Type="http://schemas.openxmlformats.org/officeDocument/2006/relationships/ctrlProp" Target="../ctrlProps/ctrlProp65.xml"/><Relationship Id="rId9" Type="http://schemas.openxmlformats.org/officeDocument/2006/relationships/ctrlProp" Target="../ctrlProps/ctrlProp70.xml"/><Relationship Id="rId14" Type="http://schemas.openxmlformats.org/officeDocument/2006/relationships/ctrlProp" Target="../ctrlProps/ctrlProp75.xml"/><Relationship Id="rId22" Type="http://schemas.openxmlformats.org/officeDocument/2006/relationships/ctrlProp" Target="../ctrlProps/ctrlProp8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25.xml"/><Relationship Id="rId1" Type="http://schemas.openxmlformats.org/officeDocument/2006/relationships/printerSettings" Target="../printerSettings/printerSettings7.bin"/><Relationship Id="rId5" Type="http://schemas.openxmlformats.org/officeDocument/2006/relationships/comments" Target="../comments9.xml"/><Relationship Id="rId4" Type="http://schemas.openxmlformats.org/officeDocument/2006/relationships/ctrlProp" Target="../ctrlProps/ctrlProp86.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91.xml"/><Relationship Id="rId13" Type="http://schemas.openxmlformats.org/officeDocument/2006/relationships/ctrlProp" Target="../ctrlProps/ctrlProp96.xml"/><Relationship Id="rId3" Type="http://schemas.openxmlformats.org/officeDocument/2006/relationships/vmlDrawing" Target="../drawings/vmlDrawing10.vml"/><Relationship Id="rId7" Type="http://schemas.openxmlformats.org/officeDocument/2006/relationships/ctrlProp" Target="../ctrlProps/ctrlProp90.xml"/><Relationship Id="rId12" Type="http://schemas.openxmlformats.org/officeDocument/2006/relationships/ctrlProp" Target="../ctrlProps/ctrlProp95.xml"/><Relationship Id="rId2" Type="http://schemas.openxmlformats.org/officeDocument/2006/relationships/drawing" Target="../drawings/drawing26.xml"/><Relationship Id="rId16" Type="http://schemas.openxmlformats.org/officeDocument/2006/relationships/comments" Target="../comments10.xml"/><Relationship Id="rId1" Type="http://schemas.openxmlformats.org/officeDocument/2006/relationships/printerSettings" Target="../printerSettings/printerSettings8.bin"/><Relationship Id="rId6" Type="http://schemas.openxmlformats.org/officeDocument/2006/relationships/ctrlProp" Target="../ctrlProps/ctrlProp89.xml"/><Relationship Id="rId11" Type="http://schemas.openxmlformats.org/officeDocument/2006/relationships/ctrlProp" Target="../ctrlProps/ctrlProp94.xml"/><Relationship Id="rId5" Type="http://schemas.openxmlformats.org/officeDocument/2006/relationships/ctrlProp" Target="../ctrlProps/ctrlProp88.xml"/><Relationship Id="rId15" Type="http://schemas.openxmlformats.org/officeDocument/2006/relationships/ctrlProp" Target="../ctrlProps/ctrlProp98.xml"/><Relationship Id="rId10" Type="http://schemas.openxmlformats.org/officeDocument/2006/relationships/ctrlProp" Target="../ctrlProps/ctrlProp93.xml"/><Relationship Id="rId4" Type="http://schemas.openxmlformats.org/officeDocument/2006/relationships/ctrlProp" Target="../ctrlProps/ctrlProp87.xml"/><Relationship Id="rId9" Type="http://schemas.openxmlformats.org/officeDocument/2006/relationships/ctrlProp" Target="../ctrlProps/ctrlProp92.xml"/><Relationship Id="rId14" Type="http://schemas.openxmlformats.org/officeDocument/2006/relationships/ctrlProp" Target="../ctrlProps/ctrlProp97.xml"/></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www.zirchrom.com/organic.htm" TargetMode="External"/><Relationship Id="rId1" Type="http://schemas.openxmlformats.org/officeDocument/2006/relationships/hyperlink" Target="http://research.chem.psu.edu/brpgroup/pKa_compilation.pdf" TargetMode="External"/><Relationship Id="rId6" Type="http://schemas.openxmlformats.org/officeDocument/2006/relationships/comments" Target="../comments11.xml"/><Relationship Id="rId5" Type="http://schemas.openxmlformats.org/officeDocument/2006/relationships/vmlDrawing" Target="../drawings/vmlDrawing11.vml"/><Relationship Id="rId4" Type="http://schemas.openxmlformats.org/officeDocument/2006/relationships/drawing" Target="../drawings/drawing2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9"/>
  <dimension ref="A1:AV52"/>
  <sheetViews>
    <sheetView zoomScale="85" zoomScaleNormal="85" workbookViewId="0"/>
  </sheetViews>
  <sheetFormatPr defaultRowHeight="12.75"/>
  <cols>
    <col min="1" max="17" width="8.7109375" customWidth="1"/>
    <col min="18" max="37" width="10.28515625" customWidth="1"/>
  </cols>
  <sheetData>
    <row r="1" spans="1:48" s="14" customFormat="1" ht="33" customHeight="1">
      <c r="A1" s="8"/>
      <c r="B1" s="21"/>
      <c r="C1" s="8"/>
      <c r="D1" s="8"/>
      <c r="E1" s="8"/>
      <c r="F1" s="8"/>
      <c r="G1" s="8"/>
      <c r="H1" s="8"/>
      <c r="I1" s="8"/>
      <c r="J1" s="8"/>
      <c r="K1" s="8"/>
      <c r="L1" s="8"/>
      <c r="M1" s="8"/>
      <c r="N1" s="8"/>
      <c r="O1" s="11"/>
      <c r="P1" s="11"/>
      <c r="Q1" s="26"/>
      <c r="R1" s="1373" t="s">
        <v>759</v>
      </c>
      <c r="S1" s="26"/>
      <c r="T1" s="26"/>
      <c r="U1" s="26"/>
      <c r="V1" s="324"/>
      <c r="W1" s="324"/>
      <c r="X1" s="324"/>
      <c r="Y1" s="325"/>
      <c r="Z1" s="26"/>
      <c r="AA1" s="26"/>
      <c r="AB1" s="26"/>
      <c r="AC1" s="26"/>
      <c r="AD1" s="26"/>
      <c r="AE1" s="26"/>
      <c r="AF1" s="26"/>
      <c r="AG1" s="26"/>
      <c r="AH1" s="326"/>
      <c r="AI1" s="326"/>
      <c r="AJ1" s="326"/>
      <c r="AK1" s="326"/>
      <c r="AL1" s="185"/>
      <c r="AM1" s="185"/>
      <c r="AN1" s="185"/>
      <c r="AO1" s="185"/>
      <c r="AP1" s="185"/>
      <c r="AQ1" s="185"/>
      <c r="AR1" s="185"/>
      <c r="AS1" s="185"/>
      <c r="AT1" s="185"/>
      <c r="AU1" s="185"/>
      <c r="AV1" s="185"/>
    </row>
    <row r="2" spans="1:48" s="14" customFormat="1" ht="27" customHeight="1">
      <c r="A2" s="8"/>
      <c r="B2" s="8"/>
      <c r="C2" s="8"/>
      <c r="D2" s="8"/>
      <c r="E2" s="8"/>
      <c r="F2" s="8"/>
      <c r="G2" s="8"/>
      <c r="H2" s="8"/>
      <c r="I2" s="8"/>
      <c r="J2" s="8"/>
      <c r="K2" s="8"/>
      <c r="L2" s="8"/>
      <c r="M2" s="8"/>
      <c r="N2" s="8"/>
      <c r="O2" s="11"/>
      <c r="P2" s="11"/>
      <c r="Q2" s="552"/>
      <c r="R2" s="1115" t="s">
        <v>757</v>
      </c>
      <c r="S2" s="26"/>
      <c r="T2" s="26"/>
      <c r="U2" s="26"/>
      <c r="V2" s="26"/>
      <c r="W2" s="26"/>
      <c r="X2" s="26"/>
      <c r="Y2" s="26"/>
      <c r="Z2" s="26"/>
      <c r="AA2" s="26"/>
      <c r="AB2" s="26"/>
      <c r="AC2" s="26"/>
      <c r="AD2" s="26"/>
      <c r="AE2" s="26"/>
      <c r="AF2" s="26"/>
      <c r="AG2" s="26"/>
      <c r="AH2" s="326"/>
      <c r="AI2" s="326"/>
      <c r="AJ2" s="326"/>
      <c r="AK2" s="326"/>
      <c r="AL2" s="185"/>
      <c r="AM2" s="185"/>
      <c r="AN2" s="185"/>
      <c r="AO2" s="185"/>
      <c r="AP2" s="185"/>
      <c r="AQ2" s="185"/>
      <c r="AR2" s="185"/>
      <c r="AS2" s="185"/>
      <c r="AT2" s="185"/>
      <c r="AU2" s="185"/>
      <c r="AV2" s="185"/>
    </row>
    <row r="3" spans="1:48" ht="21.95" customHeight="1">
      <c r="A3" s="8"/>
      <c r="B3" s="8"/>
      <c r="C3" s="8"/>
      <c r="D3" s="8"/>
      <c r="E3" s="8"/>
      <c r="F3" s="8"/>
      <c r="G3" s="8"/>
      <c r="H3" s="8"/>
      <c r="I3" s="8"/>
      <c r="J3" s="8"/>
      <c r="K3" s="8"/>
      <c r="L3" s="8"/>
      <c r="M3" s="8"/>
      <c r="N3" s="8"/>
      <c r="O3" s="11"/>
      <c r="P3" s="11"/>
      <c r="Q3" s="26"/>
      <c r="R3" s="1115" t="s">
        <v>935</v>
      </c>
      <c r="S3" s="26"/>
      <c r="T3" s="327"/>
      <c r="U3" s="327"/>
      <c r="V3" s="327"/>
      <c r="W3" s="327"/>
      <c r="X3" s="327"/>
      <c r="Y3" s="327"/>
      <c r="Z3" s="327"/>
      <c r="AA3" s="327"/>
      <c r="AB3" s="327"/>
      <c r="AC3" s="327"/>
      <c r="AD3" s="327"/>
      <c r="AE3" s="327"/>
      <c r="AF3" s="327"/>
      <c r="AG3" s="327"/>
      <c r="AH3" s="326"/>
      <c r="AI3" s="326"/>
      <c r="AJ3" s="326"/>
      <c r="AK3" s="326"/>
      <c r="AL3" s="185"/>
      <c r="AM3" s="185"/>
      <c r="AN3" s="185"/>
      <c r="AO3" s="185"/>
      <c r="AP3" s="185"/>
      <c r="AQ3" s="185"/>
      <c r="AR3" s="185"/>
      <c r="AS3" s="185"/>
      <c r="AT3" s="185"/>
      <c r="AU3" s="185"/>
      <c r="AV3" s="185"/>
    </row>
    <row r="4" spans="1:48" ht="21.95" customHeight="1">
      <c r="A4" s="8"/>
      <c r="B4" s="8"/>
      <c r="C4" s="8"/>
      <c r="D4" s="8"/>
      <c r="E4" s="8"/>
      <c r="F4" s="8"/>
      <c r="G4" s="8"/>
      <c r="H4" s="8"/>
      <c r="I4" s="8"/>
      <c r="J4" s="8"/>
      <c r="K4" s="8"/>
      <c r="L4" s="8"/>
      <c r="M4" s="8"/>
      <c r="N4" s="8"/>
      <c r="O4" s="11"/>
      <c r="P4" s="11"/>
      <c r="Q4" s="552"/>
      <c r="R4" s="1116" t="s">
        <v>858</v>
      </c>
      <c r="S4" s="552"/>
      <c r="T4" s="327"/>
      <c r="U4" s="327"/>
      <c r="V4" s="327"/>
      <c r="W4" s="327"/>
      <c r="X4" s="327"/>
      <c r="Y4" s="327"/>
      <c r="Z4" s="327"/>
      <c r="AA4" s="327"/>
      <c r="AB4" s="327"/>
      <c r="AC4" s="327"/>
      <c r="AD4" s="327"/>
      <c r="AE4" s="327"/>
      <c r="AF4" s="327"/>
      <c r="AG4" s="327"/>
      <c r="AH4" s="326"/>
      <c r="AI4" s="326"/>
      <c r="AJ4" s="326"/>
      <c r="AK4" s="326"/>
      <c r="AL4" s="185"/>
      <c r="AM4" s="185"/>
      <c r="AN4" s="185"/>
      <c r="AO4" s="185"/>
      <c r="AP4" s="185"/>
      <c r="AQ4" s="185"/>
      <c r="AR4" s="185"/>
      <c r="AS4" s="185"/>
      <c r="AT4" s="185"/>
      <c r="AU4" s="185"/>
      <c r="AV4" s="185"/>
    </row>
    <row r="5" spans="1:48" ht="21.95" customHeight="1">
      <c r="A5" s="8"/>
      <c r="B5" s="8"/>
      <c r="C5" s="8"/>
      <c r="D5" s="8"/>
      <c r="E5" s="8"/>
      <c r="F5" s="8"/>
      <c r="G5" s="8"/>
      <c r="H5" s="8"/>
      <c r="I5" s="8"/>
      <c r="J5" s="8"/>
      <c r="K5" s="8"/>
      <c r="L5" s="8"/>
      <c r="M5" s="8"/>
      <c r="N5" s="8"/>
      <c r="O5" s="11"/>
      <c r="P5" s="11"/>
      <c r="Q5" s="552"/>
      <c r="R5" s="1116" t="s">
        <v>925</v>
      </c>
      <c r="S5" s="552"/>
      <c r="T5" s="327"/>
      <c r="U5" s="327"/>
      <c r="V5" s="327"/>
      <c r="W5" s="327"/>
      <c r="X5" s="327"/>
      <c r="Y5" s="327"/>
      <c r="Z5" s="327"/>
      <c r="AA5" s="327"/>
      <c r="AB5" s="327"/>
      <c r="AC5" s="327"/>
      <c r="AD5" s="327"/>
      <c r="AE5" s="327"/>
      <c r="AF5" s="327"/>
      <c r="AG5" s="327"/>
      <c r="AH5" s="326"/>
      <c r="AI5" s="326"/>
      <c r="AJ5" s="326"/>
      <c r="AK5" s="326"/>
      <c r="AL5" s="185"/>
      <c r="AM5" s="185"/>
      <c r="AN5" s="185"/>
      <c r="AO5" s="185"/>
      <c r="AP5" s="185"/>
      <c r="AQ5" s="185"/>
      <c r="AR5" s="185"/>
      <c r="AS5" s="185"/>
      <c r="AT5" s="185"/>
      <c r="AU5" s="185"/>
      <c r="AV5" s="185"/>
    </row>
    <row r="6" spans="1:48" ht="21.95" customHeight="1">
      <c r="A6" s="8"/>
      <c r="B6" s="8"/>
      <c r="C6" s="8"/>
      <c r="D6" s="8"/>
      <c r="E6" s="8"/>
      <c r="F6" s="8"/>
      <c r="G6" s="8"/>
      <c r="H6" s="8"/>
      <c r="I6" s="8"/>
      <c r="J6" s="8"/>
      <c r="K6" s="8"/>
      <c r="L6" s="8"/>
      <c r="M6" s="8"/>
      <c r="N6" s="8"/>
      <c r="O6" s="11"/>
      <c r="P6" s="11"/>
      <c r="Q6" s="552"/>
      <c r="R6" s="1115" t="s">
        <v>926</v>
      </c>
      <c r="S6" s="552"/>
      <c r="T6" s="327"/>
      <c r="U6" s="327"/>
      <c r="V6" s="327"/>
      <c r="W6" s="327"/>
      <c r="X6" s="327"/>
      <c r="Y6" s="327"/>
      <c r="Z6" s="327"/>
      <c r="AA6" s="327"/>
      <c r="AB6" s="327"/>
      <c r="AC6" s="327"/>
      <c r="AD6" s="327"/>
      <c r="AE6" s="327"/>
      <c r="AF6" s="327"/>
      <c r="AG6" s="326"/>
      <c r="AH6" s="326"/>
      <c r="AI6" s="326"/>
      <c r="AJ6" s="326"/>
      <c r="AK6" s="326"/>
      <c r="AL6" s="185"/>
      <c r="AM6" s="185"/>
      <c r="AN6" s="185"/>
      <c r="AO6" s="185"/>
      <c r="AP6" s="185"/>
      <c r="AQ6" s="185"/>
      <c r="AR6" s="185"/>
      <c r="AS6" s="185"/>
      <c r="AT6" s="185"/>
      <c r="AU6" s="185"/>
      <c r="AV6" s="185"/>
    </row>
    <row r="7" spans="1:48" ht="21.95" customHeight="1">
      <c r="A7" s="8"/>
      <c r="B7" s="8"/>
      <c r="C7" s="8"/>
      <c r="D7" s="8"/>
      <c r="E7" s="8"/>
      <c r="F7" s="8"/>
      <c r="G7" s="8"/>
      <c r="H7" s="8"/>
      <c r="I7" s="8"/>
      <c r="J7" s="8"/>
      <c r="K7" s="8"/>
      <c r="L7" s="8"/>
      <c r="M7" s="8"/>
      <c r="N7" s="8"/>
      <c r="O7" s="11"/>
      <c r="P7" s="11"/>
      <c r="Q7" s="552"/>
      <c r="R7" s="1115" t="s">
        <v>1167</v>
      </c>
      <c r="S7" s="552"/>
      <c r="T7" s="327"/>
      <c r="U7" s="327"/>
      <c r="V7" s="327"/>
      <c r="W7" s="327"/>
      <c r="X7" s="327"/>
      <c r="Y7" s="327"/>
      <c r="Z7" s="327"/>
      <c r="AA7" s="327"/>
      <c r="AB7" s="327"/>
      <c r="AC7" s="327"/>
      <c r="AD7" s="327"/>
      <c r="AE7" s="327"/>
      <c r="AF7" s="327"/>
      <c r="AG7" s="327"/>
      <c r="AH7" s="326"/>
      <c r="AI7" s="326"/>
      <c r="AJ7" s="326"/>
      <c r="AK7" s="326"/>
      <c r="AL7" s="185"/>
      <c r="AM7" s="185"/>
      <c r="AN7" s="185"/>
      <c r="AO7" s="185"/>
      <c r="AP7" s="185"/>
      <c r="AQ7" s="185"/>
      <c r="AR7" s="185"/>
      <c r="AS7" s="185"/>
      <c r="AT7" s="185"/>
      <c r="AU7" s="185"/>
      <c r="AV7" s="185"/>
    </row>
    <row r="8" spans="1:48" s="12" customFormat="1" ht="21.95" customHeight="1">
      <c r="A8" s="8"/>
      <c r="B8" s="8"/>
      <c r="C8" s="8"/>
      <c r="D8" s="8"/>
      <c r="E8" s="8"/>
      <c r="F8" s="8"/>
      <c r="G8" s="8"/>
      <c r="H8" s="8"/>
      <c r="I8" s="8"/>
      <c r="J8" s="8"/>
      <c r="K8" s="8"/>
      <c r="L8" s="8"/>
      <c r="M8" s="8"/>
      <c r="N8" s="8"/>
      <c r="O8" s="11"/>
      <c r="P8" s="11"/>
      <c r="Q8" s="552"/>
      <c r="R8" s="1116" t="s">
        <v>927</v>
      </c>
      <c r="S8" s="552"/>
      <c r="T8" s="327"/>
      <c r="U8" s="327"/>
      <c r="V8" s="327"/>
      <c r="W8" s="327"/>
      <c r="X8" s="327"/>
      <c r="Y8" s="327"/>
      <c r="Z8" s="327"/>
      <c r="AA8" s="327"/>
      <c r="AB8" s="327"/>
      <c r="AC8" s="327"/>
      <c r="AD8" s="327"/>
      <c r="AE8" s="327"/>
      <c r="AF8" s="327"/>
      <c r="AG8" s="327"/>
      <c r="AH8" s="326"/>
      <c r="AI8" s="326"/>
      <c r="AJ8" s="326"/>
      <c r="AK8" s="326"/>
      <c r="AL8" s="185"/>
      <c r="AM8" s="185"/>
      <c r="AN8" s="185"/>
      <c r="AO8" s="185"/>
      <c r="AP8" s="185"/>
      <c r="AQ8" s="185"/>
      <c r="AR8" s="185"/>
      <c r="AS8" s="185"/>
      <c r="AT8" s="185"/>
      <c r="AU8" s="185"/>
      <c r="AV8" s="185"/>
    </row>
    <row r="9" spans="1:48" s="12" customFormat="1" ht="21.95" customHeight="1">
      <c r="A9" s="8"/>
      <c r="B9" s="8"/>
      <c r="C9" s="8"/>
      <c r="D9" s="8"/>
      <c r="E9" s="8"/>
      <c r="F9" s="8"/>
      <c r="G9" s="8"/>
      <c r="H9" s="8"/>
      <c r="I9" s="8"/>
      <c r="J9" s="8"/>
      <c r="K9" s="8"/>
      <c r="L9" s="8"/>
      <c r="M9" s="8"/>
      <c r="N9" s="8"/>
      <c r="O9" s="11"/>
      <c r="P9" s="11"/>
      <c r="Q9" s="552"/>
      <c r="R9" s="1116" t="s">
        <v>928</v>
      </c>
      <c r="S9" s="552"/>
      <c r="T9" s="327"/>
      <c r="U9" s="327"/>
      <c r="V9" s="327"/>
      <c r="W9" s="327"/>
      <c r="X9" s="327"/>
      <c r="Y9" s="327"/>
      <c r="Z9" s="327"/>
      <c r="AA9" s="327"/>
      <c r="AB9" s="327"/>
      <c r="AC9" s="327"/>
      <c r="AD9" s="327"/>
      <c r="AE9" s="327"/>
      <c r="AF9" s="327"/>
      <c r="AG9" s="327"/>
      <c r="AH9" s="326"/>
      <c r="AI9" s="326"/>
      <c r="AJ9" s="326"/>
      <c r="AK9" s="326"/>
      <c r="AL9" s="185"/>
      <c r="AM9" s="185"/>
      <c r="AN9" s="185"/>
      <c r="AO9" s="185"/>
      <c r="AP9" s="185"/>
      <c r="AQ9" s="185"/>
      <c r="AR9" s="185"/>
      <c r="AS9" s="185"/>
      <c r="AT9" s="185"/>
      <c r="AU9" s="185"/>
      <c r="AV9" s="185"/>
    </row>
    <row r="10" spans="1:48" s="12" customFormat="1" ht="21.95" customHeight="1">
      <c r="A10" s="8"/>
      <c r="B10" s="8"/>
      <c r="C10" s="8"/>
      <c r="D10" s="8"/>
      <c r="E10" s="8"/>
      <c r="F10" s="8"/>
      <c r="G10" s="8"/>
      <c r="H10" s="8"/>
      <c r="I10" s="8"/>
      <c r="J10" s="8"/>
      <c r="K10" s="8"/>
      <c r="L10" s="8"/>
      <c r="M10" s="8"/>
      <c r="N10" s="8"/>
      <c r="O10" s="11"/>
      <c r="P10" s="11"/>
      <c r="Q10" s="552"/>
      <c r="R10" s="1115" t="s">
        <v>929</v>
      </c>
      <c r="S10" s="552"/>
      <c r="T10" s="327"/>
      <c r="U10" s="327"/>
      <c r="V10" s="327"/>
      <c r="W10" s="327"/>
      <c r="X10" s="327"/>
      <c r="Y10" s="327"/>
      <c r="Z10" s="327"/>
      <c r="AA10" s="327"/>
      <c r="AB10" s="327"/>
      <c r="AC10" s="327"/>
      <c r="AD10" s="327"/>
      <c r="AE10" s="327"/>
      <c r="AF10" s="327"/>
      <c r="AG10" s="327"/>
      <c r="AH10" s="326"/>
      <c r="AI10" s="326"/>
      <c r="AJ10" s="326"/>
      <c r="AK10" s="326"/>
      <c r="AL10" s="185"/>
      <c r="AM10" s="185"/>
      <c r="AN10" s="185"/>
      <c r="AO10" s="185"/>
      <c r="AP10" s="185"/>
      <c r="AQ10" s="185"/>
      <c r="AR10" s="185"/>
      <c r="AS10" s="185"/>
      <c r="AT10" s="185"/>
      <c r="AU10" s="185"/>
      <c r="AV10" s="185"/>
    </row>
    <row r="11" spans="1:48" s="12" customFormat="1" ht="21.95" customHeight="1">
      <c r="A11" s="8"/>
      <c r="B11" s="8"/>
      <c r="C11" s="8"/>
      <c r="D11" s="8"/>
      <c r="E11" s="8"/>
      <c r="F11" s="8"/>
      <c r="G11" s="8"/>
      <c r="H11" s="8"/>
      <c r="I11" s="8"/>
      <c r="J11" s="8"/>
      <c r="K11" s="8"/>
      <c r="L11" s="8"/>
      <c r="M11" s="8"/>
      <c r="N11" s="8"/>
      <c r="O11" s="11"/>
      <c r="P11" s="11"/>
      <c r="Q11" s="552"/>
      <c r="R11" s="1115" t="s">
        <v>1078</v>
      </c>
      <c r="S11" s="552"/>
      <c r="T11" s="327"/>
      <c r="U11" s="327"/>
      <c r="V11" s="327"/>
      <c r="W11" s="327"/>
      <c r="X11" s="327"/>
      <c r="Y11" s="327"/>
      <c r="Z11" s="327"/>
      <c r="AA11" s="327"/>
      <c r="AB11" s="327"/>
      <c r="AC11" s="327"/>
      <c r="AD11" s="327"/>
      <c r="AE11" s="327"/>
      <c r="AF11" s="327"/>
      <c r="AG11" s="327"/>
      <c r="AH11" s="326"/>
      <c r="AI11" s="326"/>
      <c r="AJ11" s="326"/>
      <c r="AK11" s="326"/>
      <c r="AL11" s="185"/>
      <c r="AM11" s="185"/>
      <c r="AN11" s="185"/>
      <c r="AO11" s="185"/>
      <c r="AP11" s="185"/>
      <c r="AQ11" s="185"/>
      <c r="AR11" s="185"/>
      <c r="AS11" s="185"/>
      <c r="AT11" s="185"/>
      <c r="AU11" s="185"/>
      <c r="AV11" s="185"/>
    </row>
    <row r="12" spans="1:48" s="12" customFormat="1" ht="21.95" customHeight="1">
      <c r="A12" s="8"/>
      <c r="B12" s="8"/>
      <c r="C12" s="8"/>
      <c r="D12" s="8"/>
      <c r="E12" s="8"/>
      <c r="F12" s="8"/>
      <c r="G12" s="8"/>
      <c r="H12" s="8"/>
      <c r="I12" s="8"/>
      <c r="J12" s="8"/>
      <c r="K12" s="8"/>
      <c r="L12" s="8"/>
      <c r="M12" s="8"/>
      <c r="N12" s="8"/>
      <c r="O12" s="11"/>
      <c r="P12" s="11"/>
      <c r="Q12" s="532"/>
      <c r="R12" s="532"/>
      <c r="S12" s="532"/>
      <c r="T12" s="328"/>
      <c r="U12" s="328"/>
      <c r="V12" s="328"/>
      <c r="W12" s="328"/>
      <c r="X12" s="328"/>
      <c r="Y12" s="328"/>
      <c r="Z12" s="328"/>
      <c r="AA12" s="328"/>
      <c r="AB12" s="328"/>
      <c r="AC12" s="328"/>
      <c r="AD12" s="328"/>
      <c r="AE12" s="328"/>
      <c r="AF12" s="328"/>
      <c r="AG12" s="328"/>
      <c r="AH12" s="328"/>
      <c r="AI12" s="328"/>
      <c r="AJ12" s="328"/>
      <c r="AK12" s="328"/>
      <c r="AL12" s="328"/>
      <c r="AM12" s="532"/>
      <c r="AN12" s="328"/>
      <c r="AO12" s="328"/>
      <c r="AP12" s="328"/>
      <c r="AQ12" s="328"/>
      <c r="AR12" s="328"/>
      <c r="AS12" s="328"/>
      <c r="AT12" s="328"/>
      <c r="AU12" s="328"/>
      <c r="AV12" s="328"/>
    </row>
    <row r="13" spans="1:48" s="12" customFormat="1" ht="21.95" customHeight="1">
      <c r="A13" s="8"/>
      <c r="B13" s="8"/>
      <c r="C13" s="8"/>
      <c r="D13" s="8"/>
      <c r="E13" s="8"/>
      <c r="F13" s="8"/>
      <c r="G13" s="8"/>
      <c r="H13" s="8"/>
      <c r="I13" s="8"/>
      <c r="J13" s="8"/>
      <c r="K13" s="8"/>
      <c r="L13" s="8"/>
      <c r="M13" s="8"/>
      <c r="N13" s="8"/>
      <c r="O13" s="11"/>
      <c r="P13" s="11"/>
      <c r="Q13" s="532"/>
      <c r="R13" s="1114" t="s">
        <v>1168</v>
      </c>
      <c r="S13" s="532"/>
      <c r="T13" s="328"/>
      <c r="U13" s="328"/>
      <c r="V13" s="328"/>
      <c r="W13" s="328"/>
      <c r="X13" s="328"/>
      <c r="Y13" s="328"/>
      <c r="Z13" s="328"/>
      <c r="AA13" s="328"/>
      <c r="AB13" s="328"/>
      <c r="AC13" s="328"/>
      <c r="AD13" s="328"/>
      <c r="AE13" s="328"/>
      <c r="AF13" s="328"/>
      <c r="AG13" s="328"/>
      <c r="AH13" s="328"/>
      <c r="AI13" s="328"/>
      <c r="AJ13" s="328"/>
      <c r="AK13" s="328"/>
      <c r="AL13" s="328"/>
      <c r="AM13" s="532"/>
      <c r="AN13" s="328"/>
      <c r="AO13" s="328"/>
      <c r="AP13" s="328"/>
      <c r="AQ13" s="328"/>
      <c r="AR13" s="328"/>
      <c r="AS13" s="328"/>
      <c r="AT13" s="328"/>
      <c r="AU13" s="328"/>
      <c r="AV13" s="328"/>
    </row>
    <row r="14" spans="1:48" s="12" customFormat="1" ht="21.75" customHeight="1">
      <c r="A14" s="8"/>
      <c r="B14" s="8"/>
      <c r="C14" s="8"/>
      <c r="D14" s="8"/>
      <c r="E14" s="8"/>
      <c r="F14" s="8"/>
      <c r="G14" s="8"/>
      <c r="H14" s="8"/>
      <c r="I14" s="8"/>
      <c r="J14" s="8"/>
      <c r="K14" s="8"/>
      <c r="L14" s="8"/>
      <c r="M14" s="8"/>
      <c r="N14" s="8"/>
      <c r="O14" s="11"/>
      <c r="P14" s="11"/>
      <c r="Q14" s="532"/>
      <c r="R14" s="1114" t="s">
        <v>1169</v>
      </c>
      <c r="S14" s="532"/>
      <c r="T14" s="328"/>
      <c r="U14" s="328"/>
      <c r="V14" s="328"/>
      <c r="W14" s="328"/>
      <c r="X14" s="328"/>
      <c r="Y14" s="328"/>
      <c r="Z14" s="328"/>
      <c r="AA14" s="328"/>
      <c r="AB14" s="328"/>
      <c r="AC14" s="328"/>
      <c r="AD14" s="328"/>
      <c r="AE14" s="328"/>
      <c r="AF14" s="328"/>
      <c r="AG14" s="328"/>
      <c r="AH14" s="328"/>
      <c r="AI14" s="328"/>
      <c r="AJ14" s="328"/>
      <c r="AK14" s="328"/>
      <c r="AL14" s="328"/>
      <c r="AM14" s="532"/>
      <c r="AN14" s="328"/>
      <c r="AO14" s="328"/>
      <c r="AP14" s="328"/>
      <c r="AQ14" s="328"/>
      <c r="AR14" s="328"/>
      <c r="AS14" s="328"/>
      <c r="AT14" s="328"/>
      <c r="AU14" s="328"/>
      <c r="AV14" s="328"/>
    </row>
    <row r="15" spans="1:48" s="12" customFormat="1" ht="21.95" customHeight="1">
      <c r="A15" s="8"/>
      <c r="B15" s="8"/>
      <c r="C15" s="8"/>
      <c r="D15" s="8"/>
      <c r="E15" s="8"/>
      <c r="F15" s="8"/>
      <c r="G15" s="8"/>
      <c r="H15" s="8"/>
      <c r="I15" s="8"/>
      <c r="J15" s="8"/>
      <c r="K15" s="8"/>
      <c r="L15" s="8"/>
      <c r="M15" s="8"/>
      <c r="N15" s="8"/>
      <c r="O15" s="11"/>
      <c r="P15" s="11"/>
      <c r="Q15" s="532"/>
      <c r="R15" s="1114" t="s">
        <v>859</v>
      </c>
      <c r="S15" s="532"/>
      <c r="T15" s="328"/>
      <c r="U15" s="328"/>
      <c r="V15" s="328"/>
      <c r="W15" s="532"/>
      <c r="X15" s="328"/>
      <c r="Y15" s="328"/>
      <c r="Z15" s="328"/>
      <c r="AA15" s="328"/>
      <c r="AB15" s="328"/>
      <c r="AC15" s="328"/>
      <c r="AD15" s="328"/>
      <c r="AE15" s="328"/>
      <c r="AF15" s="328"/>
      <c r="AG15" s="328"/>
      <c r="AH15" s="328"/>
      <c r="AI15" s="328"/>
      <c r="AJ15" s="328"/>
      <c r="AK15" s="328"/>
      <c r="AL15" s="328"/>
      <c r="AM15" s="532"/>
      <c r="AN15" s="328"/>
      <c r="AO15" s="328"/>
      <c r="AP15" s="328"/>
      <c r="AQ15" s="328"/>
      <c r="AR15" s="328"/>
      <c r="AS15" s="328"/>
      <c r="AT15" s="328"/>
      <c r="AU15" s="328"/>
      <c r="AV15" s="328"/>
    </row>
    <row r="16" spans="1:48" s="12" customFormat="1" ht="21.95" customHeight="1">
      <c r="A16" s="8"/>
      <c r="B16" s="8"/>
      <c r="C16" s="8"/>
      <c r="D16" s="8"/>
      <c r="E16" s="8"/>
      <c r="F16" s="8"/>
      <c r="G16" s="8"/>
      <c r="H16" s="8"/>
      <c r="I16" s="8"/>
      <c r="J16" s="8"/>
      <c r="K16" s="8"/>
      <c r="L16" s="8"/>
      <c r="M16" s="8"/>
      <c r="N16" s="8"/>
      <c r="O16" s="11"/>
      <c r="P16" s="11"/>
      <c r="Q16" s="532"/>
      <c r="R16" s="1114" t="s">
        <v>817</v>
      </c>
      <c r="S16" s="328"/>
      <c r="T16" s="328"/>
      <c r="U16" s="328"/>
      <c r="V16" s="328"/>
      <c r="W16" s="328"/>
      <c r="X16" s="328"/>
      <c r="Y16" s="328"/>
      <c r="Z16" s="328"/>
      <c r="AA16" s="328"/>
      <c r="AB16" s="328"/>
      <c r="AC16" s="328"/>
      <c r="AD16" s="328"/>
      <c r="AE16" s="328"/>
      <c r="AF16" s="328"/>
      <c r="AG16" s="328"/>
      <c r="AH16" s="328"/>
      <c r="AI16" s="328"/>
      <c r="AJ16" s="328"/>
      <c r="AK16" s="328"/>
      <c r="AL16" s="328"/>
      <c r="AM16" s="1108" t="s">
        <v>1164</v>
      </c>
      <c r="AN16" s="1108"/>
      <c r="AO16" s="328"/>
      <c r="AP16" s="328"/>
      <c r="AQ16" s="328"/>
      <c r="AR16" s="328"/>
      <c r="AS16" s="328"/>
      <c r="AT16" s="328"/>
      <c r="AU16" s="328"/>
      <c r="AV16" s="328"/>
    </row>
    <row r="17" spans="1:48" s="13" customFormat="1" ht="21.95" customHeight="1">
      <c r="A17" s="8"/>
      <c r="B17" s="8"/>
      <c r="C17" s="8"/>
      <c r="D17" s="8"/>
      <c r="E17" s="8"/>
      <c r="F17" s="8"/>
      <c r="G17" s="8"/>
      <c r="H17" s="8"/>
      <c r="I17" s="8"/>
      <c r="J17" s="8"/>
      <c r="K17" s="8"/>
      <c r="L17" s="8"/>
      <c r="M17" s="8"/>
      <c r="N17" s="8"/>
      <c r="O17" s="11"/>
      <c r="P17" s="11"/>
      <c r="Q17" s="532"/>
      <c r="R17" s="1114" t="s">
        <v>860</v>
      </c>
      <c r="S17" s="532"/>
      <c r="T17" s="328"/>
      <c r="U17" s="328"/>
      <c r="V17" s="328"/>
      <c r="W17" s="328"/>
      <c r="X17" s="328"/>
      <c r="Y17" s="328"/>
      <c r="Z17" s="328"/>
      <c r="AA17" s="328"/>
      <c r="AB17" s="328"/>
      <c r="AC17" s="328"/>
      <c r="AD17" s="328"/>
      <c r="AE17" s="328"/>
      <c r="AF17" s="328"/>
      <c r="AG17" s="328"/>
      <c r="AH17" s="328"/>
      <c r="AI17" s="328"/>
      <c r="AJ17" s="328"/>
      <c r="AK17" s="328"/>
      <c r="AL17" s="328"/>
      <c r="AM17" s="532" t="s">
        <v>1165</v>
      </c>
      <c r="AN17" s="532"/>
      <c r="AO17" s="328"/>
      <c r="AP17" s="328"/>
      <c r="AQ17" s="328"/>
      <c r="AR17" s="328"/>
      <c r="AS17" s="328"/>
      <c r="AT17" s="328"/>
      <c r="AU17" s="328"/>
      <c r="AV17" s="328"/>
    </row>
    <row r="18" spans="1:48" s="13" customFormat="1" ht="21.95" customHeight="1">
      <c r="A18" s="8"/>
      <c r="B18" s="8"/>
      <c r="C18" s="8"/>
      <c r="D18" s="8"/>
      <c r="E18" s="8"/>
      <c r="F18" s="8"/>
      <c r="G18" s="8"/>
      <c r="H18" s="8"/>
      <c r="I18" s="8"/>
      <c r="J18" s="8"/>
      <c r="K18" s="8"/>
      <c r="L18" s="8"/>
      <c r="M18" s="8"/>
      <c r="N18" s="8"/>
      <c r="O18" s="11"/>
      <c r="P18" s="11"/>
      <c r="Q18" s="553"/>
      <c r="R18" s="183"/>
      <c r="S18" s="183"/>
      <c r="T18" s="329"/>
      <c r="U18" s="329"/>
      <c r="V18" s="329"/>
      <c r="W18" s="329"/>
      <c r="X18" s="329"/>
      <c r="Y18" s="329"/>
      <c r="Z18" s="329"/>
      <c r="AA18" s="329"/>
      <c r="AB18" s="329"/>
      <c r="AC18" s="329"/>
      <c r="AD18" s="329"/>
      <c r="AE18" s="329"/>
      <c r="AF18" s="329"/>
      <c r="AG18" s="329"/>
      <c r="AH18" s="329"/>
      <c r="AI18" s="329"/>
      <c r="AJ18" s="329"/>
      <c r="AK18" s="329"/>
      <c r="AL18" s="328"/>
      <c r="AM18" s="532" t="s">
        <v>1166</v>
      </c>
      <c r="AN18" s="532"/>
      <c r="AO18" s="328"/>
      <c r="AP18" s="328"/>
      <c r="AQ18" s="328"/>
      <c r="AR18" s="328"/>
      <c r="AS18" s="328"/>
      <c r="AT18" s="328"/>
      <c r="AU18" s="328"/>
      <c r="AV18" s="328"/>
    </row>
    <row r="19" spans="1:48" s="13" customFormat="1" ht="21.95" customHeight="1">
      <c r="A19"/>
      <c r="B19"/>
      <c r="C19"/>
      <c r="D19"/>
      <c r="E19"/>
      <c r="F19"/>
      <c r="G19"/>
      <c r="H19"/>
      <c r="I19"/>
      <c r="J19"/>
      <c r="K19"/>
      <c r="L19"/>
      <c r="M19"/>
      <c r="N19"/>
      <c r="O19" s="11"/>
      <c r="P19" s="11"/>
      <c r="Q19" s="553"/>
      <c r="R19" s="183" t="s">
        <v>931</v>
      </c>
      <c r="S19" s="183"/>
      <c r="T19" s="329"/>
      <c r="U19" s="329"/>
      <c r="V19" s="329"/>
      <c r="W19" s="329"/>
      <c r="X19" s="329"/>
      <c r="Y19" s="329"/>
      <c r="Z19" s="329"/>
      <c r="AA19" s="329"/>
      <c r="AB19" s="329"/>
      <c r="AC19" s="329"/>
      <c r="AD19" s="329"/>
      <c r="AE19" s="329"/>
      <c r="AF19" s="329"/>
      <c r="AG19" s="329"/>
      <c r="AH19" s="329"/>
      <c r="AI19" s="329"/>
      <c r="AJ19" s="329"/>
      <c r="AK19" s="329"/>
      <c r="AL19" s="328"/>
      <c r="AM19" s="532" t="s">
        <v>1046</v>
      </c>
      <c r="AN19" s="532"/>
      <c r="AO19" s="328"/>
      <c r="AP19" s="328"/>
      <c r="AQ19" s="328"/>
      <c r="AR19" s="328"/>
      <c r="AS19" s="328"/>
      <c r="AT19" s="328"/>
      <c r="AU19" s="328"/>
      <c r="AV19" s="328"/>
    </row>
    <row r="20" spans="1:48" s="13" customFormat="1" ht="21.95" customHeight="1">
      <c r="A20"/>
      <c r="B20"/>
      <c r="C20"/>
      <c r="D20"/>
      <c r="E20"/>
      <c r="F20"/>
      <c r="G20"/>
      <c r="H20"/>
      <c r="I20"/>
      <c r="J20"/>
      <c r="K20"/>
      <c r="L20"/>
      <c r="M20"/>
      <c r="N20"/>
      <c r="O20" s="11"/>
      <c r="P20" s="11"/>
      <c r="Q20" s="183"/>
      <c r="R20" s="183" t="s">
        <v>930</v>
      </c>
      <c r="S20" s="183"/>
      <c r="T20" s="329"/>
      <c r="U20" s="329"/>
      <c r="V20" s="329"/>
      <c r="W20" s="329"/>
      <c r="X20" s="329"/>
      <c r="Y20" s="329"/>
      <c r="Z20" s="329"/>
      <c r="AA20" s="329"/>
      <c r="AB20" s="329"/>
      <c r="AC20" s="329"/>
      <c r="AD20" s="329"/>
      <c r="AE20" s="329"/>
      <c r="AF20" s="329"/>
      <c r="AG20" s="329"/>
      <c r="AH20" s="329"/>
      <c r="AI20" s="329"/>
      <c r="AJ20" s="329"/>
      <c r="AK20" s="329"/>
      <c r="AL20" s="328"/>
      <c r="AM20" s="532"/>
      <c r="AN20" s="328"/>
      <c r="AO20" s="328"/>
      <c r="AP20" s="328"/>
      <c r="AQ20" s="328"/>
      <c r="AR20" s="328"/>
      <c r="AS20" s="328"/>
      <c r="AT20" s="328"/>
      <c r="AU20" s="328"/>
      <c r="AV20" s="328"/>
    </row>
    <row r="21" spans="1:48" s="13" customFormat="1" ht="21.95" customHeight="1">
      <c r="A21"/>
      <c r="B21"/>
      <c r="C21"/>
      <c r="D21"/>
      <c r="E21"/>
      <c r="F21"/>
      <c r="G21"/>
      <c r="H21"/>
      <c r="I21"/>
      <c r="J21"/>
      <c r="K21"/>
      <c r="L21"/>
      <c r="M21"/>
      <c r="N21"/>
      <c r="O21" s="11"/>
      <c r="P21" s="11"/>
      <c r="Q21" s="183"/>
      <c r="R21" s="183" t="s">
        <v>916</v>
      </c>
      <c r="S21" s="183"/>
      <c r="T21" s="329"/>
      <c r="U21" s="329"/>
      <c r="V21" s="329"/>
      <c r="W21" s="329"/>
      <c r="X21" s="329"/>
      <c r="Y21" s="329"/>
      <c r="Z21" s="329"/>
      <c r="AA21" s="329"/>
      <c r="AB21" s="329"/>
      <c r="AC21" s="329"/>
      <c r="AD21" s="329"/>
      <c r="AE21" s="329"/>
      <c r="AF21" s="329"/>
      <c r="AG21" s="329"/>
      <c r="AH21" s="329"/>
      <c r="AI21" s="329"/>
      <c r="AJ21" s="329"/>
      <c r="AK21" s="329"/>
      <c r="AL21" s="328"/>
      <c r="AM21" s="532" t="s">
        <v>1042</v>
      </c>
      <c r="AN21" s="532"/>
      <c r="AO21" s="328"/>
      <c r="AP21" s="328"/>
      <c r="AQ21" s="328"/>
      <c r="AR21" s="328"/>
      <c r="AS21" s="328"/>
      <c r="AT21" s="328"/>
      <c r="AU21" s="328"/>
      <c r="AV21" s="328"/>
    </row>
    <row r="22" spans="1:48" s="13" customFormat="1" ht="21.95" customHeight="1">
      <c r="A22"/>
      <c r="B22"/>
      <c r="C22"/>
      <c r="D22"/>
      <c r="E22"/>
      <c r="F22"/>
      <c r="G22"/>
      <c r="H22"/>
      <c r="I22"/>
      <c r="J22"/>
      <c r="K22"/>
      <c r="L22"/>
      <c r="M22"/>
      <c r="N22"/>
      <c r="O22" s="11"/>
      <c r="P22" s="11"/>
      <c r="Q22" s="183"/>
      <c r="R22" s="183" t="s">
        <v>968</v>
      </c>
      <c r="S22" s="183"/>
      <c r="T22" s="329"/>
      <c r="U22" s="329"/>
      <c r="V22" s="329"/>
      <c r="W22" s="329"/>
      <c r="X22" s="329"/>
      <c r="Y22" s="329"/>
      <c r="Z22" s="329"/>
      <c r="AA22" s="329"/>
      <c r="AB22" s="329"/>
      <c r="AC22" s="994" t="s">
        <v>967</v>
      </c>
      <c r="AD22" s="330" t="s">
        <v>311</v>
      </c>
      <c r="AE22" s="329"/>
      <c r="AF22" s="329"/>
      <c r="AG22" s="329"/>
      <c r="AH22" s="329"/>
      <c r="AI22" s="329"/>
      <c r="AJ22" s="329"/>
      <c r="AK22" s="329"/>
      <c r="AL22" s="328"/>
      <c r="AM22" s="532" t="s">
        <v>1043</v>
      </c>
      <c r="AN22" s="532"/>
      <c r="AO22" s="328"/>
      <c r="AP22" s="328"/>
      <c r="AQ22" s="328"/>
      <c r="AR22" s="328"/>
      <c r="AS22" s="328"/>
      <c r="AT22" s="328"/>
      <c r="AU22" s="328"/>
      <c r="AV22" s="328"/>
    </row>
    <row r="23" spans="1:48" s="13" customFormat="1" ht="21.95" customHeight="1">
      <c r="A23"/>
      <c r="B23"/>
      <c r="C23"/>
      <c r="D23"/>
      <c r="E23"/>
      <c r="F23"/>
      <c r="G23"/>
      <c r="H23"/>
      <c r="I23"/>
      <c r="J23"/>
      <c r="K23"/>
      <c r="L23"/>
      <c r="M23"/>
      <c r="N23"/>
      <c r="O23" s="11"/>
      <c r="P23" s="11"/>
      <c r="Q23" s="157"/>
      <c r="R23" s="157"/>
      <c r="S23" s="157"/>
      <c r="T23" s="157"/>
      <c r="U23" s="157"/>
      <c r="V23" s="157"/>
      <c r="W23" s="157"/>
      <c r="X23" s="183"/>
      <c r="Y23" s="157"/>
      <c r="Z23" s="157"/>
      <c r="AA23" s="157"/>
      <c r="AB23" s="157"/>
      <c r="AC23" s="157"/>
      <c r="AD23" s="183"/>
      <c r="AE23" s="157"/>
      <c r="AF23" s="157"/>
      <c r="AG23" s="157"/>
      <c r="AH23" s="329"/>
      <c r="AI23" s="329"/>
      <c r="AJ23" s="329"/>
      <c r="AK23" s="329"/>
      <c r="AL23" s="328"/>
      <c r="AM23" s="532" t="s">
        <v>1048</v>
      </c>
      <c r="AN23" s="532"/>
      <c r="AO23" s="328"/>
      <c r="AP23" s="328"/>
      <c r="AQ23" s="328"/>
      <c r="AR23" s="328"/>
      <c r="AS23" s="328"/>
      <c r="AT23" s="328"/>
      <c r="AU23" s="328"/>
      <c r="AV23" s="328"/>
    </row>
    <row r="24" spans="1:48" s="13" customFormat="1" ht="21.95" customHeight="1">
      <c r="A24" s="11"/>
      <c r="B24" s="11"/>
      <c r="C24" s="11"/>
      <c r="D24" s="11"/>
      <c r="E24" s="11"/>
      <c r="F24" s="11"/>
      <c r="G24" s="11"/>
      <c r="H24" s="11"/>
      <c r="I24" s="11"/>
      <c r="J24" s="11"/>
      <c r="K24" s="11"/>
      <c r="L24" s="11"/>
      <c r="M24" s="11"/>
      <c r="N24" s="11"/>
      <c r="O24" s="11"/>
      <c r="P24" s="11"/>
      <c r="Q24" s="184"/>
      <c r="R24" s="554"/>
      <c r="S24" s="184"/>
      <c r="T24" s="184"/>
      <c r="U24" s="184"/>
      <c r="V24" s="184"/>
      <c r="W24" s="184"/>
      <c r="X24" s="184"/>
      <c r="Y24" s="184"/>
      <c r="Z24" s="184"/>
      <c r="AA24" s="184"/>
      <c r="AB24" s="184"/>
      <c r="AC24" s="184"/>
      <c r="AD24" s="184"/>
      <c r="AE24" s="184"/>
      <c r="AF24" s="184"/>
      <c r="AG24" s="184"/>
      <c r="AH24" s="331"/>
      <c r="AI24" s="331"/>
      <c r="AJ24" s="331"/>
      <c r="AK24" s="331"/>
      <c r="AL24" s="328"/>
      <c r="AM24" s="532" t="s">
        <v>1049</v>
      </c>
      <c r="AN24" s="532"/>
      <c r="AO24" s="328"/>
      <c r="AP24" s="328"/>
      <c r="AQ24" s="328"/>
      <c r="AR24" s="328"/>
      <c r="AS24" s="328"/>
      <c r="AT24" s="328"/>
      <c r="AU24" s="328"/>
      <c r="AV24" s="328"/>
    </row>
    <row r="25" spans="1:48" s="13" customFormat="1" ht="21.95" customHeight="1">
      <c r="A25" s="11"/>
      <c r="B25" s="11"/>
      <c r="C25" s="11"/>
      <c r="D25" s="11"/>
      <c r="E25" s="11"/>
      <c r="F25" s="11"/>
      <c r="G25" s="11"/>
      <c r="H25" s="11"/>
      <c r="I25" s="11"/>
      <c r="J25" s="11"/>
      <c r="K25" s="11"/>
      <c r="L25" s="11"/>
      <c r="M25" s="11"/>
      <c r="N25" s="11"/>
      <c r="O25" s="11"/>
      <c r="P25" s="11"/>
      <c r="Q25" s="184"/>
      <c r="R25" s="1113" t="s">
        <v>934</v>
      </c>
      <c r="S25" s="184"/>
      <c r="T25" s="184"/>
      <c r="U25" s="184"/>
      <c r="V25" s="184"/>
      <c r="W25" s="184"/>
      <c r="X25" s="184"/>
      <c r="Y25" s="184"/>
      <c r="Z25" s="184"/>
      <c r="AA25" s="184"/>
      <c r="AB25" s="184"/>
      <c r="AC25" s="184"/>
      <c r="AD25" s="184"/>
      <c r="AE25" s="184"/>
      <c r="AF25" s="184"/>
      <c r="AG25" s="184"/>
      <c r="AH25" s="331"/>
      <c r="AI25" s="331"/>
      <c r="AJ25" s="331"/>
      <c r="AK25" s="331"/>
      <c r="AL25" s="328"/>
      <c r="AM25" s="532" t="s">
        <v>1079</v>
      </c>
      <c r="AN25" s="532"/>
      <c r="AO25" s="328"/>
      <c r="AP25" s="328"/>
      <c r="AQ25" s="328"/>
      <c r="AR25" s="328"/>
      <c r="AS25" s="328"/>
      <c r="AT25" s="328"/>
      <c r="AU25" s="328"/>
      <c r="AV25" s="328"/>
    </row>
    <row r="26" spans="1:48" s="13" customFormat="1" ht="21.95" customHeight="1">
      <c r="A26" s="11"/>
      <c r="B26" s="11"/>
      <c r="C26" s="11"/>
      <c r="D26" s="11"/>
      <c r="E26" s="11"/>
      <c r="F26" s="11"/>
      <c r="G26" s="11"/>
      <c r="H26" s="11"/>
      <c r="I26" s="11"/>
      <c r="J26" s="11"/>
      <c r="K26" s="11"/>
      <c r="L26" s="11"/>
      <c r="M26" s="11"/>
      <c r="N26" s="11"/>
      <c r="O26" s="11"/>
      <c r="P26" s="11"/>
      <c r="Q26" s="184"/>
      <c r="R26" s="1113" t="s">
        <v>1170</v>
      </c>
      <c r="S26" s="184"/>
      <c r="T26" s="184"/>
      <c r="U26" s="184"/>
      <c r="V26" s="184"/>
      <c r="W26" s="184"/>
      <c r="X26" s="184"/>
      <c r="Y26" s="184"/>
      <c r="Z26" s="184"/>
      <c r="AA26" s="184"/>
      <c r="AB26" s="184"/>
      <c r="AC26" s="184"/>
      <c r="AD26" s="184"/>
      <c r="AE26" s="184"/>
      <c r="AF26" s="184"/>
      <c r="AG26" s="184"/>
      <c r="AH26" s="331"/>
      <c r="AI26" s="331"/>
      <c r="AJ26" s="331"/>
      <c r="AK26" s="331"/>
      <c r="AL26" s="328"/>
      <c r="AM26" s="532" t="s">
        <v>1080</v>
      </c>
      <c r="AN26" s="532"/>
      <c r="AO26" s="328"/>
      <c r="AP26" s="328"/>
      <c r="AQ26" s="328"/>
      <c r="AR26" s="328"/>
      <c r="AS26" s="328"/>
      <c r="AT26" s="328"/>
      <c r="AU26" s="328"/>
      <c r="AV26" s="328"/>
    </row>
    <row r="27" spans="1:48" s="13" customFormat="1" ht="21.95" customHeight="1">
      <c r="A27" s="11"/>
      <c r="B27" s="11"/>
      <c r="C27" s="11"/>
      <c r="D27" s="11"/>
      <c r="E27" s="11"/>
      <c r="F27" s="11"/>
      <c r="G27" s="11"/>
      <c r="H27" s="11"/>
      <c r="I27" s="11"/>
      <c r="J27" s="11"/>
      <c r="K27" s="11"/>
      <c r="L27" s="11"/>
      <c r="M27" s="11"/>
      <c r="N27" s="11"/>
      <c r="O27" s="11"/>
      <c r="P27" s="11"/>
      <c r="Q27" s="184"/>
      <c r="R27" s="1113" t="s">
        <v>861</v>
      </c>
      <c r="S27" s="184"/>
      <c r="T27" s="184"/>
      <c r="U27" s="184"/>
      <c r="V27" s="184"/>
      <c r="W27" s="184"/>
      <c r="X27" s="184"/>
      <c r="Y27" s="184"/>
      <c r="Z27" s="184"/>
      <c r="AA27" s="184"/>
      <c r="AB27" s="184"/>
      <c r="AC27" s="184"/>
      <c r="AD27" s="184"/>
      <c r="AE27" s="184"/>
      <c r="AF27" s="184"/>
      <c r="AG27" s="184"/>
      <c r="AH27" s="331"/>
      <c r="AI27" s="331"/>
      <c r="AJ27" s="331"/>
      <c r="AK27" s="331"/>
      <c r="AL27" s="328"/>
      <c r="AM27" s="532" t="s">
        <v>1050</v>
      </c>
      <c r="AN27" s="532"/>
      <c r="AO27" s="328"/>
      <c r="AP27" s="328"/>
      <c r="AQ27" s="328"/>
      <c r="AR27" s="328"/>
      <c r="AS27" s="328"/>
      <c r="AT27" s="328"/>
      <c r="AU27" s="328"/>
      <c r="AV27" s="328"/>
    </row>
    <row r="28" spans="1:48" s="13" customFormat="1" ht="21.95" customHeight="1">
      <c r="A28" s="11"/>
      <c r="B28" s="11"/>
      <c r="C28" s="11"/>
      <c r="D28" s="11"/>
      <c r="E28" s="11"/>
      <c r="F28" s="11"/>
      <c r="G28" s="11"/>
      <c r="H28" s="11"/>
      <c r="I28" s="11"/>
      <c r="J28" s="11"/>
      <c r="K28" s="11"/>
      <c r="L28" s="11"/>
      <c r="M28" s="11"/>
      <c r="N28" s="11"/>
      <c r="O28" s="11"/>
      <c r="P28" s="11"/>
      <c r="Q28" s="184"/>
      <c r="R28" s="1113" t="s">
        <v>933</v>
      </c>
      <c r="S28" s="184"/>
      <c r="T28" s="184"/>
      <c r="U28" s="184"/>
      <c r="V28" s="184"/>
      <c r="W28" s="184"/>
      <c r="X28" s="184"/>
      <c r="Y28" s="184"/>
      <c r="Z28" s="184"/>
      <c r="AA28" s="184"/>
      <c r="AB28" s="184"/>
      <c r="AC28" s="184"/>
      <c r="AD28" s="184"/>
      <c r="AE28" s="184"/>
      <c r="AF28" s="184"/>
      <c r="AG28" s="184"/>
      <c r="AH28" s="331"/>
      <c r="AI28" s="331"/>
      <c r="AJ28" s="331"/>
      <c r="AK28" s="331"/>
      <c r="AL28" s="328"/>
      <c r="AM28" s="532" t="s">
        <v>1063</v>
      </c>
      <c r="AN28" s="532"/>
      <c r="AO28" s="328"/>
      <c r="AP28" s="328"/>
      <c r="AQ28" s="328"/>
      <c r="AR28" s="328"/>
      <c r="AS28" s="328"/>
      <c r="AT28" s="328"/>
      <c r="AU28" s="328"/>
      <c r="AV28" s="328"/>
    </row>
    <row r="29" spans="1:48" ht="21.95" customHeight="1">
      <c r="A29" s="11"/>
      <c r="B29" s="11"/>
      <c r="C29" s="11"/>
      <c r="D29" s="11"/>
      <c r="E29" s="11"/>
      <c r="F29" s="11"/>
      <c r="G29" s="11"/>
      <c r="H29" s="11"/>
      <c r="I29" s="11"/>
      <c r="J29" s="11"/>
      <c r="K29" s="11"/>
      <c r="L29" s="11"/>
      <c r="M29" s="11"/>
      <c r="N29" s="11"/>
      <c r="O29" s="11"/>
      <c r="P29" s="11"/>
      <c r="Q29" s="184"/>
      <c r="R29" s="1113" t="s">
        <v>1161</v>
      </c>
      <c r="S29" s="184"/>
      <c r="T29" s="184"/>
      <c r="U29" s="184"/>
      <c r="V29" s="184"/>
      <c r="W29" s="184"/>
      <c r="X29" s="184"/>
      <c r="Y29" s="184"/>
      <c r="Z29" s="184"/>
      <c r="AA29" s="184"/>
      <c r="AB29" s="184"/>
      <c r="AC29" s="184"/>
      <c r="AD29" s="184"/>
      <c r="AE29" s="184"/>
      <c r="AF29" s="184"/>
      <c r="AG29" s="184"/>
      <c r="AH29" s="331"/>
      <c r="AI29" s="331"/>
      <c r="AJ29" s="331"/>
      <c r="AK29" s="331"/>
      <c r="AL29" s="328"/>
      <c r="AM29" s="532" t="s">
        <v>1051</v>
      </c>
      <c r="AN29" s="532"/>
      <c r="AO29" s="328"/>
      <c r="AP29" s="328"/>
      <c r="AQ29" s="328"/>
      <c r="AR29" s="328"/>
      <c r="AS29" s="328"/>
      <c r="AT29" s="328"/>
      <c r="AU29" s="328"/>
      <c r="AV29" s="328"/>
    </row>
    <row r="30" spans="1:48" ht="21.95" customHeight="1">
      <c r="A30" s="11"/>
      <c r="B30" s="11"/>
      <c r="C30" s="11"/>
      <c r="D30" s="11"/>
      <c r="E30" s="11"/>
      <c r="F30" s="11"/>
      <c r="G30" s="11"/>
      <c r="H30" s="11"/>
      <c r="I30" s="11"/>
      <c r="J30" s="11"/>
      <c r="K30" s="11"/>
      <c r="L30" s="11"/>
      <c r="M30" s="11"/>
      <c r="N30" s="11"/>
      <c r="O30" s="11"/>
      <c r="P30" s="11"/>
      <c r="Q30" s="184"/>
      <c r="R30" s="1113" t="s">
        <v>1162</v>
      </c>
      <c r="S30" s="184"/>
      <c r="T30" s="184"/>
      <c r="U30" s="184"/>
      <c r="V30" s="184"/>
      <c r="W30" s="184"/>
      <c r="X30" s="184"/>
      <c r="Y30" s="184"/>
      <c r="Z30" s="184"/>
      <c r="AA30" s="184"/>
      <c r="AB30" s="184"/>
      <c r="AC30" s="184"/>
      <c r="AD30" s="184"/>
      <c r="AE30" s="184"/>
      <c r="AF30" s="184"/>
      <c r="AG30" s="184"/>
      <c r="AH30" s="331"/>
      <c r="AI30" s="331"/>
      <c r="AJ30" s="331"/>
      <c r="AK30" s="331"/>
      <c r="AL30" s="328"/>
      <c r="AM30" s="532" t="s">
        <v>1052</v>
      </c>
      <c r="AN30" s="532"/>
      <c r="AO30" s="328"/>
      <c r="AP30" s="328"/>
      <c r="AQ30" s="328"/>
      <c r="AR30" s="328"/>
      <c r="AS30" s="328"/>
      <c r="AT30" s="328"/>
      <c r="AU30" s="328"/>
      <c r="AV30" s="328"/>
    </row>
    <row r="31" spans="1:48" ht="21.95" customHeight="1">
      <c r="A31" s="11" t="s">
        <v>349</v>
      </c>
      <c r="B31" s="11" t="s">
        <v>349</v>
      </c>
      <c r="C31" s="11" t="s">
        <v>349</v>
      </c>
      <c r="D31" s="11" t="s">
        <v>349</v>
      </c>
      <c r="E31" s="11" t="s">
        <v>349</v>
      </c>
      <c r="F31" s="11" t="s">
        <v>349</v>
      </c>
      <c r="G31" s="11" t="s">
        <v>349</v>
      </c>
      <c r="H31" s="11" t="s">
        <v>349</v>
      </c>
      <c r="I31" s="11" t="s">
        <v>349</v>
      </c>
      <c r="J31" s="11" t="s">
        <v>349</v>
      </c>
      <c r="K31" s="11" t="s">
        <v>349</v>
      </c>
      <c r="L31" s="11" t="s">
        <v>349</v>
      </c>
      <c r="M31" s="11" t="s">
        <v>349</v>
      </c>
      <c r="N31" s="11" t="s">
        <v>349</v>
      </c>
      <c r="O31" s="11" t="s">
        <v>349</v>
      </c>
      <c r="P31" s="11" t="s">
        <v>349</v>
      </c>
      <c r="Q31" s="184"/>
      <c r="R31" s="1113" t="s">
        <v>1171</v>
      </c>
      <c r="S31" s="184"/>
      <c r="T31" s="184"/>
      <c r="U31" s="184"/>
      <c r="V31" s="184"/>
      <c r="W31" s="184"/>
      <c r="X31" s="184"/>
      <c r="Y31" s="184"/>
      <c r="Z31" s="184"/>
      <c r="AA31" s="184"/>
      <c r="AB31" s="184"/>
      <c r="AC31" s="184"/>
      <c r="AD31" s="184"/>
      <c r="AE31" s="184"/>
      <c r="AF31" s="184"/>
      <c r="AG31" s="184"/>
      <c r="AH31" s="184"/>
      <c r="AI31" s="184"/>
      <c r="AJ31" s="184"/>
      <c r="AK31" s="184"/>
      <c r="AL31" s="328"/>
      <c r="AM31" s="532"/>
      <c r="AN31" s="532"/>
      <c r="AO31" s="328"/>
      <c r="AP31" s="328"/>
      <c r="AQ31" s="328"/>
      <c r="AR31" s="328"/>
      <c r="AS31" s="328"/>
      <c r="AT31" s="328"/>
      <c r="AU31" s="328"/>
      <c r="AV31" s="328"/>
    </row>
    <row r="32" spans="1:48" ht="21.95" customHeight="1">
      <c r="A32" s="11" t="s">
        <v>349</v>
      </c>
      <c r="B32" s="11" t="s">
        <v>349</v>
      </c>
      <c r="C32" s="11" t="s">
        <v>349</v>
      </c>
      <c r="D32" s="11" t="s">
        <v>349</v>
      </c>
      <c r="E32" s="11" t="s">
        <v>349</v>
      </c>
      <c r="F32" s="11" t="s">
        <v>349</v>
      </c>
      <c r="G32" s="11" t="s">
        <v>349</v>
      </c>
      <c r="H32" s="11" t="s">
        <v>349</v>
      </c>
      <c r="I32" s="11" t="s">
        <v>349</v>
      </c>
      <c r="J32" s="11" t="s">
        <v>349</v>
      </c>
      <c r="K32" s="11" t="s">
        <v>349</v>
      </c>
      <c r="M32" s="11"/>
      <c r="N32" s="11"/>
      <c r="O32" s="11"/>
      <c r="P32" s="11"/>
      <c r="Q32" s="327"/>
      <c r="R32" s="167"/>
      <c r="S32" s="327"/>
      <c r="T32" s="327"/>
      <c r="U32" s="327"/>
      <c r="V32" s="327"/>
      <c r="W32" s="327"/>
      <c r="X32" s="327"/>
      <c r="Y32" s="327"/>
      <c r="Z32" s="327"/>
      <c r="AA32" s="327"/>
      <c r="AB32" s="327"/>
      <c r="AC32" s="327"/>
      <c r="AD32" s="327"/>
      <c r="AE32" s="327"/>
      <c r="AF32" s="327"/>
      <c r="AG32" s="327"/>
      <c r="AH32" s="327"/>
      <c r="AI32" s="327"/>
      <c r="AJ32" s="327"/>
      <c r="AK32" s="327"/>
      <c r="AL32" s="328"/>
      <c r="AM32" s="532"/>
      <c r="AN32" s="532"/>
      <c r="AO32" s="328"/>
      <c r="AP32" s="328"/>
      <c r="AQ32" s="328"/>
      <c r="AR32" s="328"/>
      <c r="AS32" s="328"/>
      <c r="AT32" s="328"/>
      <c r="AU32" s="328"/>
      <c r="AV32" s="328"/>
    </row>
    <row r="33" spans="1:48" ht="21.95" customHeight="1">
      <c r="A33" s="11" t="s">
        <v>349</v>
      </c>
      <c r="B33" s="185"/>
      <c r="C33" s="11"/>
      <c r="D33" s="186"/>
      <c r="E33" s="187"/>
      <c r="F33" s="187"/>
      <c r="G33" s="11"/>
      <c r="H33" s="11"/>
      <c r="I33" s="11"/>
      <c r="J33" s="11"/>
      <c r="K33" s="11"/>
      <c r="L33" s="11"/>
      <c r="M33" s="11"/>
      <c r="N33" s="11"/>
      <c r="O33" s="11"/>
      <c r="P33" s="11"/>
      <c r="Q33" s="552"/>
      <c r="R33" s="167" t="s">
        <v>789</v>
      </c>
      <c r="S33" s="552"/>
      <c r="T33" s="327"/>
      <c r="U33" s="327"/>
      <c r="V33" s="327"/>
      <c r="W33" s="327"/>
      <c r="X33" s="327"/>
      <c r="Y33" s="327"/>
      <c r="Z33" s="327"/>
      <c r="AA33" s="327"/>
      <c r="AB33" s="327"/>
      <c r="AC33" s="327"/>
      <c r="AD33" s="327"/>
      <c r="AE33" s="327"/>
      <c r="AF33" s="327"/>
      <c r="AG33" s="327"/>
      <c r="AH33" s="327"/>
      <c r="AI33" s="327"/>
      <c r="AJ33" s="327"/>
      <c r="AK33" s="327"/>
      <c r="AL33" s="328"/>
      <c r="AM33" s="532"/>
      <c r="AN33" s="532"/>
      <c r="AO33" s="328"/>
      <c r="AP33" s="328"/>
      <c r="AQ33" s="328"/>
      <c r="AR33" s="328"/>
      <c r="AS33" s="328"/>
      <c r="AT33" s="328"/>
      <c r="AU33" s="328"/>
      <c r="AV33" s="328"/>
    </row>
    <row r="34" spans="1:48" ht="21.95" customHeight="1">
      <c r="A34" s="11" t="s">
        <v>349</v>
      </c>
      <c r="B34" s="11" t="s">
        <v>349</v>
      </c>
      <c r="C34" s="11"/>
      <c r="D34" s="332" t="s">
        <v>13</v>
      </c>
      <c r="E34" s="11"/>
      <c r="F34" s="11"/>
      <c r="G34" s="11"/>
      <c r="H34" s="11"/>
      <c r="I34" s="11"/>
      <c r="J34" s="11"/>
      <c r="K34" s="11"/>
      <c r="L34" s="11"/>
      <c r="M34" s="11"/>
      <c r="N34" s="11"/>
      <c r="O34" s="11"/>
      <c r="P34" s="11"/>
      <c r="Q34" s="552"/>
      <c r="R34" s="167" t="s">
        <v>1174</v>
      </c>
      <c r="S34" s="552"/>
      <c r="T34" s="327"/>
      <c r="U34" s="327"/>
      <c r="V34" s="327"/>
      <c r="W34" s="327"/>
      <c r="X34" s="327"/>
      <c r="Y34" s="327"/>
      <c r="Z34" s="327"/>
      <c r="AA34" s="327"/>
      <c r="AB34" s="327"/>
      <c r="AC34" s="327"/>
      <c r="AD34" s="327"/>
      <c r="AE34" s="327"/>
      <c r="AF34" s="327"/>
      <c r="AG34" s="327"/>
      <c r="AH34" s="327"/>
      <c r="AI34" s="327"/>
      <c r="AJ34" s="327"/>
      <c r="AK34" s="327"/>
      <c r="AL34" s="328"/>
      <c r="AM34" s="532"/>
      <c r="AN34" s="532"/>
      <c r="AO34" s="328"/>
      <c r="AP34" s="328"/>
      <c r="AQ34" s="328"/>
      <c r="AR34" s="328"/>
      <c r="AS34" s="328"/>
      <c r="AT34" s="328"/>
      <c r="AU34" s="328"/>
      <c r="AV34" s="328"/>
    </row>
    <row r="35" spans="1:48" ht="21.95" customHeight="1">
      <c r="A35" s="11" t="s">
        <v>349</v>
      </c>
      <c r="B35" s="11" t="s">
        <v>349</v>
      </c>
      <c r="C35" s="11"/>
      <c r="D35" s="187" t="s">
        <v>14</v>
      </c>
      <c r="E35" s="11"/>
      <c r="F35" s="11"/>
      <c r="G35" s="11"/>
      <c r="H35" s="11"/>
      <c r="I35" s="11"/>
      <c r="J35" s="11"/>
      <c r="K35" s="11"/>
      <c r="L35" s="11"/>
      <c r="M35" s="11"/>
      <c r="N35" s="11"/>
      <c r="O35" s="11"/>
      <c r="P35" s="11"/>
      <c r="Q35" s="552"/>
      <c r="R35" s="167" t="s">
        <v>1037</v>
      </c>
      <c r="S35" s="552"/>
      <c r="T35" s="327"/>
      <c r="U35" s="327"/>
      <c r="V35" s="327"/>
      <c r="W35" s="327"/>
      <c r="X35" s="327"/>
      <c r="Y35" s="327"/>
      <c r="Z35" s="327"/>
      <c r="AA35" s="327"/>
      <c r="AB35" s="327"/>
      <c r="AC35" s="327"/>
      <c r="AD35" s="327"/>
      <c r="AE35" s="327"/>
      <c r="AF35" s="327"/>
      <c r="AG35" s="327"/>
      <c r="AH35" s="327"/>
      <c r="AI35" s="327"/>
      <c r="AJ35" s="327"/>
      <c r="AK35" s="327"/>
      <c r="AL35" s="328"/>
      <c r="AM35" s="532"/>
      <c r="AN35" s="532"/>
      <c r="AO35" s="328"/>
      <c r="AP35" s="328"/>
      <c r="AQ35" s="328"/>
      <c r="AR35" s="328"/>
      <c r="AS35" s="328"/>
      <c r="AT35" s="328"/>
      <c r="AU35" s="328"/>
      <c r="AV35" s="328"/>
    </row>
    <row r="36" spans="1:48" ht="21.95" customHeight="1">
      <c r="A36" s="11" t="s">
        <v>349</v>
      </c>
      <c r="B36" s="11" t="s">
        <v>349</v>
      </c>
      <c r="C36" s="11"/>
      <c r="D36" s="187" t="s">
        <v>15</v>
      </c>
      <c r="E36" s="11"/>
      <c r="F36" s="11"/>
      <c r="G36" s="11"/>
      <c r="H36" s="11"/>
      <c r="I36" s="11"/>
      <c r="J36" s="11"/>
      <c r="K36" s="11"/>
      <c r="L36" s="11"/>
      <c r="M36" s="11"/>
      <c r="N36" s="11"/>
      <c r="O36" s="11"/>
      <c r="P36" s="11"/>
      <c r="Q36" s="552"/>
      <c r="R36" s="167" t="s">
        <v>738</v>
      </c>
      <c r="S36" s="552"/>
      <c r="T36" s="327"/>
      <c r="U36" s="327"/>
      <c r="V36" s="327"/>
      <c r="W36" s="327"/>
      <c r="X36" s="327"/>
      <c r="Y36" s="327"/>
      <c r="Z36" s="327"/>
      <c r="AA36" s="327"/>
      <c r="AB36" s="327"/>
      <c r="AC36" s="327"/>
      <c r="AD36" s="327"/>
      <c r="AE36" s="327"/>
      <c r="AF36" s="327"/>
      <c r="AG36" s="327"/>
      <c r="AH36" s="327"/>
      <c r="AI36" s="327"/>
      <c r="AJ36" s="327"/>
      <c r="AK36" s="327"/>
      <c r="AL36" s="328"/>
      <c r="AM36" s="532"/>
      <c r="AN36" s="532"/>
      <c r="AO36" s="328"/>
      <c r="AP36" s="328"/>
      <c r="AQ36" s="328"/>
      <c r="AR36" s="328"/>
      <c r="AS36" s="328"/>
      <c r="AT36" s="328"/>
      <c r="AU36" s="328"/>
      <c r="AV36" s="328"/>
    </row>
    <row r="37" spans="1:48" ht="21.95" customHeight="1">
      <c r="A37" s="11" t="s">
        <v>349</v>
      </c>
      <c r="B37" s="11" t="s">
        <v>349</v>
      </c>
      <c r="C37" s="11"/>
      <c r="D37" s="187" t="s">
        <v>758</v>
      </c>
      <c r="E37" s="11"/>
      <c r="F37" s="11"/>
      <c r="G37" s="11"/>
      <c r="H37" s="11"/>
      <c r="I37" s="11"/>
      <c r="J37" s="11"/>
      <c r="K37" s="11"/>
      <c r="L37" s="11"/>
      <c r="M37" s="11"/>
      <c r="N37" s="11"/>
      <c r="O37" s="11"/>
      <c r="P37" s="11"/>
      <c r="Q37" s="552"/>
      <c r="R37" s="167" t="s">
        <v>1103</v>
      </c>
      <c r="S37" s="552"/>
      <c r="T37" s="327"/>
      <c r="U37" s="327"/>
      <c r="V37" s="327"/>
      <c r="W37" s="327"/>
      <c r="X37" s="327"/>
      <c r="Y37" s="327"/>
      <c r="Z37" s="327"/>
      <c r="AA37" s="327"/>
      <c r="AB37" s="327"/>
      <c r="AC37" s="327"/>
      <c r="AD37" s="327"/>
      <c r="AE37" s="327"/>
      <c r="AF37" s="327"/>
      <c r="AG37" s="327"/>
      <c r="AH37" s="326"/>
      <c r="AI37" s="327"/>
      <c r="AJ37" s="327"/>
      <c r="AK37" s="327"/>
      <c r="AL37" s="328"/>
      <c r="AM37" s="532"/>
      <c r="AN37" s="532"/>
      <c r="AO37" s="328"/>
      <c r="AP37" s="328"/>
      <c r="AQ37" s="328"/>
      <c r="AR37" s="328"/>
      <c r="AS37" s="328"/>
      <c r="AT37" s="328"/>
      <c r="AU37" s="328"/>
      <c r="AV37" s="328"/>
    </row>
    <row r="38" spans="1:48" ht="21.95" customHeight="1">
      <c r="A38" s="11" t="s">
        <v>349</v>
      </c>
      <c r="B38" s="11" t="s">
        <v>349</v>
      </c>
      <c r="C38" s="11"/>
      <c r="D38" s="187" t="s">
        <v>1115</v>
      </c>
      <c r="E38" s="11"/>
      <c r="F38" s="11"/>
      <c r="H38" s="11"/>
      <c r="I38" s="11"/>
      <c r="J38" s="11"/>
      <c r="K38" s="187"/>
      <c r="L38" s="187"/>
      <c r="M38" s="333"/>
      <c r="N38" s="11"/>
      <c r="O38" s="11"/>
      <c r="P38" s="11"/>
      <c r="Q38" s="552"/>
      <c r="R38" s="167" t="s">
        <v>679</v>
      </c>
      <c r="S38" s="552"/>
      <c r="T38" s="327"/>
      <c r="U38" s="327"/>
      <c r="V38" s="327"/>
      <c r="W38" s="327"/>
      <c r="X38" s="327"/>
      <c r="Y38" s="327"/>
      <c r="Z38" s="327"/>
      <c r="AA38" s="327"/>
      <c r="AB38" s="327"/>
      <c r="AC38" s="327"/>
      <c r="AD38" s="327"/>
      <c r="AE38" s="167"/>
      <c r="AF38" s="327"/>
      <c r="AG38" s="327"/>
      <c r="AH38" s="326"/>
      <c r="AI38" s="327"/>
      <c r="AJ38" s="327"/>
      <c r="AK38" s="327"/>
      <c r="AL38" s="328"/>
      <c r="AM38" s="532"/>
      <c r="AN38" s="532"/>
      <c r="AO38" s="328"/>
      <c r="AP38" s="328"/>
      <c r="AQ38" s="328"/>
      <c r="AR38" s="328"/>
      <c r="AS38" s="328"/>
      <c r="AT38" s="328"/>
      <c r="AU38" s="328"/>
      <c r="AV38" s="328"/>
    </row>
    <row r="39" spans="1:48" ht="21.95" customHeight="1">
      <c r="A39" s="11"/>
      <c r="B39" s="11"/>
      <c r="C39" s="11"/>
      <c r="D39" s="187" t="s">
        <v>787</v>
      </c>
      <c r="E39" s="11"/>
      <c r="F39" s="187"/>
      <c r="G39" s="187"/>
      <c r="H39" s="187"/>
      <c r="I39" s="187"/>
      <c r="J39" s="187"/>
      <c r="K39" s="187"/>
      <c r="L39" s="187"/>
      <c r="M39" s="333"/>
      <c r="N39" s="11"/>
      <c r="O39" s="11"/>
      <c r="P39" s="11"/>
      <c r="Q39" s="552"/>
      <c r="R39" s="167" t="s">
        <v>1039</v>
      </c>
      <c r="S39" s="552"/>
      <c r="T39" s="327"/>
      <c r="U39" s="327"/>
      <c r="V39" s="327"/>
      <c r="W39" s="327"/>
      <c r="X39" s="327"/>
      <c r="Y39" s="327"/>
      <c r="Z39" s="327"/>
      <c r="AA39" s="327"/>
      <c r="AB39" s="327"/>
      <c r="AC39" s="327"/>
      <c r="AD39" s="327"/>
      <c r="AE39" s="167"/>
      <c r="AF39" s="327"/>
      <c r="AG39" s="327"/>
      <c r="AH39" s="327"/>
      <c r="AI39" s="327"/>
      <c r="AJ39" s="327"/>
      <c r="AK39" s="327"/>
      <c r="AL39" s="328"/>
      <c r="AM39" s="532"/>
      <c r="AN39" s="532"/>
      <c r="AO39" s="328"/>
      <c r="AP39" s="328"/>
      <c r="AQ39" s="328"/>
      <c r="AR39" s="328"/>
      <c r="AS39" s="328"/>
      <c r="AT39" s="328"/>
      <c r="AU39" s="328"/>
      <c r="AV39" s="328"/>
    </row>
    <row r="40" spans="1:48" ht="21.95" customHeight="1">
      <c r="A40" s="11"/>
      <c r="B40" s="11"/>
      <c r="C40" s="11"/>
      <c r="D40" s="187" t="s">
        <v>1097</v>
      </c>
      <c r="E40" s="11"/>
      <c r="F40" s="11"/>
      <c r="G40" s="187"/>
      <c r="H40" s="187"/>
      <c r="I40" s="187"/>
      <c r="J40" s="187"/>
      <c r="K40" s="11"/>
      <c r="L40" s="11"/>
      <c r="M40" s="11"/>
      <c r="N40" s="11"/>
      <c r="O40" s="11"/>
      <c r="P40" s="11"/>
      <c r="Q40" s="552"/>
      <c r="R40" s="167" t="s">
        <v>1040</v>
      </c>
      <c r="S40" s="552"/>
      <c r="T40" s="327"/>
      <c r="U40" s="327"/>
      <c r="V40" s="327"/>
      <c r="W40" s="327"/>
      <c r="X40" s="327"/>
      <c r="Y40" s="327"/>
      <c r="Z40" s="327"/>
      <c r="AA40" s="327"/>
      <c r="AB40" s="327"/>
      <c r="AC40" s="327"/>
      <c r="AD40" s="327"/>
      <c r="AE40" s="167"/>
      <c r="AF40" s="327"/>
      <c r="AG40" s="327"/>
      <c r="AH40" s="327"/>
      <c r="AI40" s="327"/>
      <c r="AJ40" s="327"/>
      <c r="AK40" s="327"/>
      <c r="AL40" s="328"/>
      <c r="AM40" s="532"/>
      <c r="AN40" s="328"/>
      <c r="AO40" s="328"/>
      <c r="AP40" s="328"/>
      <c r="AQ40" s="328"/>
      <c r="AR40" s="328"/>
      <c r="AS40" s="328"/>
      <c r="AT40" s="328"/>
      <c r="AU40" s="328"/>
      <c r="AV40" s="328"/>
    </row>
    <row r="41" spans="1:48" ht="21.95" customHeight="1">
      <c r="A41" s="11"/>
      <c r="B41" s="11"/>
      <c r="C41" s="11"/>
      <c r="D41" s="187" t="s">
        <v>1075</v>
      </c>
      <c r="E41" s="11"/>
      <c r="F41" s="333"/>
      <c r="G41" s="333"/>
      <c r="H41" s="11"/>
      <c r="I41" s="11"/>
      <c r="J41" s="11"/>
      <c r="K41" s="11"/>
      <c r="L41" s="11"/>
      <c r="M41" s="11"/>
      <c r="N41" s="11"/>
      <c r="O41" s="11"/>
      <c r="P41" s="11"/>
      <c r="Q41" s="552"/>
      <c r="R41" s="167" t="s">
        <v>788</v>
      </c>
      <c r="S41" s="552"/>
      <c r="T41" s="327"/>
      <c r="U41" s="327"/>
      <c r="V41" s="327"/>
      <c r="W41" s="327"/>
      <c r="X41" s="327"/>
      <c r="Y41" s="327"/>
      <c r="Z41" s="327"/>
      <c r="AA41" s="327"/>
      <c r="AB41" s="327"/>
      <c r="AC41" s="327"/>
      <c r="AD41" s="327"/>
      <c r="AE41" s="327"/>
      <c r="AF41" s="327"/>
      <c r="AG41" s="327"/>
      <c r="AH41" s="327"/>
      <c r="AI41" s="327"/>
      <c r="AJ41" s="327"/>
      <c r="AK41" s="327"/>
      <c r="AL41" s="328"/>
      <c r="AM41" s="532"/>
      <c r="AN41" s="328"/>
      <c r="AO41" s="328"/>
      <c r="AP41" s="328"/>
      <c r="AQ41" s="328"/>
      <c r="AR41" s="328"/>
      <c r="AS41" s="328"/>
      <c r="AT41" s="328"/>
      <c r="AU41" s="328"/>
      <c r="AV41" s="328"/>
    </row>
    <row r="42" spans="1:48" ht="21.95" customHeight="1">
      <c r="A42" s="11"/>
      <c r="C42" s="11"/>
      <c r="D42" s="11"/>
      <c r="E42" s="11"/>
      <c r="F42" s="11"/>
      <c r="G42" s="11"/>
      <c r="H42" s="11"/>
      <c r="I42" s="11"/>
      <c r="J42" s="11"/>
      <c r="K42" s="11"/>
      <c r="L42" s="11"/>
      <c r="M42" s="11"/>
      <c r="N42" s="11"/>
      <c r="O42" s="11"/>
      <c r="P42" s="11"/>
      <c r="Q42" s="552"/>
      <c r="R42" s="167" t="s">
        <v>932</v>
      </c>
      <c r="S42" s="552"/>
      <c r="T42" s="327"/>
      <c r="U42" s="327"/>
      <c r="V42" s="327"/>
      <c r="W42" s="327"/>
      <c r="X42" s="327"/>
      <c r="Y42" s="327"/>
      <c r="Z42" s="327"/>
      <c r="AA42" s="327"/>
      <c r="AB42" s="327"/>
      <c r="AC42" s="327"/>
      <c r="AD42" s="327"/>
      <c r="AE42" s="327"/>
      <c r="AF42" s="327"/>
      <c r="AG42" s="327"/>
      <c r="AH42" s="327"/>
      <c r="AI42" s="327"/>
      <c r="AJ42" s="327"/>
      <c r="AK42" s="327"/>
      <c r="AL42" s="328"/>
      <c r="AM42" s="532"/>
      <c r="AN42" s="328"/>
      <c r="AO42" s="328"/>
      <c r="AP42" s="328"/>
      <c r="AQ42" s="328"/>
      <c r="AR42" s="328"/>
      <c r="AS42" s="328"/>
      <c r="AT42" s="328"/>
      <c r="AU42" s="328"/>
      <c r="AV42" s="328"/>
    </row>
    <row r="43" spans="1:48" ht="21.95" customHeight="1">
      <c r="A43" s="11"/>
      <c r="B43" s="187" t="s">
        <v>1139</v>
      </c>
      <c r="C43" s="11"/>
      <c r="D43" s="11"/>
      <c r="E43" s="11"/>
      <c r="F43" s="11"/>
      <c r="H43" s="11"/>
      <c r="I43" s="11"/>
      <c r="J43" s="11"/>
      <c r="K43" s="11"/>
      <c r="L43" s="11"/>
      <c r="M43" s="11"/>
      <c r="N43" s="11"/>
      <c r="O43" s="11"/>
      <c r="P43" s="11"/>
      <c r="Q43" s="552"/>
      <c r="R43" s="167" t="s">
        <v>1133</v>
      </c>
      <c r="S43" s="552"/>
      <c r="T43" s="327"/>
      <c r="U43" s="327"/>
      <c r="V43" s="327"/>
      <c r="W43" s="327"/>
      <c r="X43" s="327"/>
      <c r="Y43" s="327"/>
      <c r="Z43" s="327"/>
      <c r="AA43" s="327"/>
      <c r="AB43" s="327"/>
      <c r="AC43" s="327"/>
      <c r="AD43" s="327"/>
      <c r="AE43" s="327"/>
      <c r="AF43" s="327"/>
      <c r="AG43" s="327"/>
      <c r="AH43" s="327"/>
      <c r="AI43" s="327"/>
      <c r="AJ43" s="327"/>
      <c r="AK43" s="327"/>
      <c r="AL43" s="328"/>
      <c r="AM43" s="532"/>
      <c r="AN43" s="328"/>
      <c r="AO43" s="328"/>
      <c r="AP43" s="328"/>
      <c r="AQ43" s="328"/>
      <c r="AR43" s="328"/>
      <c r="AS43" s="328"/>
      <c r="AT43" s="328"/>
      <c r="AU43" s="328"/>
      <c r="AV43" s="328"/>
    </row>
    <row r="44" spans="1:48" ht="21.95" customHeight="1">
      <c r="A44" s="11"/>
      <c r="B44" s="187"/>
      <c r="C44" s="11"/>
      <c r="D44" s="11"/>
      <c r="E44" s="11"/>
      <c r="F44" s="11"/>
      <c r="G44" s="11"/>
      <c r="H44" s="11"/>
      <c r="I44" s="11"/>
      <c r="J44" s="11"/>
      <c r="K44" s="11"/>
      <c r="L44" s="11"/>
      <c r="M44" s="11"/>
      <c r="N44" s="11"/>
      <c r="O44" s="11"/>
      <c r="P44" s="11"/>
      <c r="Q44" s="552"/>
      <c r="R44" s="167" t="s">
        <v>1172</v>
      </c>
      <c r="S44" s="552"/>
      <c r="T44" s="552"/>
      <c r="U44" s="552"/>
      <c r="V44" s="552"/>
      <c r="W44" s="552"/>
      <c r="X44" s="552"/>
      <c r="Y44" s="552"/>
      <c r="Z44" s="552"/>
      <c r="AA44" s="552"/>
      <c r="AB44" s="552"/>
      <c r="AC44" s="552"/>
      <c r="AD44" s="552"/>
      <c r="AE44" s="552"/>
      <c r="AF44" s="552"/>
      <c r="AG44" s="552"/>
      <c r="AH44" s="552"/>
      <c r="AI44" s="552"/>
      <c r="AJ44" s="552"/>
      <c r="AK44" s="552"/>
      <c r="AL44" s="328"/>
      <c r="AM44" s="532"/>
      <c r="AN44" s="328"/>
      <c r="AO44" s="328"/>
      <c r="AP44" s="328"/>
      <c r="AQ44" s="328"/>
      <c r="AR44" s="328"/>
      <c r="AS44" s="328"/>
      <c r="AT44" s="328"/>
      <c r="AU44" s="328"/>
      <c r="AV44" s="328"/>
    </row>
    <row r="45" spans="1:48" ht="21.95" customHeight="1">
      <c r="A45" s="11"/>
      <c r="B45" s="187" t="s">
        <v>1135</v>
      </c>
      <c r="C45" s="11"/>
      <c r="D45" s="11"/>
      <c r="E45" s="11"/>
      <c r="F45" s="11"/>
      <c r="G45" s="11"/>
      <c r="H45" s="11"/>
      <c r="I45" s="11"/>
      <c r="J45" s="11"/>
      <c r="K45" s="11"/>
      <c r="L45" s="11"/>
      <c r="M45" s="11"/>
      <c r="N45" s="11"/>
      <c r="O45" s="11"/>
      <c r="P45" s="11"/>
      <c r="Q45" s="552"/>
      <c r="R45" s="167" t="s">
        <v>1038</v>
      </c>
      <c r="S45" s="552"/>
      <c r="T45" s="552"/>
      <c r="U45" s="552"/>
      <c r="V45" s="552"/>
      <c r="W45" s="552"/>
      <c r="X45" s="552"/>
      <c r="Y45" s="552"/>
      <c r="Z45" s="552"/>
      <c r="AA45" s="552"/>
      <c r="AB45" s="552"/>
      <c r="AC45" s="552"/>
      <c r="AD45" s="552"/>
      <c r="AE45" s="552"/>
      <c r="AF45" s="552"/>
      <c r="AG45" s="552"/>
      <c r="AH45" s="552"/>
      <c r="AI45" s="552"/>
      <c r="AJ45" s="552"/>
      <c r="AK45" s="552"/>
      <c r="AL45" s="328"/>
      <c r="AM45" s="532"/>
      <c r="AN45" s="328"/>
      <c r="AO45" s="328"/>
      <c r="AP45" s="328"/>
      <c r="AQ45" s="328"/>
      <c r="AR45" s="328"/>
      <c r="AS45" s="328"/>
      <c r="AT45" s="328"/>
      <c r="AU45" s="328"/>
      <c r="AV45" s="328"/>
    </row>
    <row r="46" spans="1:48" ht="21.95" customHeight="1">
      <c r="A46" s="11"/>
      <c r="B46" s="187" t="s">
        <v>1163</v>
      </c>
      <c r="C46" s="11"/>
      <c r="D46" s="11"/>
      <c r="E46" s="11"/>
      <c r="F46" s="11"/>
      <c r="G46" s="11"/>
      <c r="H46" s="11"/>
      <c r="I46" s="11"/>
      <c r="J46" s="11"/>
      <c r="K46" s="11"/>
      <c r="L46" s="11"/>
      <c r="M46" s="11"/>
      <c r="N46" s="11"/>
      <c r="O46" s="11"/>
      <c r="P46" s="11"/>
      <c r="Q46" s="552"/>
      <c r="R46" s="167" t="s">
        <v>1041</v>
      </c>
      <c r="S46" s="552"/>
      <c r="T46" s="552"/>
      <c r="U46" s="552"/>
      <c r="V46" s="552"/>
      <c r="W46" s="552"/>
      <c r="X46" s="552"/>
      <c r="Y46" s="552"/>
      <c r="Z46" s="552"/>
      <c r="AA46" s="552"/>
      <c r="AB46" s="552"/>
      <c r="AC46" s="552"/>
      <c r="AD46" s="552"/>
      <c r="AE46" s="552"/>
      <c r="AF46" s="552"/>
      <c r="AG46" s="552"/>
      <c r="AH46" s="552"/>
      <c r="AI46" s="552"/>
      <c r="AJ46" s="552"/>
      <c r="AK46" s="552"/>
      <c r="AL46" s="328"/>
      <c r="AM46" s="532"/>
      <c r="AN46" s="328"/>
      <c r="AO46" s="328"/>
      <c r="AP46" s="328"/>
      <c r="AQ46" s="328"/>
      <c r="AR46" s="328"/>
      <c r="AS46" s="328"/>
      <c r="AT46" s="328"/>
      <c r="AU46" s="328"/>
      <c r="AV46" s="328"/>
    </row>
    <row r="47" spans="1:48" ht="21.95" customHeight="1">
      <c r="A47" s="11"/>
      <c r="B47" s="187" t="s">
        <v>1138</v>
      </c>
      <c r="C47" s="11"/>
      <c r="D47" s="11"/>
      <c r="E47" s="11"/>
      <c r="F47" s="11"/>
      <c r="G47" s="11"/>
      <c r="H47" s="11"/>
      <c r="I47" s="11"/>
      <c r="J47" s="11"/>
      <c r="K47" s="11"/>
      <c r="L47" s="11"/>
      <c r="M47" s="11"/>
      <c r="N47" s="11"/>
      <c r="O47" s="11"/>
      <c r="P47" s="11"/>
      <c r="Q47" s="552"/>
      <c r="R47" s="167" t="s">
        <v>1104</v>
      </c>
      <c r="S47" s="552"/>
      <c r="T47" s="552"/>
      <c r="U47" s="552"/>
      <c r="V47" s="552"/>
      <c r="W47" s="552"/>
      <c r="X47" s="552"/>
      <c r="Y47" s="552"/>
      <c r="Z47" s="552"/>
      <c r="AA47" s="552"/>
      <c r="AB47" s="552"/>
      <c r="AC47" s="552"/>
      <c r="AD47" s="552"/>
      <c r="AE47" s="552"/>
      <c r="AF47" s="552"/>
      <c r="AG47" s="552"/>
      <c r="AH47" s="552"/>
      <c r="AI47" s="552"/>
      <c r="AJ47" s="552"/>
      <c r="AK47" s="552"/>
      <c r="AL47" s="328"/>
      <c r="AM47" s="532"/>
      <c r="AN47" s="328"/>
      <c r="AO47" s="328"/>
      <c r="AP47" s="328"/>
      <c r="AQ47" s="328"/>
      <c r="AR47" s="328"/>
      <c r="AS47" s="328"/>
      <c r="AT47" s="328"/>
      <c r="AU47" s="328"/>
      <c r="AV47" s="328"/>
    </row>
    <row r="48" spans="1:48" ht="21.95" customHeight="1">
      <c r="A48" s="11"/>
      <c r="B48" s="187" t="s">
        <v>1116</v>
      </c>
      <c r="C48" s="11"/>
      <c r="D48" s="11"/>
      <c r="E48" s="11"/>
      <c r="F48" s="11"/>
      <c r="G48" s="11"/>
      <c r="H48" s="11"/>
      <c r="I48" s="11"/>
      <c r="J48" s="11"/>
      <c r="K48" s="11"/>
      <c r="L48" s="11"/>
      <c r="M48" s="11"/>
      <c r="N48" s="11"/>
      <c r="O48" s="11"/>
      <c r="P48" s="11"/>
      <c r="Q48" s="552"/>
      <c r="R48" s="167" t="s">
        <v>1173</v>
      </c>
      <c r="S48" s="552"/>
      <c r="T48" s="552"/>
      <c r="U48" s="552"/>
      <c r="V48" s="552"/>
      <c r="W48" s="552"/>
      <c r="X48" s="552"/>
      <c r="Y48" s="552"/>
      <c r="Z48" s="552"/>
      <c r="AA48" s="552"/>
      <c r="AB48" s="552"/>
      <c r="AC48" s="552"/>
      <c r="AD48" s="552"/>
      <c r="AE48" s="552"/>
      <c r="AF48" s="552"/>
      <c r="AG48" s="552"/>
      <c r="AH48" s="552"/>
      <c r="AI48" s="552"/>
      <c r="AJ48" s="552"/>
      <c r="AK48" s="552"/>
      <c r="AL48" s="328"/>
      <c r="AM48" s="532"/>
      <c r="AN48" s="328"/>
      <c r="AO48" s="328"/>
      <c r="AP48" s="328"/>
      <c r="AQ48" s="328"/>
      <c r="AR48" s="328"/>
      <c r="AS48" s="328"/>
      <c r="AT48" s="328"/>
      <c r="AU48" s="328"/>
      <c r="AV48" s="328"/>
    </row>
    <row r="49" spans="1:48" ht="21.95" customHeight="1">
      <c r="A49" s="11"/>
      <c r="B49" s="11"/>
      <c r="C49" s="11"/>
      <c r="D49" s="11"/>
      <c r="E49" s="11"/>
      <c r="F49" s="11"/>
      <c r="G49" s="11"/>
      <c r="H49" s="11"/>
      <c r="I49" s="11"/>
      <c r="J49" s="11"/>
      <c r="K49" s="11"/>
      <c r="L49" s="11"/>
      <c r="M49" s="11"/>
      <c r="N49" s="11"/>
      <c r="O49" s="11"/>
      <c r="P49" s="11"/>
      <c r="Q49" s="552"/>
      <c r="R49" s="167" t="s">
        <v>1134</v>
      </c>
      <c r="S49" s="552"/>
      <c r="T49" s="552"/>
      <c r="U49" s="552"/>
      <c r="V49" s="552"/>
      <c r="W49" s="552"/>
      <c r="X49" s="552"/>
      <c r="Y49" s="552"/>
      <c r="Z49" s="552"/>
      <c r="AA49" s="552"/>
      <c r="AB49" s="552"/>
      <c r="AC49" s="552"/>
      <c r="AD49" s="552"/>
      <c r="AE49" s="552"/>
      <c r="AF49" s="552"/>
      <c r="AG49" s="552"/>
      <c r="AH49" s="552"/>
      <c r="AI49" s="552"/>
      <c r="AJ49" s="552"/>
      <c r="AK49" s="552"/>
      <c r="AL49" s="328"/>
      <c r="AM49" s="532"/>
      <c r="AN49" s="328"/>
      <c r="AO49" s="328"/>
      <c r="AP49" s="328"/>
      <c r="AQ49" s="328"/>
      <c r="AR49" s="328"/>
      <c r="AS49" s="328"/>
      <c r="AT49" s="328"/>
      <c r="AU49" s="328"/>
      <c r="AV49" s="328"/>
    </row>
    <row r="50" spans="1:48" ht="21.95" customHeight="1">
      <c r="A50" s="11"/>
      <c r="C50" s="11"/>
      <c r="D50" s="11"/>
      <c r="E50" s="11"/>
      <c r="F50" s="11"/>
      <c r="G50" s="11"/>
      <c r="H50" s="11"/>
      <c r="I50" s="11"/>
      <c r="J50" s="11"/>
      <c r="K50" s="11"/>
      <c r="L50" s="11"/>
      <c r="M50" s="11"/>
      <c r="N50" s="11"/>
      <c r="O50" s="11"/>
      <c r="P50" s="11"/>
      <c r="Q50" s="552"/>
      <c r="R50" s="167" t="s">
        <v>1176</v>
      </c>
      <c r="S50" s="552"/>
      <c r="T50" s="552"/>
      <c r="U50" s="552"/>
      <c r="V50" s="552"/>
      <c r="W50" s="552"/>
      <c r="X50" s="552"/>
      <c r="Y50" s="552"/>
      <c r="Z50" s="552"/>
      <c r="AA50" s="552"/>
      <c r="AB50" s="552"/>
      <c r="AC50" s="552"/>
      <c r="AD50" s="552"/>
      <c r="AE50" s="552"/>
      <c r="AF50" s="552"/>
      <c r="AG50" s="552"/>
      <c r="AH50" s="552"/>
      <c r="AI50" s="552"/>
      <c r="AJ50" s="552"/>
      <c r="AK50" s="552"/>
      <c r="AL50" s="328"/>
      <c r="AM50" s="532"/>
      <c r="AN50" s="328"/>
      <c r="AO50" s="328"/>
      <c r="AP50" s="328"/>
      <c r="AQ50" s="328"/>
      <c r="AR50" s="328"/>
      <c r="AS50" s="328"/>
      <c r="AT50" s="328"/>
      <c r="AU50" s="328"/>
      <c r="AV50" s="328"/>
    </row>
    <row r="51" spans="1:48" ht="21.95" customHeight="1">
      <c r="A51" s="11"/>
      <c r="B51" s="11"/>
      <c r="C51" s="11"/>
      <c r="D51" s="11"/>
      <c r="E51" s="11"/>
      <c r="F51" s="11"/>
      <c r="G51" s="11"/>
      <c r="H51" s="11"/>
      <c r="I51" s="11"/>
      <c r="J51" s="11"/>
      <c r="K51" s="11"/>
      <c r="L51" s="11"/>
      <c r="M51" s="11"/>
      <c r="N51" s="11"/>
      <c r="O51" s="11"/>
      <c r="P51" s="11"/>
      <c r="Q51" s="552"/>
      <c r="R51" s="167"/>
      <c r="S51" s="552"/>
      <c r="T51" s="552"/>
      <c r="U51" s="552"/>
      <c r="V51" s="552"/>
      <c r="W51" s="552"/>
      <c r="X51" s="552"/>
      <c r="Y51" s="552"/>
      <c r="Z51" s="552"/>
      <c r="AA51" s="552"/>
      <c r="AB51" s="552"/>
      <c r="AC51" s="552"/>
      <c r="AD51" s="552"/>
      <c r="AE51" s="552"/>
      <c r="AF51" s="552"/>
      <c r="AG51" s="552"/>
      <c r="AH51" s="552"/>
      <c r="AI51" s="552"/>
      <c r="AJ51" s="552"/>
      <c r="AK51" s="552"/>
      <c r="AL51" s="328"/>
      <c r="AM51" s="532"/>
      <c r="AN51" s="328"/>
      <c r="AO51" s="328"/>
      <c r="AP51" s="328"/>
      <c r="AQ51" s="328"/>
      <c r="AR51" s="328"/>
      <c r="AS51" s="328"/>
      <c r="AT51" s="328"/>
      <c r="AU51" s="328"/>
      <c r="AV51" s="328"/>
    </row>
    <row r="52" spans="1:48" ht="21.95" customHeight="1">
      <c r="A52" s="11"/>
      <c r="B52" s="11"/>
      <c r="C52" s="11"/>
      <c r="D52" s="11"/>
      <c r="E52" s="11"/>
      <c r="F52" s="11"/>
      <c r="G52" s="11"/>
      <c r="H52" s="11"/>
      <c r="I52" s="11"/>
      <c r="J52" s="11"/>
      <c r="K52" s="11"/>
      <c r="L52" s="11"/>
      <c r="M52" s="11"/>
      <c r="N52" s="11"/>
      <c r="O52" s="11"/>
      <c r="P52" s="11"/>
      <c r="Q52" s="552"/>
      <c r="R52" s="552"/>
      <c r="S52" s="552"/>
      <c r="T52" s="552"/>
      <c r="U52" s="552"/>
      <c r="V52" s="552"/>
      <c r="W52" s="552"/>
      <c r="X52" s="552"/>
      <c r="Y52" s="552"/>
      <c r="Z52" s="552"/>
      <c r="AA52" s="552"/>
      <c r="AB52" s="552"/>
      <c r="AC52" s="552"/>
      <c r="AD52" s="552"/>
      <c r="AE52" s="552"/>
      <c r="AF52" s="552"/>
      <c r="AG52" s="552"/>
      <c r="AH52" s="552"/>
      <c r="AI52" s="552"/>
      <c r="AJ52" s="552"/>
      <c r="AK52" s="552"/>
      <c r="AL52" s="328"/>
      <c r="AM52" s="532"/>
      <c r="AN52" s="328"/>
      <c r="AO52" s="328"/>
      <c r="AP52" s="328"/>
      <c r="AQ52" s="328"/>
      <c r="AR52" s="328"/>
      <c r="AS52" s="328"/>
      <c r="AT52" s="328"/>
      <c r="AU52" s="328"/>
      <c r="AV52" s="328"/>
    </row>
  </sheetData>
  <sheetProtection algorithmName="SHA-512" hashValue="3hCb9UdJz+CdAOpKb205DP2KmEoEx5knkaa1LXS+nMIijX3wbeANmZPqkmx2JtQnlSUG+VKSfGmGfIyx0oKVUA==" saltValue="IbGrMxxWbsbEhgUXs/8rGA==" spinCount="100000" sheet="1" objects="1" scenarios="1" selectLockedCells="1" selectUnlockedCells="1"/>
  <protectedRanges>
    <protectedRange sqref="D40:K41" name="Intervalo1"/>
  </protectedRanges>
  <phoneticPr fontId="0" type="noConversion"/>
  <pageMargins left="0.78740157499999996" right="0.78740157499999996" top="0.984251969" bottom="0.984251969" header="0.49212598499999999" footer="0.49212598499999999"/>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5"/>
  <dimension ref="A1:AH55"/>
  <sheetViews>
    <sheetView zoomScale="85" zoomScaleNormal="85" workbookViewId="0">
      <selection activeCell="E5" sqref="E5"/>
    </sheetView>
  </sheetViews>
  <sheetFormatPr defaultRowHeight="12.75"/>
  <cols>
    <col min="1" max="1" width="14.5703125" customWidth="1"/>
    <col min="2" max="9" width="12.7109375" customWidth="1"/>
    <col min="10" max="10" width="17" customWidth="1"/>
    <col min="11" max="17" width="15.7109375" customWidth="1"/>
    <col min="18" max="22" width="12.7109375" customWidth="1"/>
    <col min="23" max="23" width="16.7109375" customWidth="1"/>
    <col min="24" max="25" width="12.7109375" customWidth="1"/>
    <col min="26" max="26" width="16.85546875" customWidth="1"/>
    <col min="27" max="31" width="12.7109375" customWidth="1"/>
    <col min="32" max="32" width="18.28515625" customWidth="1"/>
    <col min="33" max="33" width="12.7109375" customWidth="1"/>
  </cols>
  <sheetData>
    <row r="1" spans="1:34" ht="24" customHeight="1">
      <c r="A1" s="399"/>
      <c r="B1" s="88" t="s">
        <v>792</v>
      </c>
      <c r="C1" s="88"/>
      <c r="D1" s="208"/>
      <c r="E1" s="208"/>
      <c r="F1" s="208"/>
      <c r="G1" s="208"/>
      <c r="H1" s="531" t="s">
        <v>746</v>
      </c>
      <c r="I1" s="401"/>
      <c r="J1" s="322"/>
      <c r="K1" s="353" t="s">
        <v>0</v>
      </c>
      <c r="L1" s="213"/>
      <c r="M1" s="213"/>
      <c r="N1" s="400" t="s">
        <v>642</v>
      </c>
      <c r="O1" s="400"/>
      <c r="P1" s="400"/>
      <c r="Q1" s="213"/>
      <c r="R1" s="402" t="s">
        <v>627</v>
      </c>
      <c r="S1" s="403"/>
      <c r="T1" s="403"/>
      <c r="U1" s="403"/>
      <c r="V1" s="403"/>
      <c r="W1" s="403"/>
      <c r="X1" s="403"/>
      <c r="Y1" s="404"/>
      <c r="Z1" s="319" t="s">
        <v>684</v>
      </c>
      <c r="AA1" s="213"/>
      <c r="AB1" s="213"/>
      <c r="AC1" s="213"/>
      <c r="AD1" s="213"/>
      <c r="AE1" s="213"/>
      <c r="AF1" s="213"/>
      <c r="AG1" s="216"/>
      <c r="AH1" s="29"/>
    </row>
    <row r="2" spans="1:34" ht="18" customHeight="1" thickBot="1">
      <c r="A2" s="719" t="s">
        <v>589</v>
      </c>
      <c r="B2" s="1146"/>
      <c r="C2" s="1146"/>
      <c r="D2" s="1146"/>
      <c r="E2" s="1147"/>
      <c r="F2" s="1147" t="s">
        <v>682</v>
      </c>
      <c r="G2" s="1148"/>
      <c r="H2" s="1149"/>
      <c r="I2" s="1150"/>
      <c r="J2" s="27"/>
      <c r="K2" s="355">
        <v>8</v>
      </c>
      <c r="L2" s="354">
        <v>1</v>
      </c>
      <c r="M2" s="354">
        <v>6</v>
      </c>
      <c r="N2" s="354">
        <v>3</v>
      </c>
      <c r="O2" s="354">
        <v>7</v>
      </c>
      <c r="P2" s="354">
        <v>2</v>
      </c>
      <c r="Q2" s="354">
        <v>5</v>
      </c>
      <c r="R2" s="272" t="s">
        <v>681</v>
      </c>
      <c r="S2" s="215"/>
      <c r="T2" s="215"/>
      <c r="U2" s="215"/>
      <c r="V2" s="215"/>
      <c r="W2" s="215"/>
      <c r="X2" s="215"/>
      <c r="Y2" s="273"/>
      <c r="Z2" s="205"/>
      <c r="AA2" s="239"/>
      <c r="AB2" s="301" t="s">
        <v>683</v>
      </c>
      <c r="AC2" s="49"/>
      <c r="AD2" s="49"/>
      <c r="AE2" s="196"/>
      <c r="AF2" s="197"/>
      <c r="AG2" s="200"/>
      <c r="AH2" s="29"/>
    </row>
    <row r="3" spans="1:34" ht="35.1" customHeight="1" thickTop="1">
      <c r="A3" s="362" t="s">
        <v>590</v>
      </c>
      <c r="B3" s="1151" t="str">
        <f>K3</f>
        <v>Phosphoric acid</v>
      </c>
      <c r="C3" s="1151" t="str">
        <f t="shared" ref="C3:H3" si="0">L3</f>
        <v>Acetic acid</v>
      </c>
      <c r="D3" s="1151" t="str">
        <f t="shared" si="0"/>
        <v>HCl</v>
      </c>
      <c r="E3" s="1151" t="str">
        <f t="shared" si="0"/>
        <v>Carbonic acid</v>
      </c>
      <c r="F3" s="1151" t="str">
        <f t="shared" si="0"/>
        <v>Hydroxide ion</v>
      </c>
      <c r="G3" s="1151" t="str">
        <f t="shared" si="0"/>
        <v>Ammonia</v>
      </c>
      <c r="H3" s="1152" t="str">
        <f t="shared" si="0"/>
        <v>EDTA</v>
      </c>
      <c r="I3" s="560"/>
      <c r="J3" s="362" t="s">
        <v>593</v>
      </c>
      <c r="K3" s="268" t="s">
        <v>125</v>
      </c>
      <c r="L3" s="268" t="s">
        <v>127</v>
      </c>
      <c r="M3" s="268" t="s">
        <v>326</v>
      </c>
      <c r="N3" s="268" t="s">
        <v>159</v>
      </c>
      <c r="O3" s="268" t="s">
        <v>623</v>
      </c>
      <c r="P3" s="268" t="s">
        <v>128</v>
      </c>
      <c r="Q3" s="269" t="s">
        <v>330</v>
      </c>
      <c r="R3" s="31" t="s">
        <v>593</v>
      </c>
      <c r="S3" s="321" t="str">
        <f>K3</f>
        <v>Phosphoric acid</v>
      </c>
      <c r="T3" s="321" t="str">
        <f t="shared" ref="T3:Y3" si="1">L3</f>
        <v>Acetic acid</v>
      </c>
      <c r="U3" s="321" t="str">
        <f t="shared" si="1"/>
        <v>HCl</v>
      </c>
      <c r="V3" s="321" t="str">
        <f t="shared" si="1"/>
        <v>Carbonic acid</v>
      </c>
      <c r="W3" s="321" t="str">
        <f t="shared" si="1"/>
        <v>Hydroxide ion</v>
      </c>
      <c r="X3" s="321" t="str">
        <f t="shared" si="1"/>
        <v>Ammonia</v>
      </c>
      <c r="Y3" s="321" t="str">
        <f t="shared" si="1"/>
        <v>EDTA</v>
      </c>
      <c r="Z3" s="30" t="s">
        <v>593</v>
      </c>
      <c r="AA3" s="210" t="str">
        <f>IF(VLOOKUP(K$2,Database!$B$22:$N$301,2)="","",VLOOKUP(K$2,Database!$B$22:$N$301,2))</f>
        <v>Phosphoric acid</v>
      </c>
      <c r="AB3" s="210" t="str">
        <f>IF(VLOOKUP(L$2,Database!$B$22:$N$301,2)="","",VLOOKUP(L$2,Database!$B$22:$N$301,2))</f>
        <v>Acetic acid</v>
      </c>
      <c r="AC3" s="210" t="str">
        <f>IF(VLOOKUP(M$2,Database!$B$22:$N$301,2)="","",VLOOKUP(M$2,Database!$B$22:$N$301,2))</f>
        <v>HCl</v>
      </c>
      <c r="AD3" s="210" t="str">
        <f>IF(VLOOKUP(N$2,Database!$B$22:$N$301,2)="","",VLOOKUP(N$2,Database!$B$22:$N$301,2))</f>
        <v>Carbonic acid</v>
      </c>
      <c r="AE3" s="210" t="str">
        <f>IF(VLOOKUP(O$2,Database!$B$22:$N$301,2)="","",VLOOKUP(O$2,Database!$B$22:$N$301,2))</f>
        <v>Hydroxide ion</v>
      </c>
      <c r="AF3" s="210" t="str">
        <f>IF(VLOOKUP(P$2,Database!$B$22:$N$301,2)="","",VLOOKUP(P$2,Database!$B$22:$N$301,2))</f>
        <v>Ammonia</v>
      </c>
      <c r="AG3" s="231" t="str">
        <f>IF(VLOOKUP(Q$2,Database!$B$22:$N$301,2)="","",VLOOKUP(Q$2,Database!$B$22:$N$301,2))</f>
        <v>EDTA</v>
      </c>
      <c r="AH3" s="29"/>
    </row>
    <row r="4" spans="1:34" ht="15.75" customHeight="1" thickBot="1">
      <c r="A4" s="1153" t="s">
        <v>332</v>
      </c>
      <c r="B4" s="1154"/>
      <c r="C4" s="1155"/>
      <c r="D4" s="1155"/>
      <c r="E4" s="1155"/>
      <c r="F4" s="1155"/>
      <c r="G4" s="1289"/>
      <c r="H4" s="1156"/>
      <c r="I4" s="560"/>
      <c r="J4" s="220" t="s">
        <v>594</v>
      </c>
      <c r="K4" s="255">
        <v>-3</v>
      </c>
      <c r="L4" s="255">
        <v>-1</v>
      </c>
      <c r="M4" s="255">
        <v>-1</v>
      </c>
      <c r="N4" s="255">
        <v>-2</v>
      </c>
      <c r="O4" s="255">
        <v>-1</v>
      </c>
      <c r="P4" s="255">
        <v>0</v>
      </c>
      <c r="Q4" s="255">
        <v>-4</v>
      </c>
      <c r="R4" s="221" t="s">
        <v>594</v>
      </c>
      <c r="S4" s="605">
        <f>IF(K4="","",K4)</f>
        <v>-3</v>
      </c>
      <c r="T4" s="605">
        <f t="shared" ref="T4:Y4" si="2">IF(L4="","",L4)</f>
        <v>-1</v>
      </c>
      <c r="U4" s="605">
        <f t="shared" si="2"/>
        <v>-1</v>
      </c>
      <c r="V4" s="605">
        <f t="shared" si="2"/>
        <v>-2</v>
      </c>
      <c r="W4" s="605">
        <f t="shared" si="2"/>
        <v>-1</v>
      </c>
      <c r="X4" s="605">
        <f t="shared" si="2"/>
        <v>0</v>
      </c>
      <c r="Y4" s="605">
        <f t="shared" si="2"/>
        <v>-4</v>
      </c>
      <c r="Z4" s="220" t="s">
        <v>604</v>
      </c>
      <c r="AA4" s="233">
        <f>IF(VLOOKUP(K$2,Database!$B$22:$N$301,3)="","",VLOOKUP(K$2,Database!$B$22:$N$301,3))</f>
        <v>-3</v>
      </c>
      <c r="AB4" s="233">
        <f>IF(VLOOKUP(L$2,Database!$B$22:$N$301,3)="","",VLOOKUP(L$2,Database!$B$22:$N$301,3))</f>
        <v>-1</v>
      </c>
      <c r="AC4" s="233">
        <f>IF(VLOOKUP(M$2,Database!$B$22:$N$301,3)="","",VLOOKUP(M$2,Database!$B$22:$N$301,3))</f>
        <v>-1</v>
      </c>
      <c r="AD4" s="233">
        <f>IF(VLOOKUP(N$2,Database!$B$22:$N$301,3)="","",VLOOKUP(N$2,Database!$B$22:$N$301,3))</f>
        <v>-2</v>
      </c>
      <c r="AE4" s="233">
        <f>IF(VLOOKUP(O$2,Database!$B$22:$N$301,3)="","",VLOOKUP(O$2,Database!$B$22:$N$301,3))</f>
        <v>-1</v>
      </c>
      <c r="AF4" s="233">
        <f>IF(VLOOKUP(P$2,Database!$B$22:$N$301,3)="","",VLOOKUP(P$2,Database!$B$22:$N$301,3))</f>
        <v>0</v>
      </c>
      <c r="AG4" s="240">
        <f>IF(VLOOKUP(Q$2,Database!$B$22:$N$301,3)="","",VLOOKUP(Q$2,Database!$B$22:$N$301,3))</f>
        <v>-4</v>
      </c>
      <c r="AH4" s="29"/>
    </row>
    <row r="5" spans="1:34" ht="15.75" customHeight="1" thickBot="1">
      <c r="A5" s="1283" t="s">
        <v>333</v>
      </c>
      <c r="B5" s="1286">
        <v>0.01</v>
      </c>
      <c r="C5" s="1288"/>
      <c r="D5" s="1288"/>
      <c r="E5" s="245"/>
      <c r="F5" s="1288"/>
      <c r="G5" s="245"/>
      <c r="H5" s="246"/>
      <c r="I5" s="560"/>
      <c r="J5" s="189" t="s">
        <v>631</v>
      </c>
      <c r="K5" s="256">
        <v>2.1480000000000001</v>
      </c>
      <c r="L5" s="256">
        <v>4.7569999999999997</v>
      </c>
      <c r="M5" s="256">
        <v>-7</v>
      </c>
      <c r="N5" s="256">
        <v>6.3520000000000003</v>
      </c>
      <c r="O5" s="256">
        <v>15.744999999999999</v>
      </c>
      <c r="P5" s="256">
        <v>9.2439999999999998</v>
      </c>
      <c r="Q5" s="257">
        <v>-0.21</v>
      </c>
      <c r="R5" s="33" t="s">
        <v>487</v>
      </c>
      <c r="S5" s="102">
        <f t="shared" ref="S5:Y5" si="3">IF(K5="","",IF(K6="",10^K5,(IF(K7="",10^K6,(IF(K8="",10^K7,(IF(K9="",10^K8,(IF(K10="",10^K9,10^K10))))))))))</f>
        <v>2238721138568.3457</v>
      </c>
      <c r="T5" s="106">
        <f t="shared" si="3"/>
        <v>57147.863667186728</v>
      </c>
      <c r="U5" s="106">
        <f t="shared" si="3"/>
        <v>9.9999999999999995E-8</v>
      </c>
      <c r="V5" s="106">
        <f t="shared" si="3"/>
        <v>21330449131.465843</v>
      </c>
      <c r="W5" s="106">
        <f t="shared" si="3"/>
        <v>5559042572704029</v>
      </c>
      <c r="X5" s="106">
        <f t="shared" si="3"/>
        <v>1753880501.8417609</v>
      </c>
      <c r="Y5" s="212">
        <f t="shared" si="3"/>
        <v>107151930523.76077</v>
      </c>
      <c r="Z5" s="189" t="s">
        <v>581</v>
      </c>
      <c r="AA5" s="241">
        <f>IF(VLOOKUP(K$2,Database!$B$22:$N$301,4)="","",VLOOKUP(K$2,Database!$B$22:$N$301,4))</f>
        <v>2.1480000000000001</v>
      </c>
      <c r="AB5" s="363">
        <f>IF(VLOOKUP(L$2,Database!$B$22:$N$301,4)="","",VLOOKUP(L$2,Database!$B$22:$N$301,4))</f>
        <v>4.7569999999999997</v>
      </c>
      <c r="AC5" s="363">
        <f>IF(VLOOKUP(M$2,Database!$B$22:$N$301,4)="","",VLOOKUP(M$2,Database!$B$22:$N$301,4))</f>
        <v>-7</v>
      </c>
      <c r="AD5" s="363">
        <f>IF(VLOOKUP(N$2,Database!$B$22:$N$301,4)="","",VLOOKUP(N$2,Database!$B$22:$N$301,4))</f>
        <v>6.3520000000000003</v>
      </c>
      <c r="AE5" s="363">
        <f>IF(VLOOKUP(O$2,Database!$B$22:$N$301,4)="","",VLOOKUP(O$2,Database!$B$22:$N$301,4))</f>
        <v>15.744999999999999</v>
      </c>
      <c r="AF5" s="363">
        <f>IF(VLOOKUP(P$2,Database!$B$22:$N$301,4)="","",VLOOKUP(P$2,Database!$B$22:$N$301,4))</f>
        <v>9.2439999999999998</v>
      </c>
      <c r="AG5" s="364">
        <f>IF(VLOOKUP(Q$2,Database!$B$22:$N$301,4)="","",VLOOKUP(Q$2,Database!$B$22:$N$301,4))</f>
        <v>-0.21</v>
      </c>
      <c r="AH5" s="29"/>
    </row>
    <row r="6" spans="1:34" ht="15.75" customHeight="1" thickBot="1">
      <c r="A6" s="1283" t="s">
        <v>488</v>
      </c>
      <c r="B6" s="1286">
        <v>1.8E-3</v>
      </c>
      <c r="C6" s="534"/>
      <c r="D6" s="683"/>
      <c r="E6" s="1288"/>
      <c r="F6" s="534"/>
      <c r="G6" s="534"/>
      <c r="H6" s="246"/>
      <c r="I6" s="560"/>
      <c r="J6" s="190" t="s">
        <v>632</v>
      </c>
      <c r="K6" s="256">
        <v>7.1989999999999998</v>
      </c>
      <c r="L6" s="256" t="s">
        <v>588</v>
      </c>
      <c r="M6" s="256" t="s">
        <v>588</v>
      </c>
      <c r="N6" s="256">
        <v>10.329000000000001</v>
      </c>
      <c r="O6" s="256" t="s">
        <v>588</v>
      </c>
      <c r="P6" s="256" t="s">
        <v>588</v>
      </c>
      <c r="Q6" s="258">
        <v>1.5</v>
      </c>
      <c r="R6" s="35" t="s">
        <v>489</v>
      </c>
      <c r="S6" s="105">
        <f t="shared" ref="S6:Y6" si="4">IF(K6="","",IF(K7="",S5*10^K5,(IF(K8="",S5*10^K6,(IF(K9="",S5*10^K7,(IF(K10="",S5*10^K8,S5*10^K9))))))))</f>
        <v>3.539973410834362E+19</v>
      </c>
      <c r="T6" s="106" t="str">
        <f t="shared" si="4"/>
        <v/>
      </c>
      <c r="U6" s="106" t="str">
        <f t="shared" si="4"/>
        <v/>
      </c>
      <c r="V6" s="106">
        <f t="shared" si="4"/>
        <v>4.7973344863669224E+16</v>
      </c>
      <c r="W6" s="106" t="str">
        <f t="shared" si="4"/>
        <v/>
      </c>
      <c r="X6" s="106" t="str">
        <f t="shared" si="4"/>
        <v/>
      </c>
      <c r="Y6" s="108">
        <f t="shared" si="4"/>
        <v>6.0255958607435917E+17</v>
      </c>
      <c r="Z6" s="190" t="s">
        <v>582</v>
      </c>
      <c r="AA6" s="234">
        <f>IF(VLOOKUP(K$2,Database!$B$22:$N$301,5)="","",VLOOKUP(K$2,Database!$B$22:$N$301,5))</f>
        <v>7.1989999999999998</v>
      </c>
      <c r="AB6" s="235" t="str">
        <f>IF(VLOOKUP(L$2,Database!$B$22:$N$301,5)="","",VLOOKUP(L$2,Database!$B$22:$N$301,5))</f>
        <v/>
      </c>
      <c r="AC6" s="235" t="str">
        <f>IF(VLOOKUP(M$2,Database!$B$22:$N$301,5)="","",VLOOKUP(M$2,Database!$B$22:$N$301,5))</f>
        <v/>
      </c>
      <c r="AD6" s="235">
        <f>IF(VLOOKUP(N$2,Database!$B$22:$N$301,5)="","",VLOOKUP(N$2,Database!$B$22:$N$301,5))</f>
        <v>10.329000000000001</v>
      </c>
      <c r="AE6" s="235" t="str">
        <f>IF(VLOOKUP(O$2,Database!$B$22:$N$301,5)="","",VLOOKUP(O$2,Database!$B$22:$N$301,5))</f>
        <v/>
      </c>
      <c r="AF6" s="235" t="str">
        <f>IF(VLOOKUP(P$2,Database!$B$22:$N$301,5)="","",VLOOKUP(P$2,Database!$B$22:$N$301,5))</f>
        <v/>
      </c>
      <c r="AG6" s="236">
        <f>IF(VLOOKUP(Q$2,Database!$B$22:$N$301,5)="","",VLOOKUP(Q$2,Database!$B$22:$N$301,5))</f>
        <v>1.5</v>
      </c>
      <c r="AH6" s="29"/>
    </row>
    <row r="7" spans="1:34" ht="15.75" customHeight="1" thickBot="1">
      <c r="A7" s="1283" t="s">
        <v>490</v>
      </c>
      <c r="B7" s="1287"/>
      <c r="C7" s="534"/>
      <c r="D7" s="683"/>
      <c r="E7" s="534"/>
      <c r="F7" s="534"/>
      <c r="G7" s="534"/>
      <c r="H7" s="246"/>
      <c r="I7" s="560"/>
      <c r="J7" s="190" t="s">
        <v>633</v>
      </c>
      <c r="K7" s="256">
        <v>12.35</v>
      </c>
      <c r="L7" s="256" t="s">
        <v>588</v>
      </c>
      <c r="M7" s="256" t="s">
        <v>588</v>
      </c>
      <c r="N7" s="256" t="s">
        <v>588</v>
      </c>
      <c r="O7" s="256" t="s">
        <v>588</v>
      </c>
      <c r="P7" s="256" t="s">
        <v>588</v>
      </c>
      <c r="Q7" s="258">
        <v>2.21</v>
      </c>
      <c r="R7" s="35" t="s">
        <v>491</v>
      </c>
      <c r="S7" s="105">
        <f t="shared" ref="S7:Y7" si="5">IF(K7="","",IF(K8="",S6*10^K5,(IF(K9="",S6*10^K6,(IF(K10="",S6*10^K7,S6*10^K8))))))</f>
        <v>4.9773708497893867E+21</v>
      </c>
      <c r="T7" s="106" t="str">
        <f t="shared" si="5"/>
        <v/>
      </c>
      <c r="U7" s="106" t="str">
        <f t="shared" si="5"/>
        <v/>
      </c>
      <c r="V7" s="106" t="str">
        <f t="shared" si="5"/>
        <v/>
      </c>
      <c r="W7" s="106" t="str">
        <f t="shared" si="5"/>
        <v/>
      </c>
      <c r="X7" s="106" t="str">
        <f t="shared" si="5"/>
        <v/>
      </c>
      <c r="Y7" s="108">
        <f t="shared" si="5"/>
        <v>7.7624711662869401E+20</v>
      </c>
      <c r="Z7" s="190" t="s">
        <v>583</v>
      </c>
      <c r="AA7" s="234">
        <f>IF(VLOOKUP(K$2,Database!$B$22:$N$301,6)="","",VLOOKUP(K$2,Database!$B$22:$N$301,6))</f>
        <v>12.35</v>
      </c>
      <c r="AB7" s="235" t="str">
        <f>IF(VLOOKUP(L$2,Database!$B$22:$N$301,6)="","",VLOOKUP(L$2,Database!$B$22:$N$301,6))</f>
        <v/>
      </c>
      <c r="AC7" s="235" t="str">
        <f>IF(VLOOKUP(M$2,Database!$B$22:$N$301,6)="","",VLOOKUP(M$2,Database!$B$22:$N$301,6))</f>
        <v/>
      </c>
      <c r="AD7" s="235" t="str">
        <f>IF(VLOOKUP(N$2,Database!$B$22:$N$301,6)="","",VLOOKUP(N$2,Database!$B$22:$N$301,6))</f>
        <v/>
      </c>
      <c r="AE7" s="235" t="str">
        <f>IF(VLOOKUP(O$2,Database!$B$22:$N$301,6)="","",VLOOKUP(O$2,Database!$B$22:$N$301,6))</f>
        <v/>
      </c>
      <c r="AF7" s="235" t="str">
        <f>IF(VLOOKUP(P$2,Database!$B$22:$N$301,6)="","",VLOOKUP(P$2,Database!$B$22:$N$301,6))</f>
        <v/>
      </c>
      <c r="AG7" s="236">
        <f>IF(VLOOKUP(Q$2,Database!$B$22:$N$301,6)="","",VLOOKUP(Q$2,Database!$B$22:$N$301,6))</f>
        <v>2.21</v>
      </c>
      <c r="AH7" s="29"/>
    </row>
    <row r="8" spans="1:34" ht="15.75" customHeight="1" thickBot="1">
      <c r="A8" s="1283" t="s">
        <v>492</v>
      </c>
      <c r="B8" s="1280"/>
      <c r="C8" s="534"/>
      <c r="D8" s="534"/>
      <c r="E8" s="534"/>
      <c r="F8" s="534"/>
      <c r="G8" s="534"/>
      <c r="H8" s="1291"/>
      <c r="I8" s="560"/>
      <c r="J8" s="190" t="s">
        <v>634</v>
      </c>
      <c r="K8" s="256" t="s">
        <v>588</v>
      </c>
      <c r="L8" s="256" t="s">
        <v>588</v>
      </c>
      <c r="M8" s="256" t="s">
        <v>588</v>
      </c>
      <c r="N8" s="256" t="s">
        <v>588</v>
      </c>
      <c r="O8" s="256" t="s">
        <v>588</v>
      </c>
      <c r="P8" s="256" t="s">
        <v>588</v>
      </c>
      <c r="Q8" s="258">
        <v>3.11</v>
      </c>
      <c r="R8" s="35" t="s">
        <v>493</v>
      </c>
      <c r="S8" s="105" t="str">
        <f t="shared" ref="S8:Y8" si="6">IF(K8="","",IF(K9="",S7*10^K5,(IF(K10="",S7*10^K6,S7*10^K7))))</f>
        <v/>
      </c>
      <c r="T8" s="106" t="str">
        <f t="shared" si="6"/>
        <v/>
      </c>
      <c r="U8" s="106" t="str">
        <f t="shared" si="6"/>
        <v/>
      </c>
      <c r="V8" s="106" t="str">
        <f t="shared" si="6"/>
        <v/>
      </c>
      <c r="W8" s="106" t="str">
        <f t="shared" si="6"/>
        <v/>
      </c>
      <c r="X8" s="106" t="str">
        <f t="shared" si="6"/>
        <v/>
      </c>
      <c r="Y8" s="108">
        <f t="shared" si="6"/>
        <v>1.2589254117941712E+23</v>
      </c>
      <c r="Z8" s="190" t="s">
        <v>584</v>
      </c>
      <c r="AA8" s="234" t="str">
        <f>IF(VLOOKUP(K$2,Database!$B$22:$N$301,7)="","",VLOOKUP(K$2,Database!$B$22:$N$301,7))</f>
        <v/>
      </c>
      <c r="AB8" s="235" t="str">
        <f>IF(VLOOKUP(L$2,Database!$B$22:$N$301,7)="","",VLOOKUP(L$2,Database!$B$22:$N$301,7))</f>
        <v/>
      </c>
      <c r="AC8" s="235" t="str">
        <f>IF(VLOOKUP(M$2,Database!$B$22:$N$301,7)="","",VLOOKUP(M$2,Database!$B$22:$N$301,7))</f>
        <v/>
      </c>
      <c r="AD8" s="235" t="str">
        <f>IF(VLOOKUP(N$2,Database!$B$22:$N$301,7)="","",VLOOKUP(N$2,Database!$B$22:$N$301,7))</f>
        <v/>
      </c>
      <c r="AE8" s="235" t="str">
        <f>IF(VLOOKUP(O$2,Database!$B$22:$N$301,7)="","",VLOOKUP(O$2,Database!$B$22:$N$301,7))</f>
        <v/>
      </c>
      <c r="AF8" s="235" t="str">
        <f>IF(VLOOKUP(P$2,Database!$B$22:$N$301,7)="","",VLOOKUP(P$2,Database!$B$22:$N$301,7))</f>
        <v/>
      </c>
      <c r="AG8" s="236">
        <f>IF(VLOOKUP(Q$2,Database!$B$22:$N$301,7)="","",VLOOKUP(Q$2,Database!$B$22:$N$301,7))</f>
        <v>3.11</v>
      </c>
      <c r="AH8" s="29"/>
    </row>
    <row r="9" spans="1:34" ht="15.75" customHeight="1">
      <c r="A9" s="1283" t="s">
        <v>494</v>
      </c>
      <c r="B9" s="1280"/>
      <c r="C9" s="534"/>
      <c r="D9" s="534"/>
      <c r="E9" s="1126"/>
      <c r="F9" s="1126"/>
      <c r="G9" s="1126"/>
      <c r="H9" s="246"/>
      <c r="I9" s="1284" t="s">
        <v>348</v>
      </c>
      <c r="J9" s="190" t="s">
        <v>635</v>
      </c>
      <c r="K9" s="256" t="s">
        <v>588</v>
      </c>
      <c r="L9" s="256" t="s">
        <v>588</v>
      </c>
      <c r="M9" s="256" t="s">
        <v>588</v>
      </c>
      <c r="N9" s="256" t="s">
        <v>588</v>
      </c>
      <c r="O9" s="256" t="s">
        <v>588</v>
      </c>
      <c r="P9" s="256" t="s">
        <v>588</v>
      </c>
      <c r="Q9" s="258">
        <v>6.75</v>
      </c>
      <c r="R9" s="35" t="s">
        <v>495</v>
      </c>
      <c r="S9" s="105" t="str">
        <f t="shared" ref="S9:Y9" si="7">IF(K9="","",IF(K10="",S8*10^K5,S8*10^K6))</f>
        <v/>
      </c>
      <c r="T9" s="106" t="str">
        <f t="shared" si="7"/>
        <v/>
      </c>
      <c r="U9" s="106" t="str">
        <f t="shared" si="7"/>
        <v/>
      </c>
      <c r="V9" s="106" t="str">
        <f t="shared" si="7"/>
        <v/>
      </c>
      <c r="W9" s="106" t="str">
        <f t="shared" si="7"/>
        <v/>
      </c>
      <c r="X9" s="106" t="str">
        <f t="shared" si="7"/>
        <v/>
      </c>
      <c r="Y9" s="108">
        <f t="shared" si="7"/>
        <v>3.9810717055349867E+24</v>
      </c>
      <c r="Z9" s="190" t="s">
        <v>585</v>
      </c>
      <c r="AA9" s="234" t="str">
        <f>IF(VLOOKUP(K$2,Database!$B$22:$N$301,8)="","",VLOOKUP(K$2,Database!$B$22:$N$301,8))</f>
        <v/>
      </c>
      <c r="AB9" s="235" t="str">
        <f>IF(VLOOKUP(L$2,Database!$B$22:$N$301,8)="","",VLOOKUP(L$2,Database!$B$22:$N$301,8))</f>
        <v/>
      </c>
      <c r="AC9" s="235" t="str">
        <f>IF(VLOOKUP(M$2,Database!$B$22:$N$301,8)="","",VLOOKUP(M$2,Database!$B$22:$N$301,8))</f>
        <v/>
      </c>
      <c r="AD9" s="235" t="str">
        <f>IF(VLOOKUP(N$2,Database!$B$22:$N$301,8)="","",VLOOKUP(N$2,Database!$B$22:$N$301,8))</f>
        <v/>
      </c>
      <c r="AE9" s="235" t="str">
        <f>IF(VLOOKUP(O$2,Database!$B$22:$N$301,8)="","",VLOOKUP(O$2,Database!$B$22:$N$301,8))</f>
        <v/>
      </c>
      <c r="AF9" s="235" t="str">
        <f>IF(VLOOKUP(P$2,Database!$B$22:$N$301,8)="","",VLOOKUP(P$2,Database!$B$22:$N$301,8))</f>
        <v/>
      </c>
      <c r="AG9" s="236">
        <f>IF(VLOOKUP(Q$2,Database!$B$22:$N$301,8)="","",VLOOKUP(Q$2,Database!$B$22:$N$301,8))</f>
        <v>6.75</v>
      </c>
      <c r="AH9" s="29"/>
    </row>
    <row r="10" spans="1:34" ht="15.75" customHeight="1" thickBot="1">
      <c r="A10" s="1283" t="s">
        <v>496</v>
      </c>
      <c r="B10" s="1281"/>
      <c r="C10" s="1282"/>
      <c r="D10" s="1282"/>
      <c r="E10" s="1282"/>
      <c r="F10" s="1282"/>
      <c r="G10" s="1282"/>
      <c r="H10" s="1290"/>
      <c r="I10" s="1285" t="s">
        <v>345</v>
      </c>
      <c r="J10" s="1130" t="s">
        <v>636</v>
      </c>
      <c r="K10" s="256" t="s">
        <v>588</v>
      </c>
      <c r="L10" s="259" t="s">
        <v>588</v>
      </c>
      <c r="M10" s="259" t="s">
        <v>588</v>
      </c>
      <c r="N10" s="259" t="s">
        <v>588</v>
      </c>
      <c r="O10" s="259" t="s">
        <v>588</v>
      </c>
      <c r="P10" s="259" t="s">
        <v>588</v>
      </c>
      <c r="Q10" s="260">
        <v>11.03</v>
      </c>
      <c r="R10" s="36" t="s">
        <v>497</v>
      </c>
      <c r="S10" s="188" t="str">
        <f t="shared" ref="S10:Y10" si="8">IF(K10="","",S9*10^K5)</f>
        <v/>
      </c>
      <c r="T10" s="106" t="str">
        <f t="shared" si="8"/>
        <v/>
      </c>
      <c r="U10" s="106" t="str">
        <f t="shared" si="8"/>
        <v/>
      </c>
      <c r="V10" s="106" t="str">
        <f t="shared" si="8"/>
        <v/>
      </c>
      <c r="W10" s="106" t="str">
        <f t="shared" si="8"/>
        <v/>
      </c>
      <c r="X10" s="106" t="str">
        <f t="shared" si="8"/>
        <v/>
      </c>
      <c r="Y10" s="108">
        <f t="shared" si="8"/>
        <v>2.4547089156850394E+24</v>
      </c>
      <c r="Z10" s="191" t="s">
        <v>586</v>
      </c>
      <c r="AA10" s="590" t="str">
        <f>IF(VLOOKUP(K$2,Database!$B$22:$N$301,9)="","",VLOOKUP(K$2,Database!$B$22:$N$301,9))</f>
        <v/>
      </c>
      <c r="AB10" s="591" t="str">
        <f>IF(VLOOKUP(L$2,Database!$B$22:$N$301,9)="","",VLOOKUP(L$2,Database!$B$22:$N$301,9))</f>
        <v/>
      </c>
      <c r="AC10" s="591" t="str">
        <f>IF(VLOOKUP(M$2,Database!$B$22:$N$301,9)="","",VLOOKUP(M$2,Database!$B$22:$N$301,9))</f>
        <v/>
      </c>
      <c r="AD10" s="591" t="str">
        <f>IF(VLOOKUP(N$2,Database!$B$22:$N$301,9)="","",VLOOKUP(N$2,Database!$B$22:$N$301,9))</f>
        <v/>
      </c>
      <c r="AE10" s="591" t="str">
        <f>IF(VLOOKUP(O$2,Database!$B$22:$N$301,9)="","",VLOOKUP(O$2,Database!$B$22:$N$301,9))</f>
        <v/>
      </c>
      <c r="AF10" s="591" t="str">
        <f>IF(VLOOKUP(P$2,Database!$B$22:$N$301,9)="","",VLOOKUP(P$2,Database!$B$22:$N$301,9))</f>
        <v/>
      </c>
      <c r="AG10" s="592">
        <f>IF(VLOOKUP(Q$2,Database!$B$22:$N$301,9)="","",VLOOKUP(Q$2,Database!$B$22:$N$301,9))</f>
        <v>11.03</v>
      </c>
      <c r="AH10" s="29"/>
    </row>
    <row r="11" spans="1:34" ht="15.75" customHeight="1" thickTop="1" thickBot="1">
      <c r="A11" s="521" t="s">
        <v>498</v>
      </c>
      <c r="B11" s="23">
        <f>SUM(B4:B10)</f>
        <v>1.18E-2</v>
      </c>
      <c r="C11" s="23">
        <f t="shared" ref="C11:H11" si="9">SUM(C4:C10)</f>
        <v>0</v>
      </c>
      <c r="D11" s="23">
        <f t="shared" si="9"/>
        <v>0</v>
      </c>
      <c r="E11" s="23">
        <f t="shared" si="9"/>
        <v>0</v>
      </c>
      <c r="F11" s="23">
        <f t="shared" si="9"/>
        <v>0</v>
      </c>
      <c r="G11" s="23">
        <f t="shared" si="9"/>
        <v>0</v>
      </c>
      <c r="H11" s="23">
        <f t="shared" si="9"/>
        <v>0</v>
      </c>
      <c r="I11" s="38">
        <f>SUM(B11:H11)</f>
        <v>1.18E-2</v>
      </c>
      <c r="J11" s="1131" t="s">
        <v>591</v>
      </c>
      <c r="K11" s="39" t="s">
        <v>499</v>
      </c>
      <c r="L11" s="40" t="s">
        <v>500</v>
      </c>
      <c r="M11" s="40" t="s">
        <v>501</v>
      </c>
      <c r="N11" s="40" t="s">
        <v>502</v>
      </c>
      <c r="O11" s="40" t="s">
        <v>503</v>
      </c>
      <c r="P11" s="606" t="s">
        <v>793</v>
      </c>
      <c r="Q11" s="40" t="s">
        <v>504</v>
      </c>
      <c r="R11" s="1230" t="s">
        <v>336</v>
      </c>
      <c r="S11" s="77">
        <f>10^-K13</f>
        <v>1.0069316688518014E-14</v>
      </c>
      <c r="T11" s="374"/>
      <c r="U11" s="373"/>
      <c r="V11" s="369"/>
      <c r="W11" s="369"/>
      <c r="X11" s="369"/>
      <c r="Y11" s="369"/>
      <c r="Z11" s="191" t="s">
        <v>781</v>
      </c>
      <c r="AA11" s="593">
        <f>IF(VLOOKUP(K$2,Database!$B$22:$N$301,10)="","unknown",VLOOKUP(K$2,Database!$B$22:$N$301,10))</f>
        <v>25</v>
      </c>
      <c r="AB11" s="593">
        <f>IF(VLOOKUP(L$2,Database!$B$22:$N$301,10)="","unknown",VLOOKUP(L$2,Database!$B$22:$N$301,10))</f>
        <v>25</v>
      </c>
      <c r="AC11" s="593">
        <f>IF(VLOOKUP(M$2,Database!$B$22:$N$301,10)="","unknown",VLOOKUP(M$2,Database!$B$22:$N$301,10))</f>
        <v>25</v>
      </c>
      <c r="AD11" s="593">
        <f>IF(VLOOKUP(N$2,Database!$B$22:$N$301,10)="","unknown",VLOOKUP(N$2,Database!$B$22:$N$301,10))</f>
        <v>25</v>
      </c>
      <c r="AE11" s="593">
        <f>IF(VLOOKUP(O$2,Database!$B$22:$N$301,10)="","unknown",VLOOKUP(O$2,Database!$B$22:$N$301,10))</f>
        <v>25</v>
      </c>
      <c r="AF11" s="593">
        <f>IF(VLOOKUP(P$2,Database!$B$22:$N$301,10)="","unknown",VLOOKUP(P$2,Database!$B$22:$N$301,10))</f>
        <v>25</v>
      </c>
      <c r="AG11" s="594">
        <f>IF(VLOOKUP(Q$2,Database!$B$22:$N$301,10)="","unknown",VLOOKUP(Q$2,Database!$B$22:$N$301,10))</f>
        <v>25</v>
      </c>
      <c r="AH11" s="29"/>
    </row>
    <row r="12" spans="1:34" ht="15.75" customHeight="1" thickTop="1" thickBot="1">
      <c r="A12" s="521" t="s">
        <v>334</v>
      </c>
      <c r="B12" s="23">
        <f>B5+2*B6+3*B7+4*B8+5*B9+6*B10</f>
        <v>1.3600000000000001E-2</v>
      </c>
      <c r="C12" s="23">
        <f t="shared" ref="C12:H12" si="10">C5+2*C6+3*C7+4*C8+5*C9+6*C10</f>
        <v>0</v>
      </c>
      <c r="D12" s="23">
        <f>D5+2*D6+3*D7+4*D8+5*D9+6*D10</f>
        <v>0</v>
      </c>
      <c r="E12" s="23">
        <f t="shared" si="10"/>
        <v>0</v>
      </c>
      <c r="F12" s="23">
        <f>F5+2*F6+3*F7+4*F8+5*F9+6*F10</f>
        <v>0</v>
      </c>
      <c r="G12" s="23">
        <f t="shared" si="10"/>
        <v>0</v>
      </c>
      <c r="H12" s="23">
        <f t="shared" si="10"/>
        <v>0</v>
      </c>
      <c r="I12" s="41">
        <f>SUM(B12:H12)</f>
        <v>1.3600000000000001E-2</v>
      </c>
      <c r="J12" s="42" t="s">
        <v>595</v>
      </c>
      <c r="K12" s="43">
        <v>1</v>
      </c>
      <c r="L12" s="44">
        <v>1</v>
      </c>
      <c r="M12" s="44">
        <v>2</v>
      </c>
      <c r="N12" s="44">
        <v>-1</v>
      </c>
      <c r="O12" s="44">
        <v>-1</v>
      </c>
      <c r="P12" s="44">
        <v>-2</v>
      </c>
      <c r="Q12" s="44">
        <v>-1</v>
      </c>
      <c r="R12" s="372"/>
      <c r="S12" s="373"/>
      <c r="T12" s="230"/>
      <c r="U12" s="230"/>
      <c r="V12" s="230"/>
      <c r="W12" s="230"/>
      <c r="X12" s="230"/>
      <c r="Y12" s="230"/>
      <c r="Z12" s="1349" t="s">
        <v>782</v>
      </c>
      <c r="AA12" s="595">
        <f>IF(VLOOKUP(K$2,Database!$B$22:$N$301,11)="","unknown",VLOOKUP(K$2,Database!$B$22:$N$301,11))</f>
        <v>0</v>
      </c>
      <c r="AB12" s="595">
        <f>IF(VLOOKUP(L$2,Database!$B$22:$N$301,11)="","unknown",VLOOKUP(L$2,Database!$B$22:$N$301,11))</f>
        <v>0</v>
      </c>
      <c r="AC12" s="595">
        <f>IF(VLOOKUP(M$2,Database!$B$22:$N$301,11)="","unknown",VLOOKUP(M$2,Database!$B$22:$N$301,11))</f>
        <v>0</v>
      </c>
      <c r="AD12" s="595">
        <f>IF(VLOOKUP(N$2,Database!$B$22:$N$301,11)="","unknown",VLOOKUP(N$2,Database!$B$22:$N$301,11))</f>
        <v>0</v>
      </c>
      <c r="AE12" s="595">
        <f>IF(VLOOKUP(O$2,Database!$B$22:$N$301,11)="","unknown",VLOOKUP(O$2,Database!$B$22:$N$301,11))</f>
        <v>0</v>
      </c>
      <c r="AF12" s="595">
        <f>IF(VLOOKUP(P$2,Database!$B$22:$N$301,11)="","unknown",VLOOKUP(P$2,Database!$B$22:$N$301,11))</f>
        <v>0</v>
      </c>
      <c r="AG12" s="596">
        <f>IF(VLOOKUP(Q$2,Database!$B$22:$N$301,11)="","unknown",VLOOKUP(Q$2,Database!$B$22:$N$301,11))</f>
        <v>0</v>
      </c>
      <c r="AH12" s="29"/>
    </row>
    <row r="13" spans="1:34" ht="15.75" customHeight="1" thickTop="1" thickBot="1">
      <c r="A13" s="522" t="s">
        <v>576</v>
      </c>
      <c r="B13" s="23">
        <f t="shared" ref="B13:H13" si="11">K4*B4+(K4+1)*B5+(K4+2)*B6+(K4+3)*B7+(K4+4)*B8+(K4+5)*B9+(K4+6)*B10</f>
        <v>-2.18E-2</v>
      </c>
      <c r="C13" s="23">
        <f t="shared" si="11"/>
        <v>0</v>
      </c>
      <c r="D13" s="23">
        <f>M4*D4+(M4+1)*D5+(M4+2)*D6+(M4+3)*D7+(M4+4)*D8+(M4+5)*D9+(M4+6)*D10</f>
        <v>0</v>
      </c>
      <c r="E13" s="23">
        <f t="shared" si="11"/>
        <v>0</v>
      </c>
      <c r="F13" s="23">
        <f>O4*F4+(O4+1)*F5+(O4+2)*F6+(O4+3)*F7+(O4+4)*F8+(O4+5)*F9+(O4+6)*F10</f>
        <v>0</v>
      </c>
      <c r="G13" s="23">
        <f t="shared" si="11"/>
        <v>0</v>
      </c>
      <c r="H13" s="23">
        <f t="shared" si="11"/>
        <v>0</v>
      </c>
      <c r="I13" s="98">
        <f>SUM(B13:H13)</f>
        <v>-2.18E-2</v>
      </c>
      <c r="J13" s="45" t="s">
        <v>335</v>
      </c>
      <c r="K13" s="46">
        <v>13.997</v>
      </c>
      <c r="L13" s="29"/>
      <c r="M13" s="29"/>
      <c r="N13" s="29"/>
      <c r="O13" s="29"/>
      <c r="P13" s="29"/>
      <c r="Q13" s="29"/>
      <c r="R13" s="26"/>
      <c r="S13" s="26"/>
      <c r="T13" s="26"/>
      <c r="U13" s="26"/>
      <c r="V13" s="26"/>
      <c r="W13" s="26"/>
      <c r="X13" s="26"/>
      <c r="Y13" s="26"/>
      <c r="Z13" s="29"/>
      <c r="AA13" s="29"/>
      <c r="AB13" s="29"/>
      <c r="AC13" s="29"/>
      <c r="AD13" s="29"/>
      <c r="AE13" s="29"/>
      <c r="AF13" s="29"/>
      <c r="AG13" s="29"/>
      <c r="AH13" s="29"/>
    </row>
    <row r="14" spans="1:34" s="15" customFormat="1" ht="16.5" customHeight="1" thickTop="1">
      <c r="A14" s="47" t="s">
        <v>591</v>
      </c>
      <c r="B14" s="443" t="str">
        <f>K11</f>
        <v>Na+</v>
      </c>
      <c r="C14" s="443" t="str">
        <f t="shared" ref="C14:H14" si="12">L11</f>
        <v>K+</v>
      </c>
      <c r="D14" s="443" t="str">
        <f t="shared" si="12"/>
        <v>Ca++</v>
      </c>
      <c r="E14" s="443" t="str">
        <f t="shared" si="12"/>
        <v>Cl-</v>
      </c>
      <c r="F14" s="443" t="str">
        <f t="shared" si="12"/>
        <v>NO3-</v>
      </c>
      <c r="G14" s="443" t="str">
        <f t="shared" si="12"/>
        <v>SO4=</v>
      </c>
      <c r="H14" s="444" t="str">
        <f t="shared" si="12"/>
        <v>ClO4-</v>
      </c>
      <c r="I14" s="247"/>
      <c r="J14" s="294" t="s">
        <v>596</v>
      </c>
      <c r="K14" s="295"/>
      <c r="L14" s="29"/>
      <c r="M14" s="1127"/>
      <c r="N14" s="1128" t="s">
        <v>598</v>
      </c>
      <c r="O14" s="1129"/>
      <c r="P14" s="29"/>
      <c r="Q14" s="29"/>
      <c r="R14" s="29"/>
      <c r="S14" s="29"/>
      <c r="T14" s="29"/>
      <c r="U14" s="29"/>
      <c r="V14" s="29"/>
      <c r="W14" s="29"/>
      <c r="X14" s="29"/>
      <c r="Y14" s="29"/>
      <c r="Z14" s="29"/>
      <c r="AA14" s="29"/>
      <c r="AB14" s="29"/>
      <c r="AC14" s="29"/>
      <c r="AD14" s="29"/>
      <c r="AE14" s="29"/>
      <c r="AF14" s="29"/>
      <c r="AG14" s="29"/>
      <c r="AH14" s="29"/>
    </row>
    <row r="15" spans="1:34" ht="15.75" customHeight="1">
      <c r="A15" s="32" t="s">
        <v>505</v>
      </c>
      <c r="B15" s="248">
        <v>0</v>
      </c>
      <c r="C15" s="248"/>
      <c r="D15" s="248"/>
      <c r="E15" s="248"/>
      <c r="F15" s="248"/>
      <c r="G15" s="248"/>
      <c r="H15" s="249"/>
      <c r="I15" s="247"/>
      <c r="J15" s="296" t="s">
        <v>597</v>
      </c>
      <c r="K15" s="297"/>
      <c r="L15" s="29"/>
      <c r="M15" s="917"/>
      <c r="N15" s="918" t="s">
        <v>599</v>
      </c>
      <c r="O15" s="919"/>
      <c r="P15" s="29"/>
      <c r="Q15" s="29"/>
      <c r="R15" s="26"/>
      <c r="S15" s="26"/>
      <c r="T15" s="26"/>
      <c r="U15" s="26"/>
      <c r="V15" s="26"/>
      <c r="W15" s="26"/>
      <c r="X15" s="26"/>
      <c r="Y15" s="26"/>
      <c r="Z15" s="29"/>
      <c r="AA15" s="29"/>
      <c r="AB15" s="29"/>
      <c r="AC15" s="29"/>
      <c r="AD15" s="29"/>
      <c r="AE15" s="29"/>
      <c r="AF15" s="29"/>
      <c r="AG15" s="29"/>
      <c r="AH15" s="29"/>
    </row>
    <row r="16" spans="1:34" ht="15.75" customHeight="1">
      <c r="A16" s="523" t="s">
        <v>577</v>
      </c>
      <c r="B16" s="23">
        <f t="shared" ref="B16:H16" si="13">B15*K12</f>
        <v>0</v>
      </c>
      <c r="C16" s="23">
        <f t="shared" si="13"/>
        <v>0</v>
      </c>
      <c r="D16" s="23">
        <f t="shared" si="13"/>
        <v>0</v>
      </c>
      <c r="E16" s="23">
        <f t="shared" si="13"/>
        <v>0</v>
      </c>
      <c r="F16" s="23">
        <f t="shared" si="13"/>
        <v>0</v>
      </c>
      <c r="G16" s="23">
        <f t="shared" si="13"/>
        <v>0</v>
      </c>
      <c r="H16" s="23">
        <f t="shared" si="13"/>
        <v>0</v>
      </c>
      <c r="I16" s="98">
        <f>SUM(B16:H16)</f>
        <v>0</v>
      </c>
      <c r="J16" s="292" t="s">
        <v>506</v>
      </c>
      <c r="K16" s="293">
        <v>0.50900000000000001</v>
      </c>
      <c r="L16" s="26"/>
      <c r="M16" s="920"/>
      <c r="N16" s="920" t="s">
        <v>600</v>
      </c>
      <c r="O16" s="921"/>
      <c r="P16" s="50"/>
      <c r="Q16" s="26"/>
      <c r="R16" s="26"/>
      <c r="S16" s="26"/>
      <c r="T16" s="26"/>
      <c r="U16" s="26"/>
      <c r="V16" s="26"/>
      <c r="W16" s="26"/>
      <c r="X16" s="26"/>
      <c r="Y16" s="26"/>
      <c r="Z16" s="29"/>
      <c r="AA16" s="29"/>
      <c r="AB16" s="29"/>
      <c r="AC16" s="29"/>
      <c r="AD16" s="29"/>
      <c r="AE16" s="29"/>
      <c r="AF16" s="29"/>
      <c r="AG16" s="29"/>
      <c r="AH16" s="29"/>
    </row>
    <row r="17" spans="1:34" ht="20.25" customHeight="1" thickBot="1">
      <c r="A17" s="51" t="s">
        <v>592</v>
      </c>
      <c r="B17" s="250" t="str">
        <f>IF(I17=0,"OK", "WARNING")</f>
        <v>WARNING</v>
      </c>
      <c r="C17" s="251" t="str">
        <f>IF(I17&lt;0,"Add cations/Remove anions", "")</f>
        <v>Add cations/Remove anions</v>
      </c>
      <c r="D17" s="252"/>
      <c r="E17" s="253" t="str">
        <f>IF(I17&gt;0,"Add anions/Remove cations", "")</f>
        <v/>
      </c>
      <c r="F17" s="254"/>
      <c r="G17" s="254"/>
      <c r="H17" s="1374" t="str">
        <f>IF(I17=0,"","Unbalance")</f>
        <v>Unbalance</v>
      </c>
      <c r="I17" s="52">
        <f>I13+I16</f>
        <v>-2.18E-2</v>
      </c>
      <c r="J17" s="53" t="s">
        <v>507</v>
      </c>
      <c r="K17" s="54">
        <v>0.3</v>
      </c>
      <c r="L17" s="26"/>
      <c r="M17" s="1225"/>
      <c r="N17" s="1225" t="s">
        <v>601</v>
      </c>
      <c r="O17" s="1226"/>
      <c r="P17" s="50"/>
      <c r="Q17" s="26"/>
      <c r="R17" s="26"/>
      <c r="S17" s="26"/>
      <c r="T17" s="26"/>
      <c r="U17" s="26"/>
      <c r="V17" s="26"/>
      <c r="W17" s="26"/>
      <c r="X17" s="26"/>
      <c r="Y17" s="26"/>
      <c r="Z17" s="29"/>
      <c r="AA17" s="29"/>
      <c r="AB17" s="29"/>
      <c r="AC17" s="29"/>
      <c r="AD17" s="29"/>
      <c r="AE17" s="29"/>
      <c r="AF17" s="29"/>
      <c r="AG17" s="29"/>
      <c r="AH17" s="29"/>
    </row>
    <row r="18" spans="1:34" ht="9.9499999999999993" customHeight="1" thickTop="1">
      <c r="A18" s="55"/>
      <c r="B18" s="56"/>
      <c r="C18" s="57"/>
      <c r="D18" s="57"/>
      <c r="E18" s="57"/>
      <c r="F18" s="57"/>
      <c r="G18" s="56"/>
      <c r="H18" s="56"/>
      <c r="I18" s="1376"/>
      <c r="J18" s="26"/>
      <c r="K18" s="26"/>
      <c r="L18" s="26"/>
      <c r="M18" s="26"/>
      <c r="N18" s="26"/>
      <c r="O18" s="50"/>
      <c r="P18" s="57"/>
      <c r="Q18" s="26"/>
      <c r="R18" s="26"/>
      <c r="S18" s="26"/>
      <c r="T18" s="26"/>
      <c r="U18" s="26"/>
      <c r="V18" s="26"/>
      <c r="W18" s="26"/>
      <c r="X18" s="26"/>
      <c r="Y18" s="26"/>
      <c r="Z18" s="29"/>
      <c r="AA18" s="29"/>
      <c r="AB18" s="29"/>
      <c r="AC18" s="29"/>
      <c r="AD18" s="29"/>
      <c r="AE18" s="29"/>
      <c r="AF18" s="29"/>
      <c r="AG18" s="29"/>
      <c r="AH18" s="29"/>
    </row>
    <row r="19" spans="1:34" ht="12.75" customHeight="1">
      <c r="A19" s="55"/>
      <c r="B19" s="56"/>
      <c r="C19" s="57"/>
      <c r="D19" s="57"/>
      <c r="E19" s="57"/>
      <c r="F19" s="597"/>
      <c r="G19" s="56"/>
      <c r="H19" s="56"/>
      <c r="I19" s="1376"/>
      <c r="J19" s="26"/>
      <c r="K19" s="26"/>
      <c r="L19" s="26"/>
      <c r="M19" s="26"/>
      <c r="N19" s="26"/>
      <c r="O19" s="50"/>
      <c r="P19" s="57"/>
      <c r="Q19" s="26"/>
      <c r="R19" s="26"/>
      <c r="S19" s="26"/>
      <c r="T19" s="26"/>
      <c r="U19" s="26"/>
      <c r="V19" s="26"/>
      <c r="W19" s="26"/>
      <c r="X19" s="26"/>
      <c r="Y19" s="26"/>
      <c r="Z19" s="29"/>
      <c r="AA19" s="29"/>
      <c r="AB19" s="29"/>
      <c r="AC19" s="29"/>
      <c r="AD19" s="29"/>
      <c r="AE19" s="29"/>
      <c r="AF19" s="29"/>
      <c r="AG19" s="29"/>
      <c r="AH19" s="29"/>
    </row>
    <row r="20" spans="1:34" ht="12.75" customHeight="1">
      <c r="A20" s="55"/>
      <c r="B20" s="56"/>
      <c r="C20" s="57"/>
      <c r="D20" s="57"/>
      <c r="E20" s="57"/>
      <c r="F20" s="57"/>
      <c r="G20" s="56"/>
      <c r="H20" s="56"/>
      <c r="I20" s="1376"/>
      <c r="J20" s="26"/>
      <c r="K20" s="26"/>
      <c r="L20" s="26"/>
      <c r="M20" s="26"/>
      <c r="N20" s="26"/>
      <c r="O20" s="50"/>
      <c r="P20" s="57"/>
      <c r="Q20" s="26"/>
      <c r="R20" s="26"/>
      <c r="S20" s="26"/>
      <c r="T20" s="26"/>
      <c r="U20" s="26"/>
      <c r="V20" s="26"/>
      <c r="W20" s="26"/>
      <c r="X20" s="26"/>
      <c r="Y20" s="26"/>
      <c r="Z20" s="29"/>
      <c r="AA20" s="29"/>
      <c r="AB20" s="29"/>
      <c r="AC20" s="29"/>
      <c r="AD20" s="29"/>
      <c r="AE20" s="29"/>
      <c r="AF20" s="29"/>
      <c r="AG20" s="29"/>
      <c r="AH20" s="29"/>
    </row>
    <row r="21" spans="1:34" ht="12.75" customHeight="1" thickBot="1">
      <c r="A21" s="58"/>
      <c r="B21" s="59"/>
      <c r="C21" s="57"/>
      <c r="D21" s="57"/>
      <c r="E21" s="57"/>
      <c r="F21" s="57"/>
      <c r="G21" s="57"/>
      <c r="H21" s="57"/>
      <c r="I21" s="1377"/>
      <c r="J21" s="26"/>
      <c r="K21" s="26"/>
      <c r="L21" s="26"/>
      <c r="M21" s="60"/>
      <c r="N21" s="26"/>
      <c r="O21" s="26"/>
      <c r="P21" s="26"/>
      <c r="Q21" s="26"/>
      <c r="R21" s="26"/>
      <c r="S21" s="26"/>
      <c r="T21" s="26"/>
      <c r="U21" s="26"/>
      <c r="V21" s="26"/>
      <c r="W21" s="26"/>
      <c r="X21" s="26"/>
      <c r="Y21" s="26"/>
      <c r="Z21" s="29"/>
      <c r="AA21" s="1110"/>
      <c r="AB21" s="1110"/>
      <c r="AC21" s="1110"/>
      <c r="AD21" s="1110"/>
      <c r="AE21" s="1110"/>
      <c r="AF21" s="1110"/>
      <c r="AG21" s="29"/>
      <c r="AH21" s="29"/>
    </row>
    <row r="22" spans="1:34" ht="15.75" customHeight="1" thickTop="1">
      <c r="A22" s="61" t="s">
        <v>16</v>
      </c>
      <c r="B22" s="62"/>
      <c r="C22" s="63"/>
      <c r="D22" s="62"/>
      <c r="E22" s="62"/>
      <c r="F22" s="62"/>
      <c r="G22" s="63"/>
      <c r="H22" s="63"/>
      <c r="I22" s="1159"/>
      <c r="J22" s="1227" t="s">
        <v>785</v>
      </c>
      <c r="K22" s="65"/>
      <c r="L22" s="66"/>
      <c r="M22" s="67">
        <f>E26</f>
        <v>2.089989495102601E-2</v>
      </c>
      <c r="N22" s="68"/>
      <c r="O22" s="68"/>
      <c r="P22" s="68"/>
      <c r="Q22" s="68"/>
      <c r="R22" s="25" t="s">
        <v>790</v>
      </c>
      <c r="S22" s="65"/>
      <c r="T22" s="66"/>
      <c r="U22" s="66"/>
      <c r="V22" s="66"/>
      <c r="W22" s="67">
        <f>$E$26</f>
        <v>2.089989495102601E-2</v>
      </c>
      <c r="X22" s="67"/>
      <c r="Y22" s="69"/>
      <c r="Z22" s="29"/>
      <c r="AA22" s="1112" t="s">
        <v>1136</v>
      </c>
      <c r="AB22" s="1110"/>
      <c r="AC22" s="1110"/>
      <c r="AD22" s="1110"/>
      <c r="AE22" s="1110"/>
      <c r="AF22" s="1110"/>
      <c r="AG22" s="29"/>
      <c r="AH22" s="29"/>
    </row>
    <row r="23" spans="1:34" s="135" customFormat="1" ht="27.75" customHeight="1">
      <c r="A23" s="556" t="s">
        <v>331</v>
      </c>
      <c r="B23" s="557">
        <v>7.7600766948604045</v>
      </c>
      <c r="C23" s="588" t="s">
        <v>509</v>
      </c>
      <c r="D23" s="558">
        <v>1.7374939762740456E-8</v>
      </c>
      <c r="E23" s="589" t="s">
        <v>750</v>
      </c>
      <c r="F23" s="558">
        <v>5.7953027616992248E-7</v>
      </c>
      <c r="G23" s="559" t="s">
        <v>510</v>
      </c>
      <c r="H23" s="1170">
        <v>6.23692387043367</v>
      </c>
      <c r="I23" s="1171"/>
      <c r="J23" s="31" t="s">
        <v>593</v>
      </c>
      <c r="K23" s="321" t="str">
        <f>K3</f>
        <v>Phosphoric acid</v>
      </c>
      <c r="L23" s="321" t="str">
        <f t="shared" ref="L23:Q24" si="14">L3</f>
        <v>Acetic acid</v>
      </c>
      <c r="M23" s="321" t="str">
        <f t="shared" si="14"/>
        <v>HCl</v>
      </c>
      <c r="N23" s="321" t="str">
        <f t="shared" si="14"/>
        <v>Carbonic acid</v>
      </c>
      <c r="O23" s="321" t="str">
        <f t="shared" si="14"/>
        <v>Hydroxide ion</v>
      </c>
      <c r="P23" s="321" t="str">
        <f t="shared" si="14"/>
        <v>Ammonia</v>
      </c>
      <c r="Q23" s="321" t="str">
        <f t="shared" si="14"/>
        <v>EDTA</v>
      </c>
      <c r="R23" s="334" t="s">
        <v>593</v>
      </c>
      <c r="S23" s="133" t="str">
        <f>K3</f>
        <v>Phosphoric acid</v>
      </c>
      <c r="T23" s="133" t="str">
        <f t="shared" ref="T23:Y23" si="15">L3</f>
        <v>Acetic acid</v>
      </c>
      <c r="U23" s="133" t="str">
        <f t="shared" si="15"/>
        <v>HCl</v>
      </c>
      <c r="V23" s="133" t="str">
        <f t="shared" si="15"/>
        <v>Carbonic acid</v>
      </c>
      <c r="W23" s="133" t="str">
        <f t="shared" si="15"/>
        <v>Hydroxide ion</v>
      </c>
      <c r="X23" s="133" t="str">
        <f t="shared" si="15"/>
        <v>Ammonia</v>
      </c>
      <c r="Y23" s="222" t="str">
        <f t="shared" si="15"/>
        <v>EDTA</v>
      </c>
      <c r="Z23" s="29"/>
      <c r="AA23" s="1110" t="s">
        <v>1047</v>
      </c>
      <c r="AB23" s="1110"/>
      <c r="AC23" s="1110"/>
      <c r="AD23" s="1110"/>
      <c r="AE23" s="1110"/>
      <c r="AF23" s="1110"/>
      <c r="AG23" s="29"/>
      <c r="AH23" s="29"/>
    </row>
    <row r="24" spans="1:34" ht="17.25" customHeight="1">
      <c r="A24" s="561" t="s">
        <v>511</v>
      </c>
      <c r="B24" s="562">
        <v>7.698977392260363</v>
      </c>
      <c r="C24" s="563" t="s">
        <v>760</v>
      </c>
      <c r="D24" s="564">
        <v>1.9999659776404572E-8</v>
      </c>
      <c r="E24" s="565" t="s">
        <v>761</v>
      </c>
      <c r="F24" s="564">
        <v>6.6707617854505524E-7</v>
      </c>
      <c r="G24" s="566" t="s">
        <v>512</v>
      </c>
      <c r="H24" s="1172">
        <v>6.1758245678336285</v>
      </c>
      <c r="I24" s="1173"/>
      <c r="J24" s="536" t="s">
        <v>594</v>
      </c>
      <c r="K24" s="602">
        <f>K4</f>
        <v>-3</v>
      </c>
      <c r="L24" s="603">
        <f t="shared" si="14"/>
        <v>-1</v>
      </c>
      <c r="M24" s="603">
        <f t="shared" si="14"/>
        <v>-1</v>
      </c>
      <c r="N24" s="603">
        <f t="shared" si="14"/>
        <v>-2</v>
      </c>
      <c r="O24" s="603">
        <f t="shared" si="14"/>
        <v>-1</v>
      </c>
      <c r="P24" s="603">
        <f t="shared" si="14"/>
        <v>0</v>
      </c>
      <c r="Q24" s="604">
        <f t="shared" si="14"/>
        <v>-4</v>
      </c>
      <c r="R24" s="221" t="s">
        <v>594</v>
      </c>
      <c r="S24" s="599">
        <f t="shared" ref="S24:Y24" si="16">K4</f>
        <v>-3</v>
      </c>
      <c r="T24" s="600">
        <f t="shared" si="16"/>
        <v>-1</v>
      </c>
      <c r="U24" s="600">
        <f t="shared" si="16"/>
        <v>-1</v>
      </c>
      <c r="V24" s="600">
        <f t="shared" si="16"/>
        <v>-2</v>
      </c>
      <c r="W24" s="600">
        <f t="shared" si="16"/>
        <v>-1</v>
      </c>
      <c r="X24" s="600">
        <f t="shared" si="16"/>
        <v>0</v>
      </c>
      <c r="Y24" s="601">
        <f t="shared" si="16"/>
        <v>-4</v>
      </c>
      <c r="Z24" s="29"/>
      <c r="AA24" s="1110" t="s">
        <v>1045</v>
      </c>
      <c r="AB24" s="1110"/>
      <c r="AC24" s="1110"/>
      <c r="AD24" s="1110"/>
      <c r="AE24" s="1110"/>
      <c r="AF24" s="1110"/>
      <c r="AG24" s="29"/>
      <c r="AH24" s="29"/>
    </row>
    <row r="25" spans="1:34" ht="17.25" customHeight="1">
      <c r="A25" s="561" t="s">
        <v>34</v>
      </c>
      <c r="B25" s="562">
        <v>7.9433516580611467</v>
      </c>
      <c r="C25" s="563" t="s">
        <v>762</v>
      </c>
      <c r="D25" s="564">
        <v>1.1393268752297016E-8</v>
      </c>
      <c r="E25" s="565" t="s">
        <v>763</v>
      </c>
      <c r="F25" s="564">
        <v>8.8379408937352889E-7</v>
      </c>
      <c r="G25" s="566" t="s">
        <v>765</v>
      </c>
      <c r="H25" s="1172">
        <v>6.0536489072329296</v>
      </c>
      <c r="I25" s="1173"/>
      <c r="J25" s="72" t="s">
        <v>533</v>
      </c>
      <c r="K25" s="73">
        <v>11.983404683176762</v>
      </c>
      <c r="L25" s="73">
        <v>4.6348015869199362</v>
      </c>
      <c r="M25" s="73">
        <v>-7.1221988879077021</v>
      </c>
      <c r="N25" s="73">
        <v>10.084603206755117</v>
      </c>
      <c r="O25" s="73">
        <v>15.622802030690123</v>
      </c>
      <c r="P25" s="73">
        <v>9.2440003733356022</v>
      </c>
      <c r="Q25" s="74">
        <v>10.541206024666097</v>
      </c>
      <c r="R25" s="1174" t="s">
        <v>541</v>
      </c>
      <c r="S25" s="22">
        <v>962507670485.8689</v>
      </c>
      <c r="T25" s="22">
        <v>43132.179085129268</v>
      </c>
      <c r="U25" s="22">
        <v>7.5474700745279094E-8</v>
      </c>
      <c r="V25" s="22">
        <v>12150741999.989187</v>
      </c>
      <c r="W25" s="22">
        <v>4195670746051030</v>
      </c>
      <c r="X25" s="22">
        <v>1753880501.8417609</v>
      </c>
      <c r="Y25" s="34">
        <v>34770072715.954117</v>
      </c>
      <c r="Z25" s="29"/>
      <c r="AA25" s="1110" t="s">
        <v>1046</v>
      </c>
      <c r="AB25" s="1110"/>
      <c r="AC25" s="1110"/>
      <c r="AD25" s="1110"/>
      <c r="AE25" s="1110"/>
      <c r="AF25" s="1110"/>
      <c r="AG25" s="29"/>
      <c r="AH25" s="29"/>
    </row>
    <row r="26" spans="1:34" ht="17.25" customHeight="1">
      <c r="A26" s="586" t="s">
        <v>508</v>
      </c>
      <c r="B26" s="575">
        <v>0.86876176679961636</v>
      </c>
      <c r="C26" s="576" t="s">
        <v>769</v>
      </c>
      <c r="D26" s="577"/>
      <c r="E26" s="578">
        <v>2.089989495102601E-2</v>
      </c>
      <c r="F26" s="579"/>
      <c r="G26" s="567" t="s">
        <v>751</v>
      </c>
      <c r="H26" s="1160">
        <v>0.86876176679961636</v>
      </c>
      <c r="I26" s="1175"/>
      <c r="J26" s="75" t="s">
        <v>534</v>
      </c>
      <c r="K26" s="73">
        <v>6.954603080344425</v>
      </c>
      <c r="L26" s="73"/>
      <c r="M26" s="73"/>
      <c r="N26" s="73">
        <v>6.2298016513368868</v>
      </c>
      <c r="O26" s="73"/>
      <c r="P26" s="73"/>
      <c r="Q26" s="74">
        <v>6.3834044570106663</v>
      </c>
      <c r="R26" s="1174" t="s">
        <v>542</v>
      </c>
      <c r="S26" s="22">
        <v>8.6697584700146565E+18</v>
      </c>
      <c r="T26" s="22"/>
      <c r="U26" s="22"/>
      <c r="V26" s="22">
        <v>2.0625486405901388E+16</v>
      </c>
      <c r="W26" s="22"/>
      <c r="X26" s="22"/>
      <c r="Y26" s="34">
        <v>8.4063951035918416E+16</v>
      </c>
      <c r="Z26" s="29"/>
      <c r="AA26" s="1110"/>
      <c r="AB26" s="1110"/>
      <c r="AC26" s="1110"/>
      <c r="AD26" s="1110"/>
      <c r="AE26" s="1110"/>
      <c r="AF26" s="1110"/>
      <c r="AG26" s="29"/>
      <c r="AH26" s="29"/>
    </row>
    <row r="27" spans="1:34" ht="18" customHeight="1">
      <c r="A27" s="27" t="s">
        <v>777</v>
      </c>
      <c r="B27" s="28"/>
      <c r="C27" s="28"/>
      <c r="D27" s="276" t="s">
        <v>776</v>
      </c>
      <c r="E27" s="535">
        <v>3.5174493270270176E-3</v>
      </c>
      <c r="F27" s="28" t="s">
        <v>768</v>
      </c>
      <c r="G27" s="28"/>
      <c r="H27" s="1161">
        <v>1.5276088947973766E-3</v>
      </c>
      <c r="I27" s="1175"/>
      <c r="J27" s="75" t="s">
        <v>535</v>
      </c>
      <c r="K27" s="73">
        <v>2.0258014815507686</v>
      </c>
      <c r="L27" s="73"/>
      <c r="M27" s="73"/>
      <c r="N27" s="73"/>
      <c r="O27" s="73"/>
      <c r="P27" s="73"/>
      <c r="Q27" s="74">
        <v>2.8656029152027886</v>
      </c>
      <c r="R27" s="1174" t="s">
        <v>543</v>
      </c>
      <c r="S27" s="22">
        <v>9.2004357832992214E+20</v>
      </c>
      <c r="T27" s="22"/>
      <c r="U27" s="22"/>
      <c r="V27" s="22"/>
      <c r="W27" s="22"/>
      <c r="X27" s="22"/>
      <c r="Y27" s="34">
        <v>6.1689691386647937E+19</v>
      </c>
      <c r="Z27" s="29"/>
      <c r="AA27" s="1110" t="s">
        <v>1042</v>
      </c>
      <c r="AB27" s="1110"/>
      <c r="AC27" s="1110"/>
      <c r="AD27" s="1110"/>
      <c r="AE27" s="1110"/>
      <c r="AF27" s="1110"/>
      <c r="AG27" s="29"/>
      <c r="AH27" s="29"/>
    </row>
    <row r="28" spans="1:34" ht="17.25" customHeight="1">
      <c r="A28" s="537" t="s">
        <v>775</v>
      </c>
      <c r="B28" s="78"/>
      <c r="C28" s="78"/>
      <c r="D28" s="78"/>
      <c r="E28" s="538"/>
      <c r="F28" s="79"/>
      <c r="G28" s="585">
        <f>B23</f>
        <v>7.7600766948604045</v>
      </c>
      <c r="H28" s="1162"/>
      <c r="I28" s="1175"/>
      <c r="J28" s="75" t="s">
        <v>536</v>
      </c>
      <c r="K28" s="73"/>
      <c r="L28" s="73"/>
      <c r="M28" s="73"/>
      <c r="N28" s="73"/>
      <c r="O28" s="73"/>
      <c r="P28" s="73"/>
      <c r="Q28" s="74">
        <v>2.0878014840547499</v>
      </c>
      <c r="R28" s="1174" t="s">
        <v>544</v>
      </c>
      <c r="S28" s="22"/>
      <c r="T28" s="22"/>
      <c r="U28" s="22"/>
      <c r="V28" s="22"/>
      <c r="W28" s="22"/>
      <c r="X28" s="22"/>
      <c r="Y28" s="34">
        <v>7.5511656474987903E+21</v>
      </c>
      <c r="Z28" s="29"/>
      <c r="AA28" s="1110" t="s">
        <v>1056</v>
      </c>
      <c r="AB28" s="1110"/>
      <c r="AC28" s="1110"/>
      <c r="AD28" s="1110"/>
      <c r="AE28" s="1110"/>
      <c r="AF28" s="1110"/>
      <c r="AG28" s="29"/>
      <c r="AH28" s="29"/>
    </row>
    <row r="29" spans="1:34" ht="27" customHeight="1">
      <c r="A29" s="30" t="s">
        <v>593</v>
      </c>
      <c r="B29" s="321" t="str">
        <f t="shared" ref="B29:H29" si="17">K3</f>
        <v>Phosphoric acid</v>
      </c>
      <c r="C29" s="321" t="str">
        <f t="shared" si="17"/>
        <v>Acetic acid</v>
      </c>
      <c r="D29" s="321" t="str">
        <f t="shared" si="17"/>
        <v>HCl</v>
      </c>
      <c r="E29" s="321" t="str">
        <f t="shared" si="17"/>
        <v>Carbonic acid</v>
      </c>
      <c r="F29" s="321" t="str">
        <f t="shared" si="17"/>
        <v>Hydroxide ion</v>
      </c>
      <c r="G29" s="321" t="str">
        <f t="shared" si="17"/>
        <v>Ammonia</v>
      </c>
      <c r="H29" s="1176" t="str">
        <f t="shared" si="17"/>
        <v>EDTA</v>
      </c>
      <c r="I29" s="1175"/>
      <c r="J29" s="598" t="s">
        <v>537</v>
      </c>
      <c r="K29" s="73"/>
      <c r="L29" s="73"/>
      <c r="M29" s="73"/>
      <c r="N29" s="73"/>
      <c r="O29" s="73"/>
      <c r="P29" s="73"/>
      <c r="Q29" s="74">
        <v>1.500000060580204</v>
      </c>
      <c r="R29" s="1177" t="s">
        <v>545</v>
      </c>
      <c r="S29" s="22"/>
      <c r="T29" s="22"/>
      <c r="U29" s="22"/>
      <c r="V29" s="22"/>
      <c r="W29" s="22"/>
      <c r="X29" s="22"/>
      <c r="Y29" s="34">
        <v>2.3878882435316326E+23</v>
      </c>
      <c r="Z29" s="29"/>
      <c r="AA29" s="1110" t="s">
        <v>1057</v>
      </c>
      <c r="AB29" s="1110"/>
      <c r="AC29" s="1110"/>
      <c r="AD29" s="1110"/>
      <c r="AE29" s="1110"/>
      <c r="AF29" s="1110"/>
      <c r="AG29" s="29"/>
      <c r="AH29" s="29"/>
    </row>
    <row r="30" spans="1:34" ht="18" customHeight="1" thickBot="1">
      <c r="A30" s="572" t="s">
        <v>766</v>
      </c>
      <c r="B30" s="573">
        <v>-1.8474026890554776</v>
      </c>
      <c r="C30" s="574">
        <v>-0.99913811458016022</v>
      </c>
      <c r="D30" s="574">
        <v>-0.99999999999999845</v>
      </c>
      <c r="E30" s="574">
        <v>-0.97126022334991391</v>
      </c>
      <c r="F30" s="574">
        <v>-1.1917248188275664E-8</v>
      </c>
      <c r="G30" s="574">
        <v>0.97228151923267481</v>
      </c>
      <c r="H30" s="574">
        <v>-2.9553085302415805</v>
      </c>
      <c r="I30" s="1175"/>
      <c r="J30" s="1158" t="s">
        <v>538</v>
      </c>
      <c r="K30" s="76"/>
      <c r="L30" s="76"/>
      <c r="M30" s="540"/>
      <c r="N30" s="540"/>
      <c r="O30" s="540"/>
      <c r="P30" s="540"/>
      <c r="Q30" s="541">
        <v>-8.7801403281144913E-2</v>
      </c>
      <c r="R30" s="1177" t="s">
        <v>546</v>
      </c>
      <c r="S30" s="37"/>
      <c r="T30" s="22"/>
      <c r="U30" s="22"/>
      <c r="V30" s="22"/>
      <c r="W30" s="22"/>
      <c r="X30" s="22"/>
      <c r="Y30" s="34">
        <v>1.9507993293467859E+23</v>
      </c>
      <c r="Z30" s="29"/>
      <c r="AA30" s="1110" t="s">
        <v>1064</v>
      </c>
      <c r="AB30" s="1110"/>
      <c r="AC30" s="1110"/>
      <c r="AD30" s="1110"/>
      <c r="AE30" s="1110"/>
      <c r="AF30" s="1110"/>
      <c r="AG30" s="29"/>
      <c r="AH30" s="29"/>
    </row>
    <row r="31" spans="1:34" ht="17.25" customHeight="1" thickTop="1" thickBot="1">
      <c r="A31" s="572" t="s">
        <v>767</v>
      </c>
      <c r="B31" s="1274">
        <v>1.1525973109445224</v>
      </c>
      <c r="C31" s="1163">
        <v>8.6188541983976143E-4</v>
      </c>
      <c r="D31" s="1163">
        <v>1.509468336631528E-15</v>
      </c>
      <c r="E31" s="1163">
        <v>1.0287397766500861</v>
      </c>
      <c r="F31" s="1163">
        <v>0.99999998808275181</v>
      </c>
      <c r="G31" s="1163">
        <v>0.97228151923267481</v>
      </c>
      <c r="H31" s="1163">
        <v>1.0446914697584195</v>
      </c>
      <c r="I31" s="1178"/>
      <c r="J31" s="1179" t="s">
        <v>539</v>
      </c>
      <c r="K31" s="1180">
        <v>13.874801960093992</v>
      </c>
      <c r="L31" s="1275"/>
      <c r="M31" s="1276"/>
      <c r="N31" s="747"/>
      <c r="O31" s="747"/>
      <c r="P31" s="747"/>
      <c r="Q31" s="1277"/>
      <c r="R31" s="1278" t="s">
        <v>540</v>
      </c>
      <c r="S31" s="1279">
        <v>1.3341313829784008E-14</v>
      </c>
      <c r="T31" s="374"/>
      <c r="U31" s="373"/>
      <c r="V31" s="369"/>
      <c r="W31" s="369"/>
      <c r="X31" s="369"/>
      <c r="Y31" s="369"/>
      <c r="Z31" s="29"/>
      <c r="AA31" s="1110" t="s">
        <v>1081</v>
      </c>
      <c r="AB31" s="1110"/>
      <c r="AC31" s="1110"/>
      <c r="AD31" s="1110"/>
      <c r="AE31" s="1110"/>
      <c r="AF31" s="1110"/>
      <c r="AG31" s="29"/>
      <c r="AH31" s="29"/>
    </row>
    <row r="32" spans="1:34" ht="15.75" customHeight="1" thickTop="1">
      <c r="A32" s="1254" t="s">
        <v>18</v>
      </c>
      <c r="B32" s="28"/>
      <c r="C32" s="28"/>
      <c r="D32" s="64"/>
      <c r="E32" s="64"/>
      <c r="F32" s="64"/>
      <c r="G32" s="64"/>
      <c r="H32" s="64"/>
      <c r="I32" s="64"/>
      <c r="J32" s="1181" t="s">
        <v>20</v>
      </c>
      <c r="K32" s="1182"/>
      <c r="L32" s="1182"/>
      <c r="M32" s="1183"/>
      <c r="N32" s="1184" t="s">
        <v>784</v>
      </c>
      <c r="O32" s="1185">
        <f>B23</f>
        <v>7.7600766948604045</v>
      </c>
      <c r="P32" s="1186" t="s">
        <v>786</v>
      </c>
      <c r="Q32" s="1187">
        <f>E26</f>
        <v>2.089989495102601E-2</v>
      </c>
      <c r="R32" s="84"/>
      <c r="S32" s="26"/>
      <c r="T32" s="26"/>
      <c r="U32" s="26"/>
      <c r="V32" s="26"/>
      <c r="W32" s="26"/>
      <c r="X32" s="26"/>
      <c r="Y32" s="26"/>
      <c r="Z32" s="29"/>
      <c r="AA32" s="1110" t="s">
        <v>1082</v>
      </c>
      <c r="AB32" s="1110"/>
      <c r="AC32" s="1110"/>
      <c r="AD32" s="1110"/>
      <c r="AE32" s="1110"/>
      <c r="AF32" s="1110"/>
      <c r="AG32" s="29"/>
      <c r="AH32" s="29"/>
    </row>
    <row r="33" spans="1:34" s="135" customFormat="1" ht="27" customHeight="1">
      <c r="A33" s="942" t="s">
        <v>17</v>
      </c>
      <c r="B33" s="321" t="str">
        <f t="shared" ref="B33:H33" si="18">K3</f>
        <v>Phosphoric acid</v>
      </c>
      <c r="C33" s="321" t="str">
        <f t="shared" si="18"/>
        <v>Acetic acid</v>
      </c>
      <c r="D33" s="321" t="str">
        <f t="shared" si="18"/>
        <v>HCl</v>
      </c>
      <c r="E33" s="321" t="str">
        <f t="shared" si="18"/>
        <v>Carbonic acid</v>
      </c>
      <c r="F33" s="321" t="str">
        <f t="shared" si="18"/>
        <v>Hydroxide ion</v>
      </c>
      <c r="G33" s="321" t="str">
        <f t="shared" si="18"/>
        <v>Ammonia</v>
      </c>
      <c r="H33" s="321" t="str">
        <f t="shared" si="18"/>
        <v>EDTA</v>
      </c>
      <c r="I33" s="543" t="s">
        <v>513</v>
      </c>
      <c r="J33" s="942" t="s">
        <v>21</v>
      </c>
      <c r="K33" s="321" t="str">
        <f t="shared" ref="K33:Q33" si="19">K3</f>
        <v>Phosphoric acid</v>
      </c>
      <c r="L33" s="321" t="str">
        <f t="shared" si="19"/>
        <v>Acetic acid</v>
      </c>
      <c r="M33" s="321" t="str">
        <f t="shared" si="19"/>
        <v>HCl</v>
      </c>
      <c r="N33" s="321" t="str">
        <f t="shared" si="19"/>
        <v>Carbonic acid</v>
      </c>
      <c r="O33" s="321" t="str">
        <f t="shared" si="19"/>
        <v>Hydroxide ion</v>
      </c>
      <c r="P33" s="321" t="str">
        <f t="shared" si="19"/>
        <v>Ammonia</v>
      </c>
      <c r="Q33" s="1166" t="str">
        <f t="shared" si="19"/>
        <v>EDTA</v>
      </c>
      <c r="R33" s="84"/>
      <c r="S33" s="29"/>
      <c r="T33" s="568"/>
      <c r="U33" s="568"/>
      <c r="V33" s="568"/>
      <c r="W33" s="569"/>
      <c r="X33" s="568"/>
      <c r="Y33" s="568"/>
      <c r="Z33" s="29"/>
      <c r="AA33" s="1110" t="s">
        <v>1065</v>
      </c>
      <c r="AB33" s="1110"/>
      <c r="AC33" s="1110"/>
      <c r="AD33" s="1110"/>
      <c r="AE33" s="1110"/>
      <c r="AF33" s="1110"/>
      <c r="AG33" s="29"/>
      <c r="AH33" s="29"/>
    </row>
    <row r="34" spans="1:34" ht="15.75" customHeight="1">
      <c r="A34" s="524" t="s">
        <v>332</v>
      </c>
      <c r="B34" s="70">
        <v>5.1939777472468076E-7</v>
      </c>
      <c r="C34" s="70"/>
      <c r="D34" s="70"/>
      <c r="E34" s="70"/>
      <c r="F34" s="70">
        <v>1.1917248278989988E-9</v>
      </c>
      <c r="G34" s="70"/>
      <c r="H34" s="1164"/>
      <c r="I34" s="1165">
        <f>D24</f>
        <v>1.9999659776404572E-8</v>
      </c>
      <c r="J34" s="526" t="s">
        <v>524</v>
      </c>
      <c r="K34" s="73">
        <v>0.28190728488802269</v>
      </c>
      <c r="L34" s="73">
        <v>0.86876176679961636</v>
      </c>
      <c r="M34" s="73">
        <v>0.86876176679961636</v>
      </c>
      <c r="N34" s="73">
        <v>0.56964304525894338</v>
      </c>
      <c r="O34" s="73">
        <v>0.86876176679961636</v>
      </c>
      <c r="P34" s="73">
        <v>1</v>
      </c>
      <c r="Q34" s="1167">
        <v>0.10529583620496524</v>
      </c>
      <c r="R34" s="84"/>
      <c r="S34" s="84"/>
      <c r="T34" s="568"/>
      <c r="U34" s="568"/>
      <c r="V34" s="568"/>
      <c r="W34" s="569"/>
      <c r="X34" s="568"/>
      <c r="Y34" s="568"/>
      <c r="Z34" s="29"/>
      <c r="AA34" s="1110" t="s">
        <v>1066</v>
      </c>
      <c r="AB34" s="1110"/>
      <c r="AC34" s="1110"/>
      <c r="AD34" s="1110"/>
      <c r="AE34" s="1110"/>
      <c r="AF34" s="1110"/>
      <c r="AG34" s="29"/>
      <c r="AH34" s="29"/>
    </row>
    <row r="35" spans="1:34" ht="15.75" customHeight="1">
      <c r="A35" s="525" t="s">
        <v>333</v>
      </c>
      <c r="B35" s="70">
        <v>9.9983167580587843E-3</v>
      </c>
      <c r="C35" s="70"/>
      <c r="D35" s="70"/>
      <c r="E35" s="70"/>
      <c r="F35" s="70">
        <v>9.9999998808275189E-2</v>
      </c>
      <c r="G35" s="70"/>
      <c r="H35" s="570"/>
      <c r="I35" s="571"/>
      <c r="J35" s="527" t="s">
        <v>525</v>
      </c>
      <c r="K35" s="73">
        <v>0.56964304525894338</v>
      </c>
      <c r="L35" s="73">
        <v>1</v>
      </c>
      <c r="M35" s="73">
        <v>1</v>
      </c>
      <c r="N35" s="73">
        <v>0.86876176679961636</v>
      </c>
      <c r="O35" s="73">
        <v>1</v>
      </c>
      <c r="P35" s="73">
        <v>0.86876176679961636</v>
      </c>
      <c r="Q35" s="1167">
        <v>0.28190728488802269</v>
      </c>
      <c r="R35" s="84"/>
      <c r="S35" s="84"/>
      <c r="T35" s="568"/>
      <c r="U35" s="568"/>
      <c r="V35" s="568"/>
      <c r="W35" s="569"/>
      <c r="X35" s="568"/>
      <c r="Y35" s="568"/>
      <c r="Z35" s="29"/>
      <c r="AA35" s="1110" t="s">
        <v>1067</v>
      </c>
      <c r="AB35" s="1110"/>
      <c r="AC35" s="1110"/>
      <c r="AD35" s="1110"/>
      <c r="AE35" s="1110"/>
      <c r="AF35" s="1110"/>
      <c r="AG35" s="29"/>
      <c r="AH35" s="29"/>
    </row>
    <row r="36" spans="1:34" ht="15.75" customHeight="1">
      <c r="A36" s="525" t="s">
        <v>488</v>
      </c>
      <c r="B36" s="70">
        <v>1.8011600214128873E-3</v>
      </c>
      <c r="C36" s="70"/>
      <c r="D36" s="70"/>
      <c r="E36" s="70"/>
      <c r="F36" s="70"/>
      <c r="G36" s="70"/>
      <c r="H36" s="71"/>
      <c r="I36" s="543" t="s">
        <v>514</v>
      </c>
      <c r="J36" s="527" t="s">
        <v>526</v>
      </c>
      <c r="K36" s="73">
        <v>0.86876176679961636</v>
      </c>
      <c r="L36" s="73"/>
      <c r="M36" s="73"/>
      <c r="N36" s="73">
        <v>1</v>
      </c>
      <c r="O36" s="73"/>
      <c r="P36" s="73"/>
      <c r="Q36" s="1167">
        <v>0.56964304525894338</v>
      </c>
      <c r="R36" s="84"/>
      <c r="S36" s="84"/>
      <c r="T36" s="568"/>
      <c r="U36" s="568"/>
      <c r="V36" s="568"/>
      <c r="W36" s="569"/>
      <c r="X36" s="568"/>
      <c r="Y36" s="568"/>
      <c r="Z36" s="29"/>
      <c r="AA36" s="1110" t="s">
        <v>1068</v>
      </c>
      <c r="AB36" s="1110"/>
      <c r="AC36" s="1110"/>
      <c r="AD36" s="1110"/>
      <c r="AE36" s="1110"/>
      <c r="AF36" s="1110"/>
      <c r="AG36" s="29"/>
      <c r="AH36" s="29"/>
    </row>
    <row r="37" spans="1:34" ht="15.75" customHeight="1">
      <c r="A37" s="525" t="s">
        <v>490</v>
      </c>
      <c r="B37" s="70">
        <v>3.8227536025905218E-9</v>
      </c>
      <c r="C37" s="70"/>
      <c r="D37" s="70"/>
      <c r="E37" s="70"/>
      <c r="F37" s="70"/>
      <c r="G37" s="70"/>
      <c r="H37" s="570"/>
      <c r="I37" s="1188">
        <f>F24</f>
        <v>6.6707617854505524E-7</v>
      </c>
      <c r="J37" s="527" t="s">
        <v>527</v>
      </c>
      <c r="K37" s="73">
        <v>1</v>
      </c>
      <c r="L37" s="73"/>
      <c r="M37" s="73"/>
      <c r="N37" s="73"/>
      <c r="O37" s="73"/>
      <c r="P37" s="73"/>
      <c r="Q37" s="1167">
        <v>0.86876176679961636</v>
      </c>
      <c r="R37" s="84"/>
      <c r="S37" s="84"/>
      <c r="T37" s="568"/>
      <c r="U37" s="568"/>
      <c r="V37" s="568"/>
      <c r="W37" s="569"/>
      <c r="X37" s="568"/>
      <c r="Y37" s="568"/>
      <c r="Z37" s="29"/>
      <c r="AA37" s="1110"/>
      <c r="AB37" s="1110"/>
      <c r="AC37" s="1110"/>
      <c r="AD37" s="1110"/>
      <c r="AE37" s="1110"/>
      <c r="AF37" s="1110"/>
      <c r="AG37" s="29"/>
      <c r="AH37" s="29"/>
    </row>
    <row r="38" spans="1:34" ht="15.75" customHeight="1">
      <c r="A38" s="525" t="s">
        <v>315</v>
      </c>
      <c r="B38" s="70"/>
      <c r="C38" s="70"/>
      <c r="D38" s="70"/>
      <c r="E38" s="70"/>
      <c r="F38" s="70"/>
      <c r="G38" s="70"/>
      <c r="H38" s="570"/>
      <c r="I38" s="1189"/>
      <c r="J38" s="527" t="s">
        <v>528</v>
      </c>
      <c r="K38" s="73"/>
      <c r="L38" s="73"/>
      <c r="M38" s="73"/>
      <c r="N38" s="73"/>
      <c r="O38" s="73"/>
      <c r="P38" s="73"/>
      <c r="Q38" s="1167">
        <v>1</v>
      </c>
      <c r="R38" s="84"/>
      <c r="S38" s="84"/>
      <c r="T38" s="568"/>
      <c r="U38" s="568"/>
      <c r="V38" s="568"/>
      <c r="W38" s="569"/>
      <c r="X38" s="568"/>
      <c r="Y38" s="568"/>
      <c r="Z38" s="29"/>
      <c r="AA38" s="1110" t="s">
        <v>1044</v>
      </c>
      <c r="AB38" s="1110"/>
      <c r="AC38" s="1110"/>
      <c r="AD38" s="1110"/>
      <c r="AE38" s="1110"/>
      <c r="AF38" s="1110"/>
      <c r="AG38" s="29"/>
      <c r="AH38" s="29"/>
    </row>
    <row r="39" spans="1:34" ht="15.75" customHeight="1">
      <c r="A39" s="525" t="s">
        <v>494</v>
      </c>
      <c r="B39" s="70"/>
      <c r="C39" s="70"/>
      <c r="D39" s="70"/>
      <c r="E39" s="70"/>
      <c r="F39" s="70"/>
      <c r="G39" s="70"/>
      <c r="H39" s="570"/>
      <c r="I39" s="1190"/>
      <c r="J39" s="527" t="s">
        <v>529</v>
      </c>
      <c r="K39" s="73"/>
      <c r="L39" s="73"/>
      <c r="M39" s="73"/>
      <c r="N39" s="73"/>
      <c r="O39" s="73"/>
      <c r="P39" s="73"/>
      <c r="Q39" s="1167">
        <v>0.86876176679961636</v>
      </c>
      <c r="R39" s="84"/>
      <c r="S39" s="84"/>
      <c r="T39" s="26"/>
      <c r="U39" s="26"/>
      <c r="V39" s="26"/>
      <c r="W39" s="26"/>
      <c r="X39" s="26"/>
      <c r="Y39" s="26"/>
      <c r="Z39" s="29"/>
      <c r="AA39" s="1110" t="s">
        <v>1042</v>
      </c>
      <c r="AB39" s="1110"/>
      <c r="AC39" s="1110"/>
      <c r="AD39" s="1110"/>
      <c r="AE39" s="1110"/>
      <c r="AF39" s="1110"/>
      <c r="AG39" s="29"/>
      <c r="AH39" s="29"/>
    </row>
    <row r="40" spans="1:34" ht="15.75" customHeight="1">
      <c r="A40" s="525" t="s">
        <v>316</v>
      </c>
      <c r="B40" s="70"/>
      <c r="C40" s="70"/>
      <c r="D40" s="70"/>
      <c r="E40" s="70"/>
      <c r="F40" s="70"/>
      <c r="G40" s="70"/>
      <c r="H40" s="71"/>
      <c r="I40" s="544" t="s">
        <v>345</v>
      </c>
      <c r="J40" s="1255" t="s">
        <v>530</v>
      </c>
      <c r="K40" s="73"/>
      <c r="L40" s="73"/>
      <c r="M40" s="73"/>
      <c r="N40" s="73"/>
      <c r="O40" s="73"/>
      <c r="P40" s="73"/>
      <c r="Q40" s="1167">
        <v>0.56964304525894338</v>
      </c>
      <c r="R40" s="84"/>
      <c r="S40" s="84"/>
      <c r="T40" s="26"/>
      <c r="U40" s="26"/>
      <c r="V40" s="26"/>
      <c r="W40" s="26"/>
      <c r="X40" s="26"/>
      <c r="Y40" s="26"/>
      <c r="Z40" s="29"/>
      <c r="AA40" s="1110" t="s">
        <v>1069</v>
      </c>
      <c r="AB40" s="1110"/>
      <c r="AC40" s="1110"/>
      <c r="AD40" s="1110"/>
      <c r="AE40" s="1110"/>
      <c r="AF40" s="1110"/>
      <c r="AG40" s="29"/>
      <c r="AH40" s="29"/>
    </row>
    <row r="41" spans="1:34" ht="15.75" customHeight="1">
      <c r="A41" s="1256" t="s">
        <v>515</v>
      </c>
      <c r="B41" s="1257">
        <f>B34+B35+B36+B37+B38+B39+B40</f>
        <v>1.18E-2</v>
      </c>
      <c r="C41" s="1191">
        <f t="shared" ref="C41:H41" si="20">C34+C35+C36+C37+C38+C39+C40</f>
        <v>0</v>
      </c>
      <c r="D41" s="1191">
        <f t="shared" si="20"/>
        <v>0</v>
      </c>
      <c r="E41" s="1191">
        <f t="shared" si="20"/>
        <v>0</v>
      </c>
      <c r="F41" s="1191">
        <f t="shared" si="20"/>
        <v>0.10000000000000002</v>
      </c>
      <c r="G41" s="1191">
        <f t="shared" si="20"/>
        <v>0</v>
      </c>
      <c r="H41" s="1191">
        <f t="shared" si="20"/>
        <v>0</v>
      </c>
      <c r="I41" s="1192">
        <f>SUM(B41:H41)</f>
        <v>0.11180000000000002</v>
      </c>
      <c r="J41" s="1258"/>
      <c r="K41" s="1259"/>
      <c r="L41" s="1259"/>
      <c r="M41" s="1259"/>
      <c r="N41" s="1259"/>
      <c r="O41" s="1259"/>
      <c r="P41" s="1259"/>
      <c r="Q41" s="1260"/>
      <c r="R41" s="84"/>
      <c r="S41" s="84"/>
      <c r="T41" s="26"/>
      <c r="U41" s="26"/>
      <c r="V41" s="26"/>
      <c r="W41" s="26"/>
      <c r="X41" s="26"/>
      <c r="Y41" s="26"/>
      <c r="Z41" s="29"/>
      <c r="AA41" s="1110" t="s">
        <v>1070</v>
      </c>
      <c r="AB41" s="1110"/>
      <c r="AC41" s="1110"/>
      <c r="AD41" s="1110"/>
      <c r="AE41" s="1110"/>
      <c r="AF41" s="1110"/>
      <c r="AG41" s="29"/>
      <c r="AH41" s="29"/>
    </row>
    <row r="42" spans="1:34" ht="15.75" customHeight="1">
      <c r="A42" s="1261" t="s">
        <v>19</v>
      </c>
      <c r="B42" s="1262"/>
      <c r="C42" s="1262"/>
      <c r="D42" s="1263"/>
      <c r="E42" s="1264" t="s">
        <v>783</v>
      </c>
      <c r="F42" s="1162">
        <f>B23</f>
        <v>7.7600766948604045</v>
      </c>
      <c r="G42" s="1265" t="s">
        <v>764</v>
      </c>
      <c r="H42" s="1253">
        <f>$B$24</f>
        <v>7.698977392260363</v>
      </c>
      <c r="I42" s="1266"/>
      <c r="J42" s="1168" t="s">
        <v>591</v>
      </c>
      <c r="K42" s="86" t="str">
        <f t="shared" ref="K42:Q42" si="21">K11</f>
        <v>Na+</v>
      </c>
      <c r="L42" s="86" t="str">
        <f t="shared" si="21"/>
        <v>K+</v>
      </c>
      <c r="M42" s="86" t="str">
        <f t="shared" si="21"/>
        <v>Ca++</v>
      </c>
      <c r="N42" s="86" t="str">
        <f t="shared" si="21"/>
        <v>Cl-</v>
      </c>
      <c r="O42" s="86" t="str">
        <f t="shared" si="21"/>
        <v>NO3-</v>
      </c>
      <c r="P42" s="86" t="str">
        <f t="shared" si="21"/>
        <v>SO4=</v>
      </c>
      <c r="Q42" s="1169" t="str">
        <f t="shared" si="21"/>
        <v>ClO4-</v>
      </c>
      <c r="R42" s="84"/>
      <c r="S42" s="84"/>
      <c r="T42" s="26"/>
      <c r="U42" s="26"/>
      <c r="V42" s="26"/>
      <c r="W42" s="26"/>
      <c r="X42" s="26"/>
      <c r="Y42" s="26"/>
      <c r="Z42" s="29"/>
      <c r="AA42" s="1110" t="s">
        <v>1071</v>
      </c>
      <c r="AB42" s="1110"/>
      <c r="AC42" s="1110"/>
      <c r="AD42" s="1110"/>
      <c r="AE42" s="1110"/>
      <c r="AF42" s="1110"/>
      <c r="AG42" s="29"/>
      <c r="AH42" s="29"/>
    </row>
    <row r="43" spans="1:34" s="135" customFormat="1" ht="27.75" customHeight="1" thickBot="1">
      <c r="A43" s="942" t="s">
        <v>17</v>
      </c>
      <c r="B43" s="321" t="str">
        <f t="shared" ref="B43:H43" si="22">K3</f>
        <v>Phosphoric acid</v>
      </c>
      <c r="C43" s="321" t="str">
        <f t="shared" si="22"/>
        <v>Acetic acid</v>
      </c>
      <c r="D43" s="321" t="str">
        <f t="shared" si="22"/>
        <v>HCl</v>
      </c>
      <c r="E43" s="321" t="str">
        <f t="shared" si="22"/>
        <v>Carbonic acid</v>
      </c>
      <c r="F43" s="321" t="str">
        <f t="shared" si="22"/>
        <v>Hydroxide ion</v>
      </c>
      <c r="G43" s="321" t="str">
        <f t="shared" si="22"/>
        <v>Ammonia</v>
      </c>
      <c r="H43" s="539" t="str">
        <f t="shared" si="22"/>
        <v>EDTA</v>
      </c>
      <c r="I43" s="1171"/>
      <c r="J43" s="1267" t="s">
        <v>531</v>
      </c>
      <c r="K43" s="1228">
        <v>0.86876176679961636</v>
      </c>
      <c r="L43" s="1228">
        <v>0.86876176679961636</v>
      </c>
      <c r="M43" s="1228">
        <v>0.56964304525894338</v>
      </c>
      <c r="N43" s="1228">
        <v>0.86876176679961636</v>
      </c>
      <c r="O43" s="1228">
        <v>0.86876176679961636</v>
      </c>
      <c r="P43" s="1228">
        <v>0.56964304525894338</v>
      </c>
      <c r="Q43" s="1229">
        <v>0.86876176679961636</v>
      </c>
      <c r="R43" s="84"/>
      <c r="S43" s="1268"/>
      <c r="T43" s="134"/>
      <c r="U43" s="134"/>
      <c r="V43" s="134"/>
      <c r="W43" s="134"/>
      <c r="X43" s="134"/>
      <c r="Y43" s="134"/>
      <c r="Z43" s="29"/>
      <c r="AA43" s="1110" t="s">
        <v>1072</v>
      </c>
      <c r="AB43" s="1110"/>
      <c r="AC43" s="1110"/>
      <c r="AD43" s="1110"/>
      <c r="AE43" s="1110"/>
      <c r="AF43" s="1110"/>
      <c r="AG43" s="29"/>
      <c r="AH43" s="29"/>
    </row>
    <row r="44" spans="1:34" ht="15.75" customHeight="1" thickTop="1">
      <c r="A44" s="524" t="s">
        <v>516</v>
      </c>
      <c r="B44" s="81">
        <v>4.4016760569888201E-3</v>
      </c>
      <c r="C44" s="81">
        <v>99.913811458016028</v>
      </c>
      <c r="D44" s="81">
        <v>99.999999999999844</v>
      </c>
      <c r="E44" s="81">
        <v>0.39641542162994264</v>
      </c>
      <c r="F44" s="81">
        <v>1.1917248278989988E-6</v>
      </c>
      <c r="G44" s="81">
        <v>2.7718480767325211</v>
      </c>
      <c r="H44" s="545">
        <v>0.13698357021470958</v>
      </c>
      <c r="I44" s="542"/>
      <c r="J44" s="374"/>
      <c r="K44" s="373"/>
      <c r="L44" s="373"/>
      <c r="M44" s="373"/>
      <c r="N44" s="373"/>
      <c r="O44" s="373"/>
      <c r="P44" s="373"/>
      <c r="Q44" s="373"/>
      <c r="R44" s="84"/>
      <c r="S44" s="84"/>
      <c r="T44" s="26"/>
      <c r="U44" s="26"/>
      <c r="V44" s="26"/>
      <c r="W44" s="26"/>
      <c r="X44" s="134"/>
      <c r="Y44" s="134"/>
      <c r="Z44" s="29"/>
      <c r="AA44" s="1110" t="s">
        <v>1073</v>
      </c>
      <c r="AB44" s="1110"/>
      <c r="AC44" s="1110"/>
      <c r="AD44" s="1110"/>
      <c r="AE44" s="1110"/>
      <c r="AF44" s="1110"/>
      <c r="AG44" s="29"/>
      <c r="AH44" s="29"/>
    </row>
    <row r="45" spans="1:34" ht="15.75" customHeight="1">
      <c r="A45" s="525" t="s">
        <v>517</v>
      </c>
      <c r="B45" s="81">
        <v>84.731497949650716</v>
      </c>
      <c r="C45" s="81">
        <v>8.6188541983976144E-2</v>
      </c>
      <c r="D45" s="81">
        <v>1.5094683366315279E-13</v>
      </c>
      <c r="E45" s="81">
        <v>96.333191491731512</v>
      </c>
      <c r="F45" s="81">
        <v>99.99999880827518</v>
      </c>
      <c r="G45" s="81">
        <v>97.228151923267475</v>
      </c>
      <c r="H45" s="545">
        <v>95.256953484402999</v>
      </c>
      <c r="I45" s="542"/>
      <c r="J45" s="84"/>
      <c r="K45" s="84"/>
      <c r="L45" s="84"/>
      <c r="M45" s="84"/>
      <c r="N45" s="84"/>
      <c r="O45" s="84"/>
      <c r="P45" s="84"/>
      <c r="Q45" s="84"/>
      <c r="R45" s="84"/>
      <c r="S45" s="84"/>
      <c r="T45" s="26"/>
      <c r="U45" s="26"/>
      <c r="V45" s="26"/>
      <c r="W45" s="26"/>
      <c r="X45" s="134"/>
      <c r="Y45" s="134"/>
      <c r="Z45" s="29"/>
      <c r="AA45" s="1110" t="s">
        <v>1074</v>
      </c>
      <c r="AB45" s="1110"/>
      <c r="AC45" s="1110"/>
      <c r="AD45" s="1110"/>
      <c r="AE45" s="1110"/>
      <c r="AF45" s="1110"/>
      <c r="AG45" s="29"/>
      <c r="AH45" s="29"/>
    </row>
    <row r="46" spans="1:34" ht="15.75" customHeight="1">
      <c r="A46" s="525" t="s">
        <v>518</v>
      </c>
      <c r="B46" s="81">
        <v>15.264067978075316</v>
      </c>
      <c r="C46" s="81"/>
      <c r="D46" s="81"/>
      <c r="E46" s="81">
        <v>3.270393086638554</v>
      </c>
      <c r="F46" s="81"/>
      <c r="G46" s="81"/>
      <c r="H46" s="545">
        <v>4.6059953448734365</v>
      </c>
      <c r="I46" s="542"/>
      <c r="J46" s="84"/>
      <c r="K46" s="84"/>
      <c r="L46" s="84"/>
      <c r="M46" s="84"/>
      <c r="N46" s="84"/>
      <c r="O46" s="84"/>
      <c r="P46" s="84"/>
      <c r="Q46" s="84"/>
      <c r="R46" s="84"/>
      <c r="S46" s="84"/>
      <c r="T46" s="26"/>
      <c r="U46" s="26"/>
      <c r="V46" s="26"/>
      <c r="W46" s="26"/>
      <c r="X46" s="134"/>
      <c r="Y46" s="134"/>
      <c r="Z46" s="29"/>
      <c r="AA46" s="1110"/>
      <c r="AB46" s="1110"/>
      <c r="AC46" s="1110"/>
      <c r="AD46" s="1110"/>
      <c r="AE46" s="1110"/>
      <c r="AF46" s="1110"/>
      <c r="AG46" s="29"/>
      <c r="AH46" s="29"/>
    </row>
    <row r="47" spans="1:34" ht="15.75" customHeight="1">
      <c r="A47" s="525" t="s">
        <v>519</v>
      </c>
      <c r="B47" s="81">
        <v>3.2396216971106114E-5</v>
      </c>
      <c r="C47" s="81"/>
      <c r="D47" s="81"/>
      <c r="E47" s="81"/>
      <c r="F47" s="81"/>
      <c r="G47" s="81"/>
      <c r="H47" s="545">
        <v>6.7600343370535608E-5</v>
      </c>
      <c r="I47" s="542"/>
      <c r="J47" s="84"/>
      <c r="K47" s="84"/>
      <c r="L47" s="84"/>
      <c r="M47" s="84"/>
      <c r="N47" s="84"/>
      <c r="O47" s="84"/>
      <c r="P47" s="84"/>
      <c r="Q47" s="84"/>
      <c r="R47" s="84"/>
      <c r="S47" s="84"/>
      <c r="T47" s="26"/>
      <c r="U47" s="26"/>
      <c r="V47" s="26"/>
      <c r="W47" s="26"/>
      <c r="X47" s="134"/>
      <c r="Y47" s="134"/>
      <c r="Z47" s="29"/>
      <c r="AA47" s="29"/>
      <c r="AB47" s="29"/>
      <c r="AC47" s="29"/>
      <c r="AD47" s="29"/>
      <c r="AE47" s="29"/>
      <c r="AF47" s="29"/>
      <c r="AG47" s="29"/>
      <c r="AH47" s="29"/>
    </row>
    <row r="48" spans="1:34" ht="15.75" customHeight="1">
      <c r="A48" s="525" t="s">
        <v>520</v>
      </c>
      <c r="B48" s="81"/>
      <c r="C48" s="81"/>
      <c r="D48" s="81"/>
      <c r="E48" s="81"/>
      <c r="F48" s="81"/>
      <c r="G48" s="81"/>
      <c r="H48" s="545">
        <v>1.6549043951894715E-10</v>
      </c>
      <c r="I48" s="542"/>
      <c r="J48" s="84"/>
      <c r="K48" s="84"/>
      <c r="L48" s="84"/>
      <c r="M48" s="84"/>
      <c r="N48" s="84"/>
      <c r="O48" s="84"/>
      <c r="P48" s="84"/>
      <c r="Q48" s="84"/>
      <c r="R48" s="84"/>
      <c r="S48" s="84"/>
      <c r="T48" s="26"/>
      <c r="U48" s="26"/>
      <c r="V48" s="26"/>
      <c r="W48" s="26"/>
      <c r="X48" s="134"/>
      <c r="Y48" s="134"/>
      <c r="Z48" s="29"/>
      <c r="AA48" s="29"/>
      <c r="AB48" s="29"/>
      <c r="AC48" s="29"/>
      <c r="AD48" s="29"/>
      <c r="AE48" s="29"/>
      <c r="AF48" s="29"/>
      <c r="AG48" s="29"/>
      <c r="AH48" s="29"/>
    </row>
    <row r="49" spans="1:34" ht="15.75" customHeight="1">
      <c r="A49" s="525" t="s">
        <v>521</v>
      </c>
      <c r="B49" s="81"/>
      <c r="C49" s="81"/>
      <c r="D49" s="81"/>
      <c r="E49" s="81"/>
      <c r="F49" s="81"/>
      <c r="G49" s="81"/>
      <c r="H49" s="545">
        <v>1.0466356349146046E-16</v>
      </c>
      <c r="I49" s="542"/>
      <c r="J49" s="82"/>
      <c r="K49" s="83"/>
      <c r="L49" s="83"/>
      <c r="M49" s="80"/>
      <c r="N49" s="80"/>
      <c r="O49" s="80"/>
      <c r="P49" s="26"/>
      <c r="Q49" s="60"/>
      <c r="R49" s="60"/>
      <c r="S49" s="84"/>
      <c r="T49" s="26"/>
      <c r="U49" s="26"/>
      <c r="V49" s="26"/>
      <c r="W49" s="26"/>
      <c r="X49" s="134"/>
      <c r="Y49" s="134"/>
      <c r="Z49" s="29"/>
      <c r="AA49" s="29"/>
      <c r="AB49" s="29"/>
      <c r="AC49" s="29"/>
      <c r="AD49" s="29"/>
      <c r="AE49" s="29"/>
      <c r="AF49" s="29"/>
      <c r="AG49" s="29"/>
      <c r="AH49" s="29"/>
    </row>
    <row r="50" spans="1:34" ht="15.75" customHeight="1">
      <c r="A50" s="525" t="s">
        <v>522</v>
      </c>
      <c r="B50" s="81"/>
      <c r="C50" s="81"/>
      <c r="D50" s="81"/>
      <c r="E50" s="81"/>
      <c r="F50" s="81"/>
      <c r="G50" s="81"/>
      <c r="H50" s="545">
        <v>1.7100811708189239E-24</v>
      </c>
      <c r="I50" s="542"/>
      <c r="J50" s="82"/>
      <c r="K50" s="83"/>
      <c r="L50" s="83"/>
      <c r="M50" s="80"/>
      <c r="N50" s="80"/>
      <c r="O50" s="80"/>
      <c r="P50" s="26"/>
      <c r="Q50" s="60"/>
      <c r="R50" s="60"/>
      <c r="S50" s="84"/>
      <c r="T50" s="26"/>
      <c r="U50" s="26"/>
      <c r="V50" s="26"/>
      <c r="W50" s="26"/>
      <c r="X50" s="134"/>
      <c r="Y50" s="134"/>
      <c r="Z50" s="26"/>
      <c r="AA50" s="26"/>
      <c r="AB50" s="26"/>
      <c r="AC50" s="26"/>
      <c r="AD50" s="26"/>
      <c r="AE50" s="26"/>
      <c r="AF50" s="26"/>
      <c r="AG50" s="29"/>
      <c r="AH50" s="29"/>
    </row>
    <row r="51" spans="1:34" ht="14.25" thickBot="1">
      <c r="A51" s="1269" t="s">
        <v>523</v>
      </c>
      <c r="B51" s="1270">
        <f>B44+B45+B46+B47+B48+B49+B50</f>
        <v>99.999999999999986</v>
      </c>
      <c r="C51" s="1271">
        <f t="shared" ref="C51:H51" si="23">C44+C45+C46+C47+C48+C49+C50</f>
        <v>100</v>
      </c>
      <c r="D51" s="1271">
        <f t="shared" si="23"/>
        <v>100</v>
      </c>
      <c r="E51" s="1271">
        <f t="shared" si="23"/>
        <v>100</v>
      </c>
      <c r="F51" s="1271">
        <f t="shared" si="23"/>
        <v>100.00000000000001</v>
      </c>
      <c r="G51" s="1271">
        <f t="shared" si="23"/>
        <v>100</v>
      </c>
      <c r="H51" s="1272">
        <f t="shared" si="23"/>
        <v>100</v>
      </c>
      <c r="I51" s="1273"/>
      <c r="J51" s="82"/>
      <c r="K51" s="83"/>
      <c r="L51" s="83"/>
      <c r="M51" s="80"/>
      <c r="N51" s="80"/>
      <c r="O51" s="80"/>
      <c r="P51" s="26"/>
      <c r="Q51" s="60"/>
      <c r="R51" s="60"/>
      <c r="S51" s="84"/>
      <c r="T51" s="26"/>
      <c r="U51" s="26"/>
      <c r="V51" s="26"/>
      <c r="W51" s="26"/>
      <c r="X51" s="134"/>
      <c r="Y51" s="134"/>
      <c r="Z51" s="26"/>
      <c r="AA51" s="26"/>
      <c r="AB51" s="26"/>
      <c r="AC51" s="26"/>
      <c r="AD51" s="26"/>
      <c r="AE51" s="26"/>
      <c r="AF51" s="26"/>
      <c r="AG51" s="29"/>
      <c r="AH51" s="29"/>
    </row>
    <row r="52" spans="1:34" ht="15.75" customHeight="1" thickTop="1">
      <c r="A52" s="82"/>
      <c r="B52" s="82"/>
      <c r="C52" s="82"/>
      <c r="D52" s="82"/>
      <c r="E52" s="82"/>
      <c r="F52" s="82"/>
      <c r="G52" s="82"/>
      <c r="H52" s="82"/>
      <c r="I52" s="82"/>
      <c r="J52" s="82"/>
      <c r="K52" s="83"/>
      <c r="L52" s="83"/>
      <c r="M52" s="80"/>
      <c r="N52" s="80"/>
      <c r="O52" s="80"/>
      <c r="P52" s="26"/>
      <c r="Q52" s="60"/>
      <c r="R52" s="60"/>
      <c r="S52" s="84"/>
      <c r="T52" s="26"/>
      <c r="U52" s="26"/>
      <c r="V52" s="26"/>
      <c r="W52" s="26"/>
      <c r="X52" s="134"/>
      <c r="Y52" s="134"/>
      <c r="Z52" s="26"/>
      <c r="AA52" s="26"/>
      <c r="AB52" s="26"/>
      <c r="AC52" s="26"/>
      <c r="AD52" s="26"/>
      <c r="AE52" s="26"/>
      <c r="AF52" s="26"/>
      <c r="AG52" s="29"/>
      <c r="AH52" s="29"/>
    </row>
    <row r="53" spans="1:34" ht="13.5">
      <c r="A53" s="82"/>
      <c r="B53" s="82"/>
      <c r="C53" s="82"/>
      <c r="D53" s="82"/>
      <c r="E53" s="82"/>
      <c r="F53" s="82"/>
      <c r="G53" s="82"/>
      <c r="H53" s="82"/>
      <c r="I53" s="82"/>
      <c r="J53" s="82"/>
      <c r="K53" s="83"/>
      <c r="L53" s="83"/>
      <c r="M53" s="80"/>
      <c r="N53" s="80"/>
      <c r="O53" s="80"/>
      <c r="P53" s="26"/>
      <c r="Q53" s="60"/>
      <c r="R53" s="60"/>
      <c r="S53" s="84"/>
      <c r="T53" s="26"/>
      <c r="U53" s="26"/>
      <c r="V53" s="26"/>
      <c r="W53" s="26"/>
      <c r="X53" s="134"/>
      <c r="Y53" s="134"/>
      <c r="Z53" s="26"/>
      <c r="AA53" s="26"/>
      <c r="AB53" s="26"/>
      <c r="AC53" s="26"/>
      <c r="AD53" s="26"/>
      <c r="AE53" s="26"/>
      <c r="AF53" s="26"/>
      <c r="AG53" s="29"/>
      <c r="AH53" s="29"/>
    </row>
    <row r="54" spans="1:34" ht="13.5">
      <c r="A54" s="26"/>
      <c r="B54" s="26"/>
      <c r="C54" s="26"/>
      <c r="D54" s="26"/>
      <c r="E54" s="26"/>
      <c r="F54" s="26"/>
      <c r="G54" s="26"/>
      <c r="H54" s="26"/>
      <c r="I54" s="26"/>
      <c r="J54" s="82"/>
      <c r="K54" s="83"/>
      <c r="L54" s="83"/>
      <c r="M54" s="80"/>
      <c r="N54" s="80"/>
      <c r="O54" s="80"/>
      <c r="P54" s="26"/>
      <c r="Q54" s="60"/>
      <c r="R54" s="60"/>
      <c r="S54" s="84"/>
      <c r="T54" s="26"/>
      <c r="U54" s="26"/>
      <c r="V54" s="26"/>
      <c r="W54" s="26"/>
      <c r="X54" s="134"/>
      <c r="Y54" s="134"/>
      <c r="Z54" s="26"/>
      <c r="AA54" s="26"/>
      <c r="AB54" s="26"/>
      <c r="AC54" s="26"/>
      <c r="AD54" s="26"/>
      <c r="AE54" s="26"/>
      <c r="AF54" s="26"/>
      <c r="AG54" s="29"/>
      <c r="AH54" s="29"/>
    </row>
    <row r="55" spans="1:34">
      <c r="A55" s="26"/>
      <c r="B55" s="26"/>
      <c r="C55" s="26"/>
      <c r="D55" s="26"/>
      <c r="E55" s="26"/>
      <c r="F55" s="26"/>
      <c r="G55" s="26"/>
      <c r="H55" s="26"/>
      <c r="I55" s="26"/>
      <c r="J55" s="26"/>
      <c r="K55" s="26"/>
      <c r="L55" s="26"/>
      <c r="M55" s="26"/>
      <c r="N55" s="26"/>
      <c r="O55" s="26"/>
      <c r="P55" s="26"/>
      <c r="Q55" s="26"/>
      <c r="R55" s="26"/>
      <c r="S55" s="26"/>
      <c r="T55" s="26"/>
      <c r="U55" s="26"/>
      <c r="V55" s="26"/>
      <c r="W55" s="26"/>
      <c r="X55" s="26"/>
      <c r="Y55" s="26"/>
      <c r="Z55" s="26"/>
      <c r="AA55" s="26"/>
      <c r="AB55" s="26"/>
      <c r="AC55" s="26"/>
      <c r="AD55" s="26"/>
      <c r="AE55" s="26"/>
      <c r="AF55" s="26"/>
      <c r="AG55" s="29"/>
      <c r="AH55" s="29"/>
    </row>
  </sheetData>
  <protectedRanges>
    <protectedRange sqref="A22" name="Intervalo4_2_1"/>
    <protectedRange sqref="A33" name="Intervalo4_4_1"/>
    <protectedRange sqref="A32" name="Intervalo4_5_1"/>
    <protectedRange sqref="J23:J24" name="Intervalo4_6_1"/>
    <protectedRange sqref="A42:A43" name="Intervalo4_7_1"/>
    <protectedRange sqref="J32:J33" name="Intervalo4_8_1"/>
    <protectedRange sqref="A28:A29" name="Intervalo4_9_1"/>
    <protectedRange sqref="R23:R24" name="Intervalo4_10_1"/>
    <protectedRange sqref="J22" name="Intervalo4_3_1_1"/>
  </protectedRanges>
  <phoneticPr fontId="0" type="noConversion"/>
  <pageMargins left="0.78740157499999996" right="0.78740157499999996" top="0.984251969" bottom="0.984251969" header="0.49212598499999999" footer="0.49212598499999999"/>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45409" r:id="rId4" name="Button 1">
              <controlPr defaultSize="0" print="0" autoFill="0" autoPict="0" macro="[0]!Calc_pH">
                <anchor moveWithCells="1" sizeWithCells="1">
                  <from>
                    <xdr:col>1</xdr:col>
                    <xdr:colOff>0</xdr:colOff>
                    <xdr:row>18</xdr:row>
                    <xdr:rowOff>0</xdr:rowOff>
                  </from>
                  <to>
                    <xdr:col>4</xdr:col>
                    <xdr:colOff>676275</xdr:colOff>
                    <xdr:row>20</xdr:row>
                    <xdr:rowOff>57150</xdr:rowOff>
                  </to>
                </anchor>
              </controlPr>
            </control>
          </mc:Choice>
        </mc:AlternateContent>
        <mc:AlternateContent xmlns:mc="http://schemas.openxmlformats.org/markup-compatibility/2006">
          <mc:Choice Requires="x14">
            <control shapeId="145942" r:id="rId5" name="Drop Down 534">
              <controlPr defaultSize="0" autoLine="0" autoPict="0">
                <anchor moveWithCells="1">
                  <from>
                    <xdr:col>10</xdr:col>
                    <xdr:colOff>0</xdr:colOff>
                    <xdr:row>1</xdr:row>
                    <xdr:rowOff>0</xdr:rowOff>
                  </from>
                  <to>
                    <xdr:col>11</xdr:col>
                    <xdr:colOff>638175</xdr:colOff>
                    <xdr:row>2</xdr:row>
                    <xdr:rowOff>0</xdr:rowOff>
                  </to>
                </anchor>
              </controlPr>
            </control>
          </mc:Choice>
        </mc:AlternateContent>
        <mc:AlternateContent xmlns:mc="http://schemas.openxmlformats.org/markup-compatibility/2006">
          <mc:Choice Requires="x14">
            <control shapeId="145943" r:id="rId6" name="Drop Down 535">
              <controlPr defaultSize="0" autoLine="0" autoPict="0">
                <anchor moveWithCells="1">
                  <from>
                    <xdr:col>11</xdr:col>
                    <xdr:colOff>0</xdr:colOff>
                    <xdr:row>1</xdr:row>
                    <xdr:rowOff>0</xdr:rowOff>
                  </from>
                  <to>
                    <xdr:col>12</xdr:col>
                    <xdr:colOff>847725</xdr:colOff>
                    <xdr:row>2</xdr:row>
                    <xdr:rowOff>0</xdr:rowOff>
                  </to>
                </anchor>
              </controlPr>
            </control>
          </mc:Choice>
        </mc:AlternateContent>
        <mc:AlternateContent xmlns:mc="http://schemas.openxmlformats.org/markup-compatibility/2006">
          <mc:Choice Requires="x14">
            <control shapeId="145944" r:id="rId7" name="Drop Down 536">
              <controlPr defaultSize="0" autoLine="0" autoPict="0">
                <anchor moveWithCells="1">
                  <from>
                    <xdr:col>12</xdr:col>
                    <xdr:colOff>0</xdr:colOff>
                    <xdr:row>1</xdr:row>
                    <xdr:rowOff>0</xdr:rowOff>
                  </from>
                  <to>
                    <xdr:col>13</xdr:col>
                    <xdr:colOff>866775</xdr:colOff>
                    <xdr:row>2</xdr:row>
                    <xdr:rowOff>0</xdr:rowOff>
                  </to>
                </anchor>
              </controlPr>
            </control>
          </mc:Choice>
        </mc:AlternateContent>
        <mc:AlternateContent xmlns:mc="http://schemas.openxmlformats.org/markup-compatibility/2006">
          <mc:Choice Requires="x14">
            <control shapeId="145945" r:id="rId8" name="Drop Down 537">
              <controlPr defaultSize="0" autoLine="0" autoPict="0">
                <anchor moveWithCells="1">
                  <from>
                    <xdr:col>13</xdr:col>
                    <xdr:colOff>0</xdr:colOff>
                    <xdr:row>1</xdr:row>
                    <xdr:rowOff>0</xdr:rowOff>
                  </from>
                  <to>
                    <xdr:col>14</xdr:col>
                    <xdr:colOff>457200</xdr:colOff>
                    <xdr:row>2</xdr:row>
                    <xdr:rowOff>0</xdr:rowOff>
                  </to>
                </anchor>
              </controlPr>
            </control>
          </mc:Choice>
        </mc:AlternateContent>
        <mc:AlternateContent xmlns:mc="http://schemas.openxmlformats.org/markup-compatibility/2006">
          <mc:Choice Requires="x14">
            <control shapeId="145946" r:id="rId9" name="Drop Down 538">
              <controlPr defaultSize="0" autoLine="0" autoPict="0">
                <anchor moveWithCells="1">
                  <from>
                    <xdr:col>14</xdr:col>
                    <xdr:colOff>0</xdr:colOff>
                    <xdr:row>1</xdr:row>
                    <xdr:rowOff>0</xdr:rowOff>
                  </from>
                  <to>
                    <xdr:col>15</xdr:col>
                    <xdr:colOff>866775</xdr:colOff>
                    <xdr:row>2</xdr:row>
                    <xdr:rowOff>0</xdr:rowOff>
                  </to>
                </anchor>
              </controlPr>
            </control>
          </mc:Choice>
        </mc:AlternateContent>
        <mc:AlternateContent xmlns:mc="http://schemas.openxmlformats.org/markup-compatibility/2006">
          <mc:Choice Requires="x14">
            <control shapeId="145947" r:id="rId10" name="Drop Down 539">
              <controlPr defaultSize="0" autoLine="0" autoPict="0">
                <anchor moveWithCells="1">
                  <from>
                    <xdr:col>15</xdr:col>
                    <xdr:colOff>0</xdr:colOff>
                    <xdr:row>1</xdr:row>
                    <xdr:rowOff>0</xdr:rowOff>
                  </from>
                  <to>
                    <xdr:col>16</xdr:col>
                    <xdr:colOff>457200</xdr:colOff>
                    <xdr:row>2</xdr:row>
                    <xdr:rowOff>0</xdr:rowOff>
                  </to>
                </anchor>
              </controlPr>
            </control>
          </mc:Choice>
        </mc:AlternateContent>
        <mc:AlternateContent xmlns:mc="http://schemas.openxmlformats.org/markup-compatibility/2006">
          <mc:Choice Requires="x14">
            <control shapeId="145948" r:id="rId11" name="Drop Down 540">
              <controlPr defaultSize="0" autoLine="0" autoPict="0">
                <anchor moveWithCells="1">
                  <from>
                    <xdr:col>16</xdr:col>
                    <xdr:colOff>0</xdr:colOff>
                    <xdr:row>1</xdr:row>
                    <xdr:rowOff>0</xdr:rowOff>
                  </from>
                  <to>
                    <xdr:col>17</xdr:col>
                    <xdr:colOff>228600</xdr:colOff>
                    <xdr:row>2</xdr:row>
                    <xdr:rowOff>0</xdr:rowOff>
                  </to>
                </anchor>
              </controlPr>
            </control>
          </mc:Choice>
        </mc:AlternateContent>
        <mc:AlternateContent xmlns:mc="http://schemas.openxmlformats.org/markup-compatibility/2006">
          <mc:Choice Requires="x14">
            <control shapeId="145956" r:id="rId12" name="Button 548">
              <controlPr defaultSize="0" print="0" autoFill="0" autoPict="0" macro="[0]!pH_Copy_pKas">
                <anchor moveWithCells="1" sizeWithCells="1">
                  <from>
                    <xdr:col>9</xdr:col>
                    <xdr:colOff>57150</xdr:colOff>
                    <xdr:row>0</xdr:row>
                    <xdr:rowOff>57150</xdr:rowOff>
                  </from>
                  <to>
                    <xdr:col>9</xdr:col>
                    <xdr:colOff>1104900</xdr:colOff>
                    <xdr:row>2</xdr:row>
                    <xdr:rowOff>85725</xdr:rowOff>
                  </to>
                </anchor>
              </controlPr>
            </control>
          </mc:Choice>
        </mc:AlternateContent>
        <mc:AlternateContent xmlns:mc="http://schemas.openxmlformats.org/markup-compatibility/2006">
          <mc:Choice Requires="x14">
            <control shapeId="146009" r:id="rId13" name="Button 601">
              <controlPr defaultSize="0" print="0" autoFill="0" autoPict="0" macro="[0]!Result_pH">
                <anchor moveWithCells="1" sizeWithCells="1">
                  <from>
                    <xdr:col>5</xdr:col>
                    <xdr:colOff>257175</xdr:colOff>
                    <xdr:row>17</xdr:row>
                    <xdr:rowOff>114300</xdr:rowOff>
                  </from>
                  <to>
                    <xdr:col>7</xdr:col>
                    <xdr:colOff>619125</xdr:colOff>
                    <xdr:row>20</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ilha2"/>
  <dimension ref="A1:AQ4"/>
  <sheetViews>
    <sheetView zoomScale="85" zoomScaleNormal="85" workbookViewId="0"/>
  </sheetViews>
  <sheetFormatPr defaultRowHeight="12.75"/>
  <cols>
    <col min="1" max="1" width="16.7109375" customWidth="1"/>
    <col min="2" max="9" width="12.7109375" customWidth="1"/>
    <col min="10" max="10" width="14.5703125" customWidth="1"/>
    <col min="11" max="18" width="12.7109375" customWidth="1"/>
    <col min="19" max="19" width="17" customWidth="1"/>
    <col min="20" max="26" width="15.7109375" customWidth="1"/>
  </cols>
  <sheetData>
    <row r="1" spans="1:43" ht="24" customHeight="1">
      <c r="A1" s="1368"/>
      <c r="B1" s="1368" t="s">
        <v>547</v>
      </c>
      <c r="C1" s="1369" t="s">
        <v>1157</v>
      </c>
      <c r="D1" s="361"/>
      <c r="E1" s="361"/>
      <c r="F1" s="361"/>
      <c r="G1" s="1370"/>
      <c r="H1" s="361"/>
      <c r="I1" s="361"/>
      <c r="J1" s="361"/>
      <c r="K1" s="361"/>
      <c r="L1" s="361"/>
      <c r="M1" s="361"/>
      <c r="N1" s="361"/>
      <c r="O1" s="361"/>
      <c r="P1" s="361"/>
      <c r="Q1" s="361"/>
      <c r="R1" s="361"/>
      <c r="S1" s="26"/>
      <c r="T1" s="26"/>
      <c r="U1" s="26"/>
      <c r="V1" s="26"/>
      <c r="W1" s="26"/>
      <c r="X1" s="26"/>
      <c r="Y1" s="26"/>
      <c r="Z1" s="26"/>
      <c r="AA1" s="26"/>
      <c r="AB1" s="26"/>
      <c r="AC1" s="26"/>
      <c r="AD1" s="26"/>
      <c r="AE1" s="26"/>
      <c r="AF1" s="26"/>
      <c r="AG1" s="26"/>
      <c r="AH1" s="26"/>
      <c r="AI1" s="26"/>
      <c r="AJ1" s="26"/>
      <c r="AK1" s="26"/>
      <c r="AL1" s="26"/>
      <c r="AM1" s="26"/>
      <c r="AN1" s="26"/>
      <c r="AO1" s="26"/>
      <c r="AP1" s="26"/>
      <c r="AQ1" s="26"/>
    </row>
    <row r="2" spans="1:43" ht="20.100000000000001" customHeight="1">
      <c r="A2" s="26"/>
      <c r="B2" s="26"/>
      <c r="C2" s="26"/>
      <c r="D2" s="26"/>
      <c r="E2" s="26"/>
      <c r="F2" s="26"/>
      <c r="G2" s="26"/>
      <c r="H2" s="26"/>
      <c r="I2" s="26"/>
      <c r="J2" s="26"/>
      <c r="K2" s="26"/>
      <c r="L2" s="26"/>
      <c r="M2" s="26"/>
      <c r="N2" s="26"/>
      <c r="O2" s="26"/>
      <c r="P2" s="26"/>
      <c r="Q2" s="26"/>
      <c r="R2" s="26"/>
      <c r="S2" s="26"/>
      <c r="T2" s="26"/>
      <c r="U2" s="26"/>
      <c r="V2" s="26"/>
      <c r="W2" s="26"/>
      <c r="X2" s="26"/>
      <c r="Y2" s="26"/>
      <c r="Z2" s="26"/>
      <c r="AA2" s="26"/>
      <c r="AB2" s="26"/>
      <c r="AC2" s="26"/>
      <c r="AD2" s="26"/>
      <c r="AE2" s="26"/>
      <c r="AF2" s="26"/>
      <c r="AG2" s="26"/>
      <c r="AH2" s="26"/>
      <c r="AI2" s="26"/>
      <c r="AJ2" s="26"/>
      <c r="AK2" s="26"/>
      <c r="AL2" s="26"/>
      <c r="AM2" s="26"/>
      <c r="AN2" s="26"/>
      <c r="AO2" s="26"/>
      <c r="AP2" s="26"/>
      <c r="AQ2" s="26"/>
    </row>
    <row r="3" spans="1:43" ht="20.100000000000001" customHeight="1">
      <c r="A3" s="26"/>
      <c r="B3" s="26"/>
      <c r="C3" s="26"/>
      <c r="D3" s="26"/>
      <c r="E3" s="26"/>
      <c r="F3" s="26"/>
      <c r="G3" s="26"/>
      <c r="H3" s="26"/>
      <c r="I3" s="26"/>
      <c r="J3" s="26"/>
      <c r="K3" s="26"/>
      <c r="L3" s="26"/>
      <c r="M3" s="26"/>
      <c r="N3" s="26"/>
      <c r="O3" s="26"/>
      <c r="P3" s="26"/>
      <c r="Q3" s="26"/>
      <c r="R3" s="26"/>
      <c r="S3" s="26"/>
      <c r="T3" s="26"/>
      <c r="U3" s="26"/>
      <c r="V3" s="26"/>
      <c r="W3" s="26"/>
      <c r="X3" s="26"/>
      <c r="Y3" s="26"/>
      <c r="Z3" s="26"/>
      <c r="AA3" s="26"/>
      <c r="AB3" s="26"/>
      <c r="AC3" s="26"/>
      <c r="AD3" s="26"/>
      <c r="AE3" s="26"/>
      <c r="AF3" s="26"/>
      <c r="AG3" s="26"/>
      <c r="AH3" s="26"/>
      <c r="AI3" s="26"/>
      <c r="AJ3" s="26"/>
      <c r="AK3" s="26"/>
      <c r="AL3" s="26"/>
      <c r="AM3" s="26"/>
      <c r="AN3" s="26"/>
      <c r="AO3" s="26"/>
      <c r="AP3" s="26"/>
      <c r="AQ3" s="26"/>
    </row>
    <row r="4" spans="1:43" ht="20.100000000000001" customHeight="1">
      <c r="A4" s="94"/>
      <c r="B4" s="1371" t="s">
        <v>1156</v>
      </c>
      <c r="C4" s="26"/>
      <c r="D4" s="26"/>
      <c r="E4" s="26"/>
      <c r="F4" s="26"/>
      <c r="G4" s="26"/>
      <c r="H4" s="26"/>
      <c r="I4" s="26"/>
      <c r="J4" s="26"/>
      <c r="K4" s="26"/>
      <c r="L4" s="26"/>
      <c r="M4" s="26"/>
      <c r="N4" s="26"/>
      <c r="O4" s="26"/>
      <c r="P4" s="26"/>
      <c r="Q4" s="26"/>
      <c r="R4" s="26"/>
      <c r="S4" s="26"/>
      <c r="T4" s="26"/>
      <c r="U4" s="26"/>
      <c r="V4" s="26"/>
      <c r="W4" s="26"/>
      <c r="X4" s="26"/>
      <c r="Y4" s="26"/>
      <c r="Z4" s="26"/>
      <c r="AA4" s="26"/>
      <c r="AB4" s="26"/>
      <c r="AC4" s="26"/>
      <c r="AD4" s="26"/>
      <c r="AE4" s="26"/>
      <c r="AF4" s="26"/>
      <c r="AG4" s="26"/>
      <c r="AH4" s="26"/>
      <c r="AI4" s="26"/>
      <c r="AJ4" s="26"/>
      <c r="AK4" s="26"/>
      <c r="AL4" s="26"/>
      <c r="AM4" s="26"/>
      <c r="AN4" s="26"/>
      <c r="AO4" s="26"/>
      <c r="AP4" s="26"/>
      <c r="AQ4" s="26"/>
    </row>
  </sheetData>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5540865" r:id="rId3" name="Button 1">
              <controlPr defaultSize="0" print="0" autoFill="0" autoPict="0" macro="[0]!Result_pH">
                <anchor moveWithCells="1" sizeWithCells="1">
                  <from>
                    <xdr:col>2</xdr:col>
                    <xdr:colOff>0</xdr:colOff>
                    <xdr:row>1</xdr:row>
                    <xdr:rowOff>66675</xdr:rowOff>
                  </from>
                  <to>
                    <xdr:col>5</xdr:col>
                    <xdr:colOff>571500</xdr:colOff>
                    <xdr:row>2</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6"/>
  <dimension ref="A1:AN164"/>
  <sheetViews>
    <sheetView zoomScale="85" zoomScaleNormal="85" workbookViewId="0">
      <selection activeCell="B15" sqref="B15"/>
    </sheetView>
  </sheetViews>
  <sheetFormatPr defaultRowHeight="12.75"/>
  <cols>
    <col min="1" max="1" width="14.7109375" customWidth="1"/>
    <col min="2" max="9" width="11.7109375" customWidth="1"/>
    <col min="10" max="10" width="15.5703125" customWidth="1"/>
    <col min="11" max="20" width="15.7109375" customWidth="1"/>
    <col min="21" max="31" width="12.7109375" customWidth="1"/>
    <col min="32" max="32" width="20.7109375" customWidth="1"/>
    <col min="33" max="39" width="12.7109375" customWidth="1"/>
  </cols>
  <sheetData>
    <row r="1" spans="1:40" ht="24" customHeight="1">
      <c r="A1" s="399"/>
      <c r="B1" s="88"/>
      <c r="C1" s="88" t="s">
        <v>851</v>
      </c>
      <c r="D1" s="208"/>
      <c r="E1" s="208"/>
      <c r="F1" s="208"/>
      <c r="G1" s="208"/>
      <c r="H1" s="531" t="s">
        <v>748</v>
      </c>
      <c r="I1" s="208"/>
      <c r="J1" s="319"/>
      <c r="K1" s="353" t="s">
        <v>824</v>
      </c>
      <c r="L1" s="213"/>
      <c r="M1" s="213"/>
      <c r="N1" s="400" t="s">
        <v>642</v>
      </c>
      <c r="O1" s="400"/>
      <c r="P1" s="400"/>
      <c r="Q1" s="213"/>
      <c r="R1" s="213"/>
      <c r="S1" s="213"/>
      <c r="T1" s="216"/>
      <c r="U1" s="748" t="s">
        <v>831</v>
      </c>
      <c r="V1" s="214"/>
      <c r="W1" s="215"/>
      <c r="X1" s="215"/>
      <c r="Y1" s="215"/>
      <c r="Z1" s="101"/>
      <c r="AA1" s="101"/>
      <c r="AB1" s="429" t="s">
        <v>486</v>
      </c>
      <c r="AC1" s="303"/>
      <c r="AD1" s="302"/>
      <c r="AE1" s="304"/>
      <c r="AF1" s="319" t="s">
        <v>825</v>
      </c>
      <c r="AG1" s="213"/>
      <c r="AH1" s="213"/>
      <c r="AI1" s="213"/>
      <c r="AJ1" s="213"/>
      <c r="AK1" s="213"/>
      <c r="AL1" s="213"/>
      <c r="AM1" s="216"/>
      <c r="AN1" s="57"/>
    </row>
    <row r="2" spans="1:40" ht="18" customHeight="1" thickBot="1">
      <c r="A2" s="719" t="s">
        <v>1083</v>
      </c>
      <c r="B2" s="720"/>
      <c r="C2" s="720"/>
      <c r="D2" s="720"/>
      <c r="E2" s="720"/>
      <c r="F2" s="720"/>
      <c r="G2" s="721"/>
      <c r="H2" s="720"/>
      <c r="I2" s="722"/>
      <c r="J2" s="27"/>
      <c r="K2" s="355">
        <v>8</v>
      </c>
      <c r="L2" s="354">
        <v>3</v>
      </c>
      <c r="M2" s="354">
        <v>1</v>
      </c>
      <c r="N2" s="354">
        <v>260</v>
      </c>
      <c r="O2" s="354">
        <v>2</v>
      </c>
      <c r="P2" s="354">
        <v>7</v>
      </c>
      <c r="Q2" s="354">
        <v>103</v>
      </c>
      <c r="R2" s="195"/>
      <c r="S2" s="197" t="s">
        <v>605</v>
      </c>
      <c r="T2" s="751"/>
      <c r="U2" s="101"/>
      <c r="V2" s="195" t="s">
        <v>602</v>
      </c>
      <c r="W2" s="199"/>
      <c r="X2" s="49"/>
      <c r="Y2" s="49"/>
      <c r="Z2" s="196"/>
      <c r="AA2" s="197"/>
      <c r="AB2" s="198"/>
      <c r="AC2" s="195" t="s">
        <v>605</v>
      </c>
      <c r="AD2" s="198"/>
      <c r="AE2" s="200"/>
      <c r="AF2" s="205"/>
      <c r="AG2" s="937" t="s">
        <v>826</v>
      </c>
      <c r="AH2" s="938" t="s">
        <v>686</v>
      </c>
      <c r="AI2" s="939"/>
      <c r="AJ2" s="939"/>
      <c r="AK2" s="940"/>
      <c r="AL2" s="941"/>
      <c r="AM2" s="751"/>
      <c r="AN2" s="26"/>
    </row>
    <row r="3" spans="1:40" ht="39" thickTop="1">
      <c r="A3" s="1020" t="s">
        <v>1014</v>
      </c>
      <c r="B3" s="1298" t="str">
        <f t="shared" ref="B3:H3" si="0">K3</f>
        <v>Phosphoric acid</v>
      </c>
      <c r="C3" s="1298" t="str">
        <f t="shared" si="0"/>
        <v>Carbonic acid</v>
      </c>
      <c r="D3" s="1298" t="str">
        <f t="shared" si="0"/>
        <v>Acetic acid</v>
      </c>
      <c r="E3" s="1298" t="str">
        <f t="shared" si="0"/>
        <v>Methyl Orange (pKa 3.5)</v>
      </c>
      <c r="F3" s="1298" t="str">
        <f t="shared" si="0"/>
        <v>Ammonia</v>
      </c>
      <c r="G3" s="1298" t="str">
        <f t="shared" si="0"/>
        <v>Hydroxide ion</v>
      </c>
      <c r="H3" s="1299" t="str">
        <f t="shared" si="0"/>
        <v>Glycine</v>
      </c>
      <c r="I3" s="560"/>
      <c r="J3" s="362" t="s">
        <v>593</v>
      </c>
      <c r="K3" s="261" t="s">
        <v>125</v>
      </c>
      <c r="L3" s="261" t="s">
        <v>159</v>
      </c>
      <c r="M3" s="261" t="s">
        <v>127</v>
      </c>
      <c r="N3" s="261" t="s">
        <v>951</v>
      </c>
      <c r="O3" s="261" t="s">
        <v>128</v>
      </c>
      <c r="P3" s="261" t="s">
        <v>623</v>
      </c>
      <c r="Q3" s="261" t="s">
        <v>185</v>
      </c>
      <c r="R3" s="267" t="s">
        <v>637</v>
      </c>
      <c r="S3" s="268" t="s">
        <v>638</v>
      </c>
      <c r="T3" s="752" t="s">
        <v>607</v>
      </c>
      <c r="U3" s="749" t="s">
        <v>593</v>
      </c>
      <c r="V3" s="687" t="str">
        <f t="shared" ref="V3:AB4" si="1">IF(K3="","",K3)</f>
        <v>Phosphoric acid</v>
      </c>
      <c r="W3" s="687" t="str">
        <f t="shared" si="1"/>
        <v>Carbonic acid</v>
      </c>
      <c r="X3" s="687" t="str">
        <f t="shared" si="1"/>
        <v>Acetic acid</v>
      </c>
      <c r="Y3" s="687" t="str">
        <f t="shared" si="1"/>
        <v>Methyl Orange (pKa 3.5)</v>
      </c>
      <c r="Z3" s="687" t="str">
        <f t="shared" si="1"/>
        <v>Ammonia</v>
      </c>
      <c r="AA3" s="687" t="str">
        <f t="shared" si="1"/>
        <v>Hydroxide ion</v>
      </c>
      <c r="AB3" s="687" t="str">
        <f t="shared" si="1"/>
        <v>Glycine</v>
      </c>
      <c r="AC3" s="192" t="str">
        <f>R3</f>
        <v>Strong ACID</v>
      </c>
      <c r="AD3" s="193" t="str">
        <f>S3</f>
        <v>Strong BASE</v>
      </c>
      <c r="AE3" s="194" t="str">
        <f>T3</f>
        <v>Carbonic ac.</v>
      </c>
      <c r="AF3" s="942" t="s">
        <v>593</v>
      </c>
      <c r="AG3" s="210" t="str">
        <f>IF(VLOOKUP(K$2,Database!$B$22:$N$301,2)="","",VLOOKUP(K$2,Database!$B$22:$N$301,2))</f>
        <v>Phosphoric acid</v>
      </c>
      <c r="AH3" s="210" t="str">
        <f>IF(VLOOKUP(L$2,Database!$B$22:$N$301,2)="","",VLOOKUP(L$2,Database!$B$22:$N$301,2))</f>
        <v>Carbonic acid</v>
      </c>
      <c r="AI3" s="210" t="str">
        <f>IF(VLOOKUP(M$2,Database!$B$22:$N$301,2)="","",VLOOKUP(M$2,Database!$B$22:$N$301,2))</f>
        <v>Acetic acid</v>
      </c>
      <c r="AJ3" s="210" t="str">
        <f>IF(VLOOKUP(N$2,Database!$B$22:$N$301,2)="","",VLOOKUP(N$2,Database!$B$22:$N$301,2))</f>
        <v>Methyl Orange (pKa 3.5)</v>
      </c>
      <c r="AK3" s="210" t="str">
        <f>IF(VLOOKUP(O$2,Database!$B$22:$N$301,2)="","",VLOOKUP(O$2,Database!$B$22:$N$301,2))</f>
        <v>Ammonia</v>
      </c>
      <c r="AL3" s="210" t="str">
        <f>IF(VLOOKUP(P$2,Database!$B$22:$N$301,2)="","",VLOOKUP(P$2,Database!$B$22:$N$301,2))</f>
        <v>Hydroxide ion</v>
      </c>
      <c r="AM3" s="231" t="str">
        <f>IF(VLOOKUP(Q$2,Database!$B$22:$N$301,2)="","",VLOOKUP(Q$2,Database!$B$22:$N$301,2))</f>
        <v>Glycine</v>
      </c>
      <c r="AN3" s="134"/>
    </row>
    <row r="4" spans="1:40" ht="15" customHeight="1" thickBot="1">
      <c r="A4" s="1294" t="s">
        <v>332</v>
      </c>
      <c r="B4" s="1301"/>
      <c r="C4" s="1382"/>
      <c r="D4" s="1382"/>
      <c r="E4" s="1382"/>
      <c r="F4" s="1305"/>
      <c r="G4" s="1382"/>
      <c r="H4" s="1383"/>
      <c r="I4" s="560"/>
      <c r="J4" s="943" t="s">
        <v>594</v>
      </c>
      <c r="K4" s="1237">
        <v>-3</v>
      </c>
      <c r="L4" s="1237">
        <v>-2</v>
      </c>
      <c r="M4" s="1237">
        <v>-1</v>
      </c>
      <c r="N4" s="1237">
        <v>-2</v>
      </c>
      <c r="O4" s="1237">
        <v>0</v>
      </c>
      <c r="P4" s="1237">
        <v>-1</v>
      </c>
      <c r="Q4" s="1237">
        <v>-1</v>
      </c>
      <c r="R4" s="1238">
        <v>-1</v>
      </c>
      <c r="S4" s="1239">
        <v>-1</v>
      </c>
      <c r="T4" s="1240">
        <v>-2</v>
      </c>
      <c r="U4" s="750" t="s">
        <v>594</v>
      </c>
      <c r="V4" s="688">
        <f t="shared" si="1"/>
        <v>-3</v>
      </c>
      <c r="W4" s="688">
        <f t="shared" si="1"/>
        <v>-2</v>
      </c>
      <c r="X4" s="688">
        <f t="shared" si="1"/>
        <v>-1</v>
      </c>
      <c r="Y4" s="688">
        <f t="shared" si="1"/>
        <v>-2</v>
      </c>
      <c r="Z4" s="688">
        <f t="shared" si="1"/>
        <v>0</v>
      </c>
      <c r="AA4" s="688">
        <f t="shared" si="1"/>
        <v>-1</v>
      </c>
      <c r="AB4" s="688">
        <f t="shared" si="1"/>
        <v>-1</v>
      </c>
      <c r="AC4" s="688">
        <f t="shared" ref="AC4" si="2">IF(R4="","",R4)</f>
        <v>-1</v>
      </c>
      <c r="AD4" s="688">
        <f t="shared" ref="AD4" si="3">IF(S4="","",S4)</f>
        <v>-1</v>
      </c>
      <c r="AE4" s="688">
        <f t="shared" ref="AE4" si="4">IF(T4="","",T4)</f>
        <v>-2</v>
      </c>
      <c r="AF4" s="943" t="s">
        <v>604</v>
      </c>
      <c r="AG4" s="233">
        <f>IF(VLOOKUP(K$2,Database!$B$22:$N$301,3)="","",VLOOKUP(K$2,Database!$B$22:$N$301,3))</f>
        <v>-3</v>
      </c>
      <c r="AH4" s="233">
        <f>IF(VLOOKUP(L$2,Database!$B$22:$N$301,3)="","",VLOOKUP(L$2,Database!$B$22:$N$301,3))</f>
        <v>-2</v>
      </c>
      <c r="AI4" s="233">
        <f>IF(VLOOKUP(M$2,Database!$B$22:$N$301,3)="","",VLOOKUP(M$2,Database!$B$22:$N$301,3))</f>
        <v>-1</v>
      </c>
      <c r="AJ4" s="233">
        <f>IF(VLOOKUP(N$2,Database!$B$22:$N$301,3)="","",VLOOKUP(N$2,Database!$B$22:$N$301,3))</f>
        <v>-2</v>
      </c>
      <c r="AK4" s="233">
        <f>IF(VLOOKUP(O$2,Database!$B$22:$N$301,3)="","",VLOOKUP(O$2,Database!$B$22:$N$301,3))</f>
        <v>0</v>
      </c>
      <c r="AL4" s="233">
        <f>IF(VLOOKUP(P$2,Database!$B$22:$N$301,3)="","",VLOOKUP(P$2,Database!$B$22:$N$301,3))</f>
        <v>-1</v>
      </c>
      <c r="AM4" s="240">
        <f>IF(VLOOKUP(Q$2,Database!$B$22:$N$301,3)="","",VLOOKUP(Q$2,Database!$B$22:$N$301,3))</f>
        <v>-1</v>
      </c>
      <c r="AN4" s="29"/>
    </row>
    <row r="5" spans="1:40" ht="15" customHeight="1" thickBot="1">
      <c r="A5" s="1295" t="s">
        <v>333</v>
      </c>
      <c r="B5" s="1384">
        <v>0.01</v>
      </c>
      <c r="C5" s="825"/>
      <c r="D5" s="1304"/>
      <c r="E5" s="825"/>
      <c r="F5" s="906"/>
      <c r="G5" s="1303">
        <v>0</v>
      </c>
      <c r="H5" s="1306"/>
      <c r="I5" s="560"/>
      <c r="J5" s="190" t="s">
        <v>832</v>
      </c>
      <c r="K5" s="256">
        <v>2.1480000000000001</v>
      </c>
      <c r="L5" s="256">
        <v>6.3520000000000003</v>
      </c>
      <c r="M5" s="256">
        <v>4.7569999999999997</v>
      </c>
      <c r="N5" s="256">
        <v>-1</v>
      </c>
      <c r="O5" s="256">
        <v>9.2439999999999998</v>
      </c>
      <c r="P5" s="256">
        <v>15.744999999999999</v>
      </c>
      <c r="Q5" s="256">
        <v>2.35</v>
      </c>
      <c r="R5" s="1231">
        <v>-6</v>
      </c>
      <c r="S5" s="1137">
        <v>15.744999999999999</v>
      </c>
      <c r="T5" s="1232">
        <v>6.3520000000000003</v>
      </c>
      <c r="U5" s="35" t="s">
        <v>830</v>
      </c>
      <c r="V5" s="102">
        <f t="shared" ref="V5:AB5" si="5">IF(K5="","",IF(K6="",10^K5,(IF(K7="",10^K6,(IF(K8="",10^K7,(IF(K9="",10^K8,(IF(K10="",10^K9,10^K10))))))))))</f>
        <v>2238721138568.3457</v>
      </c>
      <c r="W5" s="106">
        <f t="shared" si="5"/>
        <v>21330449131.465843</v>
      </c>
      <c r="X5" s="106">
        <f t="shared" si="5"/>
        <v>57147.863667186728</v>
      </c>
      <c r="Y5" s="106">
        <f t="shared" si="5"/>
        <v>2951.2092266663899</v>
      </c>
      <c r="Z5" s="106">
        <f t="shared" si="5"/>
        <v>1753880501.8417609</v>
      </c>
      <c r="AA5" s="106">
        <f t="shared" si="5"/>
        <v>5559042572704029</v>
      </c>
      <c r="AB5" s="103">
        <f t="shared" si="5"/>
        <v>5997910762.5551224</v>
      </c>
      <c r="AC5" s="70">
        <f>IF(R5="","",IF(R6="",10^R5,10^R6))</f>
        <v>9.9999999999999995E-7</v>
      </c>
      <c r="AD5" s="201">
        <f>IF(S5="","",IF(S6="",10^S5,10^S6))</f>
        <v>5559042572704029</v>
      </c>
      <c r="AE5" s="109">
        <f>IF(T5="","",IF(T6="",10^T5,10^T6))</f>
        <v>21330449131.465843</v>
      </c>
      <c r="AF5" s="189" t="s">
        <v>581</v>
      </c>
      <c r="AG5" s="241">
        <f>IF(VLOOKUP(K$2,Database!$B$22:$N$301,4)="","",VLOOKUP(K$2,Database!$B$22:$N$301,4))</f>
        <v>2.1480000000000001</v>
      </c>
      <c r="AH5" s="363">
        <f>IF(VLOOKUP(L$2,Database!$B$22:$N$301,4)="","",VLOOKUP(L$2,Database!$B$22:$N$301,4))</f>
        <v>6.3520000000000003</v>
      </c>
      <c r="AI5" s="363">
        <f>IF(VLOOKUP(M$2,Database!$B$22:$N$301,4)="","",VLOOKUP(M$2,Database!$B$22:$N$301,4))</f>
        <v>4.7569999999999997</v>
      </c>
      <c r="AJ5" s="363">
        <f>IF(VLOOKUP(N$2,Database!$B$22:$N$301,4)="","",VLOOKUP(N$2,Database!$B$22:$N$301,4))</f>
        <v>-1</v>
      </c>
      <c r="AK5" s="363">
        <f>IF(VLOOKUP(O$2,Database!$B$22:$N$301,4)="","",VLOOKUP(O$2,Database!$B$22:$N$301,4))</f>
        <v>9.2439999999999998</v>
      </c>
      <c r="AL5" s="363">
        <f>IF(VLOOKUP(P$2,Database!$B$22:$N$301,4)="","",VLOOKUP(P$2,Database!$B$22:$N$301,4))</f>
        <v>15.744999999999999</v>
      </c>
      <c r="AM5" s="364">
        <f>IF(VLOOKUP(Q$2,Database!$B$22:$N$301,4)="","",VLOOKUP(Q$2,Database!$B$22:$N$301,4))</f>
        <v>2.35</v>
      </c>
      <c r="AN5" s="29"/>
    </row>
    <row r="6" spans="1:40" ht="15" customHeight="1" thickBot="1">
      <c r="A6" s="1295" t="s">
        <v>886</v>
      </c>
      <c r="B6" s="1384">
        <v>1.8E-3</v>
      </c>
      <c r="C6" s="1303"/>
      <c r="D6" s="828"/>
      <c r="E6" s="1303">
        <v>0</v>
      </c>
      <c r="F6" s="828"/>
      <c r="G6" s="828"/>
      <c r="H6" s="826"/>
      <c r="I6" s="560"/>
      <c r="J6" s="190" t="s">
        <v>833</v>
      </c>
      <c r="K6" s="256">
        <v>7.1989999999999998</v>
      </c>
      <c r="L6" s="256">
        <v>10.329000000000001</v>
      </c>
      <c r="M6" s="256" t="s">
        <v>588</v>
      </c>
      <c r="N6" s="256">
        <v>3.47</v>
      </c>
      <c r="O6" s="256" t="s">
        <v>588</v>
      </c>
      <c r="P6" s="256" t="s">
        <v>588</v>
      </c>
      <c r="Q6" s="256">
        <v>9.7780000000000005</v>
      </c>
      <c r="R6" s="1233"/>
      <c r="S6" s="1234"/>
      <c r="T6" s="1235">
        <v>10.329000000000001</v>
      </c>
      <c r="U6" s="35" t="s">
        <v>489</v>
      </c>
      <c r="V6" s="105">
        <f t="shared" ref="V6:AB6" si="6">IF(K6="","",IF(K7="",V5*10^K5,(IF(K8="",V5*10^K6,(IF(K9="",V5*10^K7,(IF(K10="",V5*10^K8,V5*10^K9))))))))</f>
        <v>3.539973410834362E+19</v>
      </c>
      <c r="W6" s="106">
        <f t="shared" si="6"/>
        <v>4.7973344863669224E+16</v>
      </c>
      <c r="X6" s="106" t="str">
        <f t="shared" si="6"/>
        <v/>
      </c>
      <c r="Y6" s="106">
        <f t="shared" si="6"/>
        <v>295.12092266663899</v>
      </c>
      <c r="Z6" s="106" t="str">
        <f t="shared" si="6"/>
        <v/>
      </c>
      <c r="AA6" s="106" t="str">
        <f t="shared" si="6"/>
        <v/>
      </c>
      <c r="AB6" s="107">
        <f t="shared" si="6"/>
        <v>1342764961137.8711</v>
      </c>
      <c r="AC6" s="70" t="str">
        <f>IF(R6="","",AC5*10^R5)</f>
        <v/>
      </c>
      <c r="AD6" s="70" t="str">
        <f>IF(S6="","",AD5*10^S5)</f>
        <v/>
      </c>
      <c r="AE6" s="109">
        <f>IF(T6="","",AE5*10^T5)</f>
        <v>4.7973344863669224E+16</v>
      </c>
      <c r="AF6" s="190" t="s">
        <v>582</v>
      </c>
      <c r="AG6" s="234">
        <f>IF(VLOOKUP(K$2,Database!$B$22:$N$301,5)="","",VLOOKUP(K$2,Database!$B$22:$N$301,5))</f>
        <v>7.1989999999999998</v>
      </c>
      <c r="AH6" s="235">
        <f>IF(VLOOKUP(L$2,Database!$B$22:$N$301,5)="","",VLOOKUP(L$2,Database!$B$22:$N$301,5))</f>
        <v>10.329000000000001</v>
      </c>
      <c r="AI6" s="235" t="str">
        <f>IF(VLOOKUP(M$2,Database!$B$22:$N$301,5)="","",VLOOKUP(M$2,Database!$B$22:$N$301,5))</f>
        <v/>
      </c>
      <c r="AJ6" s="235">
        <f>IF(VLOOKUP(N$2,Database!$B$22:$N$301,5)="","",VLOOKUP(N$2,Database!$B$22:$N$301,5))</f>
        <v>3.47</v>
      </c>
      <c r="AK6" s="235" t="str">
        <f>IF(VLOOKUP(O$2,Database!$B$22:$N$301,5)="","",VLOOKUP(O$2,Database!$B$22:$N$301,5))</f>
        <v/>
      </c>
      <c r="AL6" s="235" t="str">
        <f>IF(VLOOKUP(P$2,Database!$B$22:$N$301,5)="","",VLOOKUP(P$2,Database!$B$22:$N$301,5))</f>
        <v/>
      </c>
      <c r="AM6" s="236">
        <f>IF(VLOOKUP(Q$2,Database!$B$22:$N$301,5)="","",VLOOKUP(Q$2,Database!$B$22:$N$301,5))</f>
        <v>9.7780000000000005</v>
      </c>
      <c r="AN6" s="29"/>
    </row>
    <row r="7" spans="1:40" ht="15" customHeight="1" thickBot="1">
      <c r="A7" s="1295" t="s">
        <v>887</v>
      </c>
      <c r="B7" s="1302"/>
      <c r="C7" s="828"/>
      <c r="D7" s="828"/>
      <c r="E7" s="828"/>
      <c r="F7" s="828"/>
      <c r="G7" s="828"/>
      <c r="H7" s="829"/>
      <c r="I7" s="560"/>
      <c r="J7" s="190" t="s">
        <v>633</v>
      </c>
      <c r="K7" s="256">
        <v>12.35</v>
      </c>
      <c r="L7" s="256" t="s">
        <v>588</v>
      </c>
      <c r="M7" s="256" t="s">
        <v>588</v>
      </c>
      <c r="N7" s="256" t="s">
        <v>588</v>
      </c>
      <c r="O7" s="256" t="s">
        <v>588</v>
      </c>
      <c r="P7" s="256" t="s">
        <v>588</v>
      </c>
      <c r="Q7" s="258" t="s">
        <v>588</v>
      </c>
      <c r="R7" s="1241"/>
      <c r="S7" s="1242"/>
      <c r="T7" s="1243"/>
      <c r="U7" s="104" t="s">
        <v>491</v>
      </c>
      <c r="V7" s="105">
        <f t="shared" ref="V7:AB7" si="7">IF(K7="","",IF(K8="",V6*10^K5,(IF(K9="",V6*10^K6,(IF(K10="",V6*10^K7,V6*10^K8))))))</f>
        <v>4.9773708497893867E+21</v>
      </c>
      <c r="W7" s="106" t="str">
        <f t="shared" si="7"/>
        <v/>
      </c>
      <c r="X7" s="106" t="str">
        <f t="shared" si="7"/>
        <v/>
      </c>
      <c r="Y7" s="106" t="str">
        <f t="shared" si="7"/>
        <v/>
      </c>
      <c r="Z7" s="106" t="str">
        <f t="shared" si="7"/>
        <v/>
      </c>
      <c r="AA7" s="106" t="str">
        <f t="shared" si="7"/>
        <v/>
      </c>
      <c r="AB7" s="107" t="str">
        <f t="shared" si="7"/>
        <v/>
      </c>
      <c r="AC7" s="106"/>
      <c r="AD7" s="106"/>
      <c r="AE7" s="109"/>
      <c r="AF7" s="190" t="s">
        <v>583</v>
      </c>
      <c r="AG7" s="234">
        <f>IF(VLOOKUP(K$2,Database!$B$22:$N$301,6)="","",VLOOKUP(K$2,Database!$B$22:$N$301,6))</f>
        <v>12.35</v>
      </c>
      <c r="AH7" s="235" t="str">
        <f>IF(VLOOKUP(L$2,Database!$B$22:$N$301,6)="","",VLOOKUP(L$2,Database!$B$22:$N$301,6))</f>
        <v/>
      </c>
      <c r="AI7" s="235" t="str">
        <f>IF(VLOOKUP(M$2,Database!$B$22:$N$301,6)="","",VLOOKUP(M$2,Database!$B$22:$N$301,6))</f>
        <v/>
      </c>
      <c r="AJ7" s="235" t="str">
        <f>IF(VLOOKUP(N$2,Database!$B$22:$N$301,6)="","",VLOOKUP(N$2,Database!$B$22:$N$301,6))</f>
        <v/>
      </c>
      <c r="AK7" s="235" t="str">
        <f>IF(VLOOKUP(O$2,Database!$B$22:$N$301,6)="","",VLOOKUP(O$2,Database!$B$22:$N$301,6))</f>
        <v/>
      </c>
      <c r="AL7" s="235" t="str">
        <f>IF(VLOOKUP(P$2,Database!$B$22:$N$301,6)="","",VLOOKUP(P$2,Database!$B$22:$N$301,6))</f>
        <v/>
      </c>
      <c r="AM7" s="236" t="str">
        <f>IF(VLOOKUP(Q$2,Database!$B$22:$N$301,6)="","",VLOOKUP(Q$2,Database!$B$22:$N$301,6))</f>
        <v/>
      </c>
      <c r="AN7" s="29"/>
    </row>
    <row r="8" spans="1:40" ht="15" customHeight="1">
      <c r="A8" s="1295" t="s">
        <v>880</v>
      </c>
      <c r="B8" s="827"/>
      <c r="C8" s="828"/>
      <c r="D8" s="828"/>
      <c r="E8" s="793"/>
      <c r="F8" s="793"/>
      <c r="G8" s="793"/>
      <c r="H8" s="829"/>
      <c r="I8" s="1284" t="s">
        <v>348</v>
      </c>
      <c r="J8" s="190" t="s">
        <v>634</v>
      </c>
      <c r="K8" s="256" t="s">
        <v>588</v>
      </c>
      <c r="L8" s="256" t="s">
        <v>588</v>
      </c>
      <c r="M8" s="256" t="s">
        <v>588</v>
      </c>
      <c r="N8" s="256" t="s">
        <v>588</v>
      </c>
      <c r="O8" s="256" t="s">
        <v>588</v>
      </c>
      <c r="P8" s="256" t="s">
        <v>588</v>
      </c>
      <c r="Q8" s="258" t="s">
        <v>588</v>
      </c>
      <c r="R8" s="746"/>
      <c r="S8" s="746"/>
      <c r="T8" s="753"/>
      <c r="U8" s="104" t="s">
        <v>493</v>
      </c>
      <c r="V8" s="105" t="str">
        <f t="shared" ref="V8:AB8" si="8">IF(K8="","",IF(K9="",V7*10^K5,(IF(K10="",V7*10^K6,V7*10^K7))))</f>
        <v/>
      </c>
      <c r="W8" s="106" t="str">
        <f t="shared" si="8"/>
        <v/>
      </c>
      <c r="X8" s="106" t="str">
        <f t="shared" si="8"/>
        <v/>
      </c>
      <c r="Y8" s="106" t="str">
        <f t="shared" si="8"/>
        <v/>
      </c>
      <c r="Z8" s="106" t="str">
        <f t="shared" si="8"/>
        <v/>
      </c>
      <c r="AA8" s="106" t="str">
        <f t="shared" si="8"/>
        <v/>
      </c>
      <c r="AB8" s="107" t="str">
        <f t="shared" si="8"/>
        <v/>
      </c>
      <c r="AC8" s="106"/>
      <c r="AD8" s="106"/>
      <c r="AE8" s="108"/>
      <c r="AF8" s="190" t="s">
        <v>584</v>
      </c>
      <c r="AG8" s="234" t="str">
        <f>IF(VLOOKUP(K$2,Database!$B$22:$N$301,7)="","",VLOOKUP(K$2,Database!$B$22:$N$301,7))</f>
        <v/>
      </c>
      <c r="AH8" s="235" t="str">
        <f>IF(VLOOKUP(L$2,Database!$B$22:$N$301,7)="","",VLOOKUP(L$2,Database!$B$22:$N$301,7))</f>
        <v/>
      </c>
      <c r="AI8" s="235" t="str">
        <f>IF(VLOOKUP(M$2,Database!$B$22:$N$301,7)="","",VLOOKUP(M$2,Database!$B$22:$N$301,7))</f>
        <v/>
      </c>
      <c r="AJ8" s="235" t="str">
        <f>IF(VLOOKUP(N$2,Database!$B$22:$N$301,7)="","",VLOOKUP(N$2,Database!$B$22:$N$301,7))</f>
        <v/>
      </c>
      <c r="AK8" s="235" t="str">
        <f>IF(VLOOKUP(O$2,Database!$B$22:$N$301,7)="","",VLOOKUP(O$2,Database!$B$22:$N$301,7))</f>
        <v/>
      </c>
      <c r="AL8" s="235" t="str">
        <f>IF(VLOOKUP(P$2,Database!$B$22:$N$301,7)="","",VLOOKUP(P$2,Database!$B$22:$N$301,7))</f>
        <v/>
      </c>
      <c r="AM8" s="236" t="str">
        <f>IF(VLOOKUP(Q$2,Database!$B$22:$N$301,7)="","",VLOOKUP(Q$2,Database!$B$22:$N$301,7))</f>
        <v/>
      </c>
      <c r="AN8" s="29"/>
    </row>
    <row r="9" spans="1:40" ht="15" customHeight="1">
      <c r="A9" s="1295" t="s">
        <v>881</v>
      </c>
      <c r="B9" s="827"/>
      <c r="C9" s="828"/>
      <c r="D9" s="828"/>
      <c r="E9" s="793"/>
      <c r="F9" s="793"/>
      <c r="G9" s="793"/>
      <c r="H9" s="829"/>
      <c r="I9" s="1296" t="s">
        <v>640</v>
      </c>
      <c r="J9" s="190" t="s">
        <v>635</v>
      </c>
      <c r="K9" s="256" t="s">
        <v>588</v>
      </c>
      <c r="L9" s="256" t="s">
        <v>588</v>
      </c>
      <c r="M9" s="256" t="s">
        <v>588</v>
      </c>
      <c r="N9" s="256" t="s">
        <v>588</v>
      </c>
      <c r="O9" s="256" t="s">
        <v>588</v>
      </c>
      <c r="P9" s="256" t="s">
        <v>588</v>
      </c>
      <c r="Q9" s="258" t="s">
        <v>588</v>
      </c>
      <c r="R9" s="746"/>
      <c r="S9" s="746"/>
      <c r="T9" s="753"/>
      <c r="U9" s="104" t="s">
        <v>495</v>
      </c>
      <c r="V9" s="105" t="str">
        <f t="shared" ref="V9:AB9" si="9">IF(K9="","",IF(K10="",V8*10^K5,V8*10^K6))</f>
        <v/>
      </c>
      <c r="W9" s="106" t="str">
        <f t="shared" si="9"/>
        <v/>
      </c>
      <c r="X9" s="106" t="str">
        <f t="shared" si="9"/>
        <v/>
      </c>
      <c r="Y9" s="106" t="str">
        <f t="shared" si="9"/>
        <v/>
      </c>
      <c r="Z9" s="106" t="str">
        <f t="shared" si="9"/>
        <v/>
      </c>
      <c r="AA9" s="106" t="str">
        <f t="shared" si="9"/>
        <v/>
      </c>
      <c r="AB9" s="107" t="str">
        <f t="shared" si="9"/>
        <v/>
      </c>
      <c r="AC9" s="106"/>
      <c r="AD9" s="106"/>
      <c r="AE9" s="108"/>
      <c r="AF9" s="190" t="s">
        <v>585</v>
      </c>
      <c r="AG9" s="234" t="str">
        <f>IF(VLOOKUP(K$2,Database!$B$22:$N$301,8)="","",VLOOKUP(K$2,Database!$B$22:$N$301,8))</f>
        <v/>
      </c>
      <c r="AH9" s="235" t="str">
        <f>IF(VLOOKUP(L$2,Database!$B$22:$N$301,8)="","",VLOOKUP(L$2,Database!$B$22:$N$301,8))</f>
        <v/>
      </c>
      <c r="AI9" s="235" t="str">
        <f>IF(VLOOKUP(M$2,Database!$B$22:$N$301,8)="","",VLOOKUP(M$2,Database!$B$22:$N$301,8))</f>
        <v/>
      </c>
      <c r="AJ9" s="235" t="str">
        <f>IF(VLOOKUP(N$2,Database!$B$22:$N$301,8)="","",VLOOKUP(N$2,Database!$B$22:$N$301,8))</f>
        <v/>
      </c>
      <c r="AK9" s="235" t="str">
        <f>IF(VLOOKUP(O$2,Database!$B$22:$N$301,8)="","",VLOOKUP(O$2,Database!$B$22:$N$301,8))</f>
        <v/>
      </c>
      <c r="AL9" s="235" t="str">
        <f>IF(VLOOKUP(P$2,Database!$B$22:$N$301,8)="","",VLOOKUP(P$2,Database!$B$22:$N$301,8))</f>
        <v/>
      </c>
      <c r="AM9" s="236" t="str">
        <f>IF(VLOOKUP(Q$2,Database!$B$22:$N$301,8)="","",VLOOKUP(Q$2,Database!$B$22:$N$301,8))</f>
        <v/>
      </c>
      <c r="AN9" s="29"/>
    </row>
    <row r="10" spans="1:40" ht="15" customHeight="1" thickBot="1">
      <c r="A10" s="1295" t="s">
        <v>882</v>
      </c>
      <c r="B10" s="830"/>
      <c r="C10" s="1292"/>
      <c r="D10" s="1292"/>
      <c r="E10" s="1292"/>
      <c r="F10" s="1292"/>
      <c r="G10" s="1292"/>
      <c r="H10" s="1293"/>
      <c r="I10" s="1297" t="s">
        <v>345</v>
      </c>
      <c r="J10" s="1130" t="s">
        <v>636</v>
      </c>
      <c r="K10" s="256" t="s">
        <v>588</v>
      </c>
      <c r="L10" s="256" t="s">
        <v>588</v>
      </c>
      <c r="M10" s="256" t="s">
        <v>588</v>
      </c>
      <c r="N10" s="256" t="s">
        <v>588</v>
      </c>
      <c r="O10" s="256" t="s">
        <v>588</v>
      </c>
      <c r="P10" s="256" t="s">
        <v>588</v>
      </c>
      <c r="Q10" s="258" t="s">
        <v>588</v>
      </c>
      <c r="R10" s="746"/>
      <c r="S10" s="746"/>
      <c r="T10" s="753"/>
      <c r="U10" s="1249" t="s">
        <v>497</v>
      </c>
      <c r="V10" s="105" t="str">
        <f t="shared" ref="V10:AB10" si="10">IF(K10="","",V9*10^K5)</f>
        <v/>
      </c>
      <c r="W10" s="106" t="str">
        <f t="shared" si="10"/>
        <v/>
      </c>
      <c r="X10" s="106" t="str">
        <f t="shared" si="10"/>
        <v/>
      </c>
      <c r="Y10" s="106" t="str">
        <f t="shared" si="10"/>
        <v/>
      </c>
      <c r="Z10" s="106" t="str">
        <f t="shared" si="10"/>
        <v/>
      </c>
      <c r="AA10" s="106" t="str">
        <f t="shared" si="10"/>
        <v/>
      </c>
      <c r="AB10" s="107" t="str">
        <f t="shared" si="10"/>
        <v/>
      </c>
      <c r="AC10" s="106"/>
      <c r="AD10" s="106"/>
      <c r="AE10" s="108"/>
      <c r="AF10" s="191" t="s">
        <v>586</v>
      </c>
      <c r="AG10" s="590" t="str">
        <f>IF(VLOOKUP(K$2,Database!$B$22:$N$301,9)="","",VLOOKUP(K$2,Database!$B$22:$N$301,9))</f>
        <v/>
      </c>
      <c r="AH10" s="591" t="str">
        <f>IF(VLOOKUP(L$2,Database!$B$22:$N$301,9)="","",VLOOKUP(L$2,Database!$B$22:$N$301,9))</f>
        <v/>
      </c>
      <c r="AI10" s="591" t="str">
        <f>IF(VLOOKUP(M$2,Database!$B$22:$N$301,9)="","",VLOOKUP(M$2,Database!$B$22:$N$301,9))</f>
        <v/>
      </c>
      <c r="AJ10" s="591" t="str">
        <f>IF(VLOOKUP(N$2,Database!$B$22:$N$301,9)="","",VLOOKUP(N$2,Database!$B$22:$N$301,9))</f>
        <v/>
      </c>
      <c r="AK10" s="591" t="str">
        <f>IF(VLOOKUP(O$2,Database!$B$22:$N$301,9)="","",VLOOKUP(O$2,Database!$B$22:$N$301,9))</f>
        <v/>
      </c>
      <c r="AL10" s="591" t="str">
        <f>IF(VLOOKUP(P$2,Database!$B$22:$N$301,9)="","",VLOOKUP(P$2,Database!$B$22:$N$301,9))</f>
        <v/>
      </c>
      <c r="AM10" s="592" t="str">
        <f>IF(VLOOKUP(Q$2,Database!$B$22:$N$301,9)="","",VLOOKUP(Q$2,Database!$B$22:$N$301,9))</f>
        <v/>
      </c>
      <c r="AN10" s="29"/>
    </row>
    <row r="11" spans="1:40" ht="15" customHeight="1" thickTop="1" thickBot="1">
      <c r="A11" s="794" t="s">
        <v>888</v>
      </c>
      <c r="B11" s="1300">
        <f>SUM(B4:B10)</f>
        <v>1.18E-2</v>
      </c>
      <c r="C11" s="910">
        <f t="shared" ref="C11:H11" si="11">SUM(C4:C10)</f>
        <v>0</v>
      </c>
      <c r="D11" s="910">
        <f t="shared" si="11"/>
        <v>0</v>
      </c>
      <c r="E11" s="910">
        <f t="shared" si="11"/>
        <v>0</v>
      </c>
      <c r="F11" s="910">
        <f t="shared" si="11"/>
        <v>0</v>
      </c>
      <c r="G11" s="910">
        <f t="shared" si="11"/>
        <v>0</v>
      </c>
      <c r="H11" s="911">
        <f t="shared" si="11"/>
        <v>0</v>
      </c>
      <c r="I11" s="907">
        <f>SUM(B11:H11)</f>
        <v>1.18E-2</v>
      </c>
      <c r="J11" s="115" t="s">
        <v>335</v>
      </c>
      <c r="K11" s="1244">
        <v>13.997</v>
      </c>
      <c r="L11" s="1245" t="s">
        <v>1102</v>
      </c>
      <c r="M11" s="1246"/>
      <c r="N11" s="1246"/>
      <c r="O11" s="1246"/>
      <c r="P11" s="1247"/>
      <c r="Q11" s="1248"/>
      <c r="R11" s="1236"/>
      <c r="S11" s="747"/>
      <c r="T11" s="754"/>
      <c r="U11" s="1250" t="s">
        <v>336</v>
      </c>
      <c r="V11" s="1251">
        <f>10^-K11</f>
        <v>1.0069316688518014E-14</v>
      </c>
      <c r="W11" s="370"/>
      <c r="X11" s="370"/>
      <c r="Y11" s="370"/>
      <c r="Z11" s="370"/>
      <c r="AA11" s="370"/>
      <c r="AB11" s="370"/>
      <c r="AC11" s="370"/>
      <c r="AD11" s="370"/>
      <c r="AE11" s="370"/>
      <c r="AF11" s="935" t="s">
        <v>946</v>
      </c>
      <c r="AG11" s="235" t="str">
        <f>IF(VLOOKUP(K$2,Database!$B$22:$R$301,14)="","",VLOOKUP(K$2,Database!$B$22:$R$301,14))</f>
        <v/>
      </c>
      <c r="AH11" s="235" t="str">
        <f>IF(VLOOKUP(L$2,Database!$B$22:$R$301,14)="","",VLOOKUP(L$2,Database!$B$22:$R$301,14))</f>
        <v/>
      </c>
      <c r="AI11" s="235" t="str">
        <f>IF(VLOOKUP(M$2,Database!$B$22:$R$301,14)="","",VLOOKUP(M$2,Database!$B$22:$R$301,14))</f>
        <v/>
      </c>
      <c r="AJ11" s="235">
        <f>IF(VLOOKUP(N$2,Database!$B$22:$R$301,14)="","",VLOOKUP(N$2,Database!$B$22:$R$301,14))</f>
        <v>3.47</v>
      </c>
      <c r="AK11" s="235" t="str">
        <f>IF(VLOOKUP(O$2,Database!$B$22:$R$301,14)="","",VLOOKUP(O$2,Database!$B$22:$R$301,14))</f>
        <v/>
      </c>
      <c r="AL11" s="235" t="str">
        <f>IF(VLOOKUP(P$2,Database!$B$22:$R$301,14)="","",VLOOKUP(P$2,Database!$B$22:$R$301,14))</f>
        <v/>
      </c>
      <c r="AM11" s="236" t="str">
        <f>IF(VLOOKUP(Q$2,Database!$B$22:$R$301,14)="","",VLOOKUP(Q$2,Database!$B$22:$R$301,14))</f>
        <v/>
      </c>
      <c r="AN11" s="29"/>
    </row>
    <row r="12" spans="1:40" ht="15" customHeight="1" thickTop="1" thickBot="1">
      <c r="A12" s="831" t="s">
        <v>827</v>
      </c>
      <c r="B12" s="908">
        <f>B5+2*B6+3*B7+4*B8+5*B9+6*B10</f>
        <v>1.3600000000000001E-2</v>
      </c>
      <c r="C12" s="909">
        <f t="shared" ref="C12:H12" si="12">C5+2*C6+3*C7+4*C8+5*C9+6*C10</f>
        <v>0</v>
      </c>
      <c r="D12" s="909">
        <f t="shared" si="12"/>
        <v>0</v>
      </c>
      <c r="E12" s="909">
        <f t="shared" si="12"/>
        <v>0</v>
      </c>
      <c r="F12" s="910">
        <f t="shared" si="12"/>
        <v>0</v>
      </c>
      <c r="G12" s="910">
        <f t="shared" si="12"/>
        <v>0</v>
      </c>
      <c r="H12" s="911">
        <f t="shared" si="12"/>
        <v>0</v>
      </c>
      <c r="I12" s="912">
        <f>SUM(B12:H12)</f>
        <v>1.3600000000000001E-2</v>
      </c>
      <c r="J12" s="366"/>
      <c r="K12" s="367"/>
      <c r="L12" s="230"/>
      <c r="M12" s="1127"/>
      <c r="N12" s="1128" t="s">
        <v>598</v>
      </c>
      <c r="O12" s="1129"/>
      <c r="P12" s="230"/>
      <c r="Q12" s="29"/>
      <c r="R12" s="29"/>
      <c r="S12" s="29"/>
      <c r="T12" s="29"/>
      <c r="U12" s="29"/>
      <c r="V12" s="29"/>
      <c r="W12" s="29"/>
      <c r="X12" s="29"/>
      <c r="Y12" s="29"/>
      <c r="Z12" s="29"/>
      <c r="AA12" s="29"/>
      <c r="AB12" s="29"/>
      <c r="AC12" s="29"/>
      <c r="AD12" s="29"/>
      <c r="AE12" s="29"/>
      <c r="AF12" s="935" t="s">
        <v>947</v>
      </c>
      <c r="AG12" s="235" t="str">
        <f>IF(VLOOKUP(K$2,Database!$B$22:$R$301,15)="","",VLOOKUP(K$2,Database!$B$22:$R$301,15))</f>
        <v/>
      </c>
      <c r="AH12" s="235" t="str">
        <f>IF(VLOOKUP(L$2,Database!$B$22:$R$301,15)="","",VLOOKUP(L$2,Database!$B$22:$R$301,15))</f>
        <v/>
      </c>
      <c r="AI12" s="235" t="str">
        <f>IF(VLOOKUP(M$2,Database!$B$22:$R$301,15)="","",VLOOKUP(M$2,Database!$B$22:$R$301,15))</f>
        <v/>
      </c>
      <c r="AJ12" s="235">
        <f>IF(VLOOKUP(N$2,Database!$B$22:$R$301,15)="","",VLOOKUP(N$2,Database!$B$22:$R$301,15))</f>
        <v>5263615</v>
      </c>
      <c r="AK12" s="235" t="str">
        <f>IF(VLOOKUP(O$2,Database!$B$22:$R$301,15)="","",VLOOKUP(O$2,Database!$B$22:$R$301,15))</f>
        <v/>
      </c>
      <c r="AL12" s="235" t="str">
        <f>IF(VLOOKUP(P$2,Database!$B$22:$R$301,15)="","",VLOOKUP(P$2,Database!$B$22:$R$301,15))</f>
        <v/>
      </c>
      <c r="AM12" s="236" t="str">
        <f>IF(VLOOKUP(Q$2,Database!$B$22:$R$301,15)="","",VLOOKUP(Q$2,Database!$B$22:$R$301,15))</f>
        <v/>
      </c>
      <c r="AN12" s="29"/>
    </row>
    <row r="13" spans="1:40" ht="15" customHeight="1" thickTop="1">
      <c r="A13" s="731" t="s">
        <v>1015</v>
      </c>
      <c r="B13" s="1002" t="str">
        <f>R3</f>
        <v>Strong ACID</v>
      </c>
      <c r="C13" s="1002" t="str">
        <f>S3</f>
        <v>Strong BASE</v>
      </c>
      <c r="D13" s="1003" t="str">
        <f>T3</f>
        <v>Carbonic ac.</v>
      </c>
      <c r="E13" s="742" t="s">
        <v>348</v>
      </c>
      <c r="F13" s="832" t="s">
        <v>853</v>
      </c>
      <c r="G13" s="807"/>
      <c r="H13" s="807"/>
      <c r="I13" s="1141"/>
      <c r="J13" s="842"/>
      <c r="K13" s="843"/>
      <c r="L13" s="230"/>
      <c r="M13" s="917"/>
      <c r="N13" s="918" t="s">
        <v>599</v>
      </c>
      <c r="O13" s="919"/>
      <c r="P13" s="230"/>
      <c r="Q13" s="29"/>
      <c r="R13" s="29"/>
      <c r="S13" s="29"/>
      <c r="T13" s="29"/>
      <c r="U13" s="29"/>
      <c r="V13" s="29"/>
      <c r="W13" s="29"/>
      <c r="X13" s="29"/>
      <c r="Y13" s="29"/>
      <c r="Z13" s="29"/>
      <c r="AA13" s="29"/>
      <c r="AB13" s="29"/>
      <c r="AC13" s="29"/>
      <c r="AD13" s="29"/>
      <c r="AE13" s="29"/>
      <c r="AF13" s="935" t="s">
        <v>948</v>
      </c>
      <c r="AG13" s="235" t="str">
        <f>IF(VLOOKUP(K$2,Database!$B$22:$R$301,16)="","",VLOOKUP(K$2,Database!$B$22:$R$301,16))</f>
        <v/>
      </c>
      <c r="AH13" s="235" t="str">
        <f>IF(VLOOKUP(L$2,Database!$B$22:$R$301,16)="","",VLOOKUP(L$2,Database!$B$22:$R$301,16))</f>
        <v/>
      </c>
      <c r="AI13" s="235" t="str">
        <f>IF(VLOOKUP(M$2,Database!$B$22:$R$301,16)="","",VLOOKUP(M$2,Database!$B$22:$R$301,16))</f>
        <v/>
      </c>
      <c r="AJ13" s="235">
        <f>IF(VLOOKUP(N$2,Database!$B$22:$R$301,16)="","",VLOOKUP(N$2,Database!$B$22:$R$301,16))</f>
        <v>4961023</v>
      </c>
      <c r="AK13" s="235" t="str">
        <f>IF(VLOOKUP(O$2,Database!$B$22:$R$301,16)="","",VLOOKUP(O$2,Database!$B$22:$R$301,16))</f>
        <v/>
      </c>
      <c r="AL13" s="235" t="str">
        <f>IF(VLOOKUP(P$2,Database!$B$22:$R$301,16)="","",VLOOKUP(P$2,Database!$B$22:$R$301,16))</f>
        <v/>
      </c>
      <c r="AM13" s="236" t="str">
        <f>IF(VLOOKUP(Q$2,Database!$B$22:$R$301,16)="","",VLOOKUP(Q$2,Database!$B$22:$R$301,16))</f>
        <v/>
      </c>
      <c r="AN13" s="29"/>
    </row>
    <row r="14" spans="1:40" ht="15" customHeight="1" thickBot="1">
      <c r="A14" s="732" t="s">
        <v>332</v>
      </c>
      <c r="B14" s="770"/>
      <c r="C14" s="771">
        <v>1</v>
      </c>
      <c r="D14" s="772"/>
      <c r="E14" s="743" t="s">
        <v>857</v>
      </c>
      <c r="F14" s="808" t="s">
        <v>1018</v>
      </c>
      <c r="G14" s="808" t="s">
        <v>608</v>
      </c>
      <c r="H14" s="1138" t="s">
        <v>609</v>
      </c>
      <c r="I14" s="1142"/>
      <c r="J14" s="875" t="s">
        <v>894</v>
      </c>
      <c r="K14" s="873"/>
      <c r="L14" s="365"/>
      <c r="M14" s="920"/>
      <c r="N14" s="920" t="s">
        <v>600</v>
      </c>
      <c r="O14" s="921"/>
      <c r="P14" s="365"/>
      <c r="Q14" s="29"/>
      <c r="R14" s="29"/>
      <c r="S14" s="29"/>
      <c r="T14" s="29"/>
      <c r="U14" s="29"/>
      <c r="V14" s="29"/>
      <c r="W14" s="29"/>
      <c r="X14" s="29"/>
      <c r="Y14" s="29"/>
      <c r="Z14" s="29"/>
      <c r="AA14" s="29"/>
      <c r="AB14" s="29"/>
      <c r="AC14" s="29"/>
      <c r="AD14" s="29"/>
      <c r="AE14" s="29"/>
      <c r="AF14" s="936" t="s">
        <v>949</v>
      </c>
      <c r="AG14" s="237" t="str">
        <f>IF(VLOOKUP(K$2,Database!$B$22:$R$301,17)="","",VLOOKUP(K$2,Database!$B$22:$R$301,17))</f>
        <v/>
      </c>
      <c r="AH14" s="237" t="str">
        <f>IF(VLOOKUP(L$2,Database!$B$22:$R$301,17)="","",VLOOKUP(L$2,Database!$B$22:$R$301,17))</f>
        <v/>
      </c>
      <c r="AI14" s="237" t="str">
        <f>IF(VLOOKUP(M$2,Database!$B$22:$R$301,17)="","",VLOOKUP(M$2,Database!$B$22:$R$301,17))</f>
        <v/>
      </c>
      <c r="AJ14" s="237">
        <f>IF(VLOOKUP(N$2,Database!$B$22:$R$301,17)="","",VLOOKUP(N$2,Database!$B$22:$R$301,17))</f>
        <v>4907000</v>
      </c>
      <c r="AK14" s="237" t="str">
        <f>IF(VLOOKUP(O$2,Database!$B$22:$R$301,17)="","",VLOOKUP(O$2,Database!$B$22:$R$301,17))</f>
        <v/>
      </c>
      <c r="AL14" s="237" t="str">
        <f>IF(VLOOKUP(P$2,Database!$B$22:$R$301,17)="","",VLOOKUP(P$2,Database!$B$22:$R$301,17))</f>
        <v/>
      </c>
      <c r="AM14" s="238" t="str">
        <f>IF(VLOOKUP(Q$2,Database!$B$22:$R$301,17)="","",VLOOKUP(Q$2,Database!$B$22:$R$301,17))</f>
        <v/>
      </c>
      <c r="AN14" s="29"/>
    </row>
    <row r="15" spans="1:40" ht="15" customHeight="1" thickTop="1" thickBot="1">
      <c r="A15" s="732" t="s">
        <v>333</v>
      </c>
      <c r="B15" s="846"/>
      <c r="C15" s="774"/>
      <c r="D15" s="775"/>
      <c r="E15" s="733"/>
      <c r="F15" s="833" t="s">
        <v>610</v>
      </c>
      <c r="G15" s="810" t="s">
        <v>611</v>
      </c>
      <c r="H15" s="811" t="s">
        <v>612</v>
      </c>
      <c r="I15" s="1143"/>
      <c r="J15" s="876" t="s">
        <v>902</v>
      </c>
      <c r="K15" s="874"/>
      <c r="L15" s="717"/>
      <c r="M15" s="922"/>
      <c r="N15" s="922" t="s">
        <v>601</v>
      </c>
      <c r="O15" s="923"/>
      <c r="P15" s="717"/>
      <c r="Q15" s="29"/>
      <c r="R15" s="29"/>
      <c r="S15" s="29"/>
      <c r="T15" s="29"/>
      <c r="U15" s="29"/>
      <c r="V15" s="29"/>
      <c r="W15" s="29"/>
      <c r="X15" s="29"/>
      <c r="Y15" s="112"/>
      <c r="Z15" s="29"/>
      <c r="AA15" s="29"/>
      <c r="AB15" s="29"/>
      <c r="AC15" s="29"/>
      <c r="AD15" s="29"/>
      <c r="AE15" s="29"/>
      <c r="AF15" s="29"/>
      <c r="AG15" s="29"/>
      <c r="AH15" s="29"/>
      <c r="AI15" s="29"/>
      <c r="AJ15" s="29"/>
      <c r="AK15" s="29"/>
      <c r="AL15" s="29"/>
      <c r="AM15" s="29"/>
      <c r="AN15" s="29"/>
    </row>
    <row r="16" spans="1:40" ht="15" customHeight="1" thickBot="1">
      <c r="A16" s="732" t="s">
        <v>869</v>
      </c>
      <c r="B16" s="777"/>
      <c r="C16" s="777"/>
      <c r="D16" s="778">
        <v>0</v>
      </c>
      <c r="E16" s="744" t="s">
        <v>345</v>
      </c>
      <c r="F16" s="834">
        <v>20</v>
      </c>
      <c r="G16" s="835">
        <v>0</v>
      </c>
      <c r="H16" s="1139">
        <f>F16+G16</f>
        <v>20</v>
      </c>
      <c r="I16" s="1142"/>
      <c r="J16" s="717"/>
      <c r="K16" s="864"/>
      <c r="L16" s="717"/>
      <c r="M16" s="717"/>
      <c r="N16" s="29"/>
      <c r="O16" s="29"/>
      <c r="P16" s="29"/>
      <c r="Q16" s="29"/>
      <c r="R16" s="29"/>
      <c r="S16" s="29"/>
      <c r="T16" s="29"/>
      <c r="U16" s="29"/>
      <c r="V16" s="29"/>
      <c r="W16" s="29"/>
      <c r="X16" s="29"/>
      <c r="Y16" s="112"/>
      <c r="Z16" s="29"/>
      <c r="AA16" s="29"/>
      <c r="AB16" s="29"/>
      <c r="AC16" s="29"/>
      <c r="AD16" s="29"/>
      <c r="AE16" s="29"/>
      <c r="AF16" s="29"/>
      <c r="AG16" s="29"/>
      <c r="AH16" s="29"/>
      <c r="AI16" s="29"/>
      <c r="AJ16" s="29"/>
      <c r="AK16" s="29"/>
      <c r="AL16" s="29"/>
      <c r="AM16" s="29"/>
      <c r="AN16" s="29"/>
    </row>
    <row r="17" spans="1:40" ht="15" customHeight="1" thickTop="1">
      <c r="A17" s="734" t="s">
        <v>870</v>
      </c>
      <c r="B17" s="735">
        <f>SUM(B14:B16)</f>
        <v>0</v>
      </c>
      <c r="C17" s="735">
        <f>SUM(C14:C16)</f>
        <v>1</v>
      </c>
      <c r="D17" s="735">
        <f>SUM(D14:D16)</f>
        <v>0</v>
      </c>
      <c r="E17" s="736">
        <f>SUM(B17:D17)</f>
        <v>1</v>
      </c>
      <c r="F17" s="723" t="s">
        <v>863</v>
      </c>
      <c r="G17" s="724"/>
      <c r="H17" s="740"/>
      <c r="I17" s="1144"/>
      <c r="J17" s="718"/>
      <c r="K17" s="718"/>
      <c r="L17" s="718"/>
      <c r="M17" s="718"/>
      <c r="N17" s="29"/>
      <c r="O17" s="29"/>
      <c r="P17" s="29"/>
      <c r="Q17" s="29"/>
      <c r="R17" s="29"/>
      <c r="S17" s="29"/>
      <c r="T17" s="29"/>
      <c r="U17" s="29"/>
      <c r="V17" s="29"/>
      <c r="W17" s="29"/>
      <c r="X17" s="29"/>
      <c r="Y17" s="112"/>
      <c r="Z17" s="29"/>
      <c r="AA17" s="29"/>
      <c r="AB17" s="29"/>
      <c r="AC17" s="29"/>
      <c r="AD17" s="29"/>
      <c r="AE17" s="29"/>
      <c r="AF17" s="29"/>
      <c r="AG17" s="29"/>
      <c r="AH17" s="29"/>
      <c r="AI17" s="29"/>
      <c r="AJ17" s="29"/>
      <c r="AK17" s="29"/>
      <c r="AL17" s="29"/>
      <c r="AM17" s="29"/>
      <c r="AN17" s="29"/>
    </row>
    <row r="18" spans="1:40" ht="15" customHeight="1" thickBot="1">
      <c r="A18" s="737" t="s">
        <v>868</v>
      </c>
      <c r="B18" s="738">
        <f>B15+2*B16</f>
        <v>0</v>
      </c>
      <c r="C18" s="738">
        <f>C15+2*C16</f>
        <v>0</v>
      </c>
      <c r="D18" s="738">
        <f>D15+2*D16</f>
        <v>0</v>
      </c>
      <c r="E18" s="739">
        <f>SUM(B18:D18)</f>
        <v>0</v>
      </c>
      <c r="F18" s="745">
        <v>50</v>
      </c>
      <c r="G18" s="725"/>
      <c r="H18" s="1140" t="s">
        <v>852</v>
      </c>
      <c r="I18" s="1144"/>
      <c r="J18" s="718"/>
      <c r="K18" s="718"/>
      <c r="L18" s="718"/>
      <c r="M18" s="718"/>
      <c r="N18" s="29"/>
      <c r="O18" s="29"/>
      <c r="P18" s="29"/>
      <c r="Q18" s="29"/>
      <c r="R18" s="29"/>
      <c r="S18" s="29"/>
      <c r="T18" s="29"/>
      <c r="U18" s="29"/>
      <c r="V18" s="29"/>
      <c r="W18" s="29"/>
      <c r="X18" s="29"/>
      <c r="Y18" s="112"/>
      <c r="Z18" s="29"/>
      <c r="AA18" s="29"/>
      <c r="AB18" s="29"/>
      <c r="AC18" s="29"/>
      <c r="AD18" s="29"/>
      <c r="AE18" s="29"/>
      <c r="AF18" s="29"/>
      <c r="AG18" s="29"/>
      <c r="AH18" s="29"/>
      <c r="AI18" s="29"/>
      <c r="AJ18" s="29"/>
      <c r="AK18" s="29"/>
      <c r="AL18" s="29"/>
      <c r="AM18" s="29"/>
      <c r="AN18" s="29"/>
    </row>
    <row r="19" spans="1:40" ht="30" customHeight="1" thickTop="1" thickBot="1">
      <c r="A19" s="885" t="s">
        <v>915</v>
      </c>
      <c r="B19" s="59"/>
      <c r="C19" s="59"/>
      <c r="D19" s="59"/>
      <c r="E19" s="26"/>
      <c r="F19" s="2"/>
      <c r="G19" s="116"/>
      <c r="H19" s="2"/>
      <c r="I19" s="117"/>
      <c r="J19" s="26"/>
      <c r="K19" s="26"/>
      <c r="L19" s="26"/>
      <c r="M19" s="26"/>
      <c r="N19" s="29"/>
      <c r="O19" s="29"/>
      <c r="P19" s="29"/>
      <c r="Q19" s="29"/>
      <c r="R19" s="29"/>
      <c r="S19" s="29"/>
      <c r="T19" s="29"/>
      <c r="U19" s="29"/>
      <c r="V19" s="29"/>
      <c r="W19" s="29"/>
      <c r="X19" s="29"/>
      <c r="Y19" s="112"/>
      <c r="Z19" s="26"/>
      <c r="AA19" s="26"/>
      <c r="AB19" s="26"/>
      <c r="AC19" s="26"/>
      <c r="AD19" s="26"/>
      <c r="AE19" s="26"/>
      <c r="AF19" s="26"/>
      <c r="AG19" s="26"/>
      <c r="AH19" s="26"/>
      <c r="AI19" s="26"/>
      <c r="AJ19" s="26"/>
      <c r="AK19" s="26"/>
      <c r="AL19" s="26"/>
      <c r="AM19" s="26"/>
      <c r="AN19" s="26"/>
    </row>
    <row r="20" spans="1:40" ht="18.75" customHeight="1" thickTop="1" thickBot="1">
      <c r="A20" s="886" t="s">
        <v>854</v>
      </c>
      <c r="B20" s="887" t="s">
        <v>849</v>
      </c>
      <c r="C20" s="888">
        <f>B21</f>
        <v>0.03</v>
      </c>
      <c r="D20" s="26"/>
      <c r="E20" s="26"/>
      <c r="F20" s="899"/>
      <c r="G20" s="900" t="s">
        <v>839</v>
      </c>
      <c r="H20" s="901"/>
      <c r="I20" s="26"/>
      <c r="J20" s="26"/>
      <c r="K20" s="26"/>
      <c r="L20" s="26"/>
      <c r="M20" s="26"/>
      <c r="N20" s="29"/>
      <c r="O20" s="29"/>
      <c r="P20" s="29"/>
      <c r="Q20" s="29"/>
      <c r="R20" s="29"/>
      <c r="S20" s="29"/>
      <c r="T20" s="29"/>
      <c r="U20" s="29"/>
      <c r="V20" s="29"/>
      <c r="W20" s="29"/>
      <c r="X20" s="29"/>
      <c r="Y20" s="112"/>
      <c r="Z20" s="26"/>
      <c r="AA20" s="26"/>
      <c r="AB20" s="26"/>
      <c r="AC20" s="26"/>
      <c r="AD20" s="26"/>
      <c r="AE20" s="26"/>
      <c r="AF20" s="26"/>
      <c r="AG20" s="26"/>
      <c r="AH20" s="26"/>
      <c r="AI20" s="26"/>
      <c r="AJ20" s="26"/>
      <c r="AK20" s="26"/>
      <c r="AL20" s="26"/>
      <c r="AM20" s="26"/>
      <c r="AN20" s="26"/>
    </row>
    <row r="21" spans="1:40" ht="24">
      <c r="A21" s="889" t="s">
        <v>848</v>
      </c>
      <c r="B21" s="690">
        <v>0.03</v>
      </c>
      <c r="C21" s="890" t="s">
        <v>855</v>
      </c>
      <c r="D21" s="26"/>
      <c r="E21" s="26"/>
      <c r="F21" s="891" t="s">
        <v>903</v>
      </c>
      <c r="G21" s="690">
        <v>8.7693646536208689</v>
      </c>
      <c r="H21" s="902"/>
      <c r="I21" s="26"/>
      <c r="J21" s="26"/>
      <c r="K21" s="26"/>
      <c r="L21" s="26"/>
      <c r="M21" s="26"/>
      <c r="N21" s="29"/>
      <c r="O21" s="29"/>
      <c r="P21" s="29"/>
      <c r="Q21" s="29"/>
      <c r="R21" s="29"/>
      <c r="S21" s="29"/>
      <c r="T21" s="29"/>
      <c r="U21" s="29"/>
      <c r="V21" s="29"/>
      <c r="W21" s="29"/>
      <c r="X21" s="29"/>
      <c r="Y21" s="112"/>
      <c r="Z21" s="26"/>
      <c r="AA21" s="26"/>
      <c r="AB21" s="26"/>
      <c r="AC21" s="26"/>
      <c r="AD21" s="26"/>
      <c r="AE21" s="26"/>
      <c r="AF21" s="26"/>
      <c r="AG21" s="26"/>
      <c r="AH21" s="26"/>
      <c r="AI21" s="26"/>
      <c r="AJ21" s="26"/>
      <c r="AK21" s="26"/>
      <c r="AL21" s="26"/>
      <c r="AM21" s="26"/>
      <c r="AN21" s="26"/>
    </row>
    <row r="22" spans="1:40" ht="18" customHeight="1" thickBot="1">
      <c r="A22" s="891"/>
      <c r="B22" s="892" t="s">
        <v>862</v>
      </c>
      <c r="C22" s="893"/>
      <c r="D22" s="26"/>
      <c r="E22" s="26"/>
      <c r="F22" s="903"/>
      <c r="G22" s="904"/>
      <c r="H22" s="905"/>
      <c r="I22" s="26"/>
      <c r="J22" s="26"/>
      <c r="K22" s="26"/>
      <c r="L22" s="26"/>
      <c r="M22" s="26"/>
      <c r="N22" s="29"/>
      <c r="O22" s="29"/>
      <c r="P22" s="29"/>
      <c r="Q22" s="29"/>
      <c r="R22" s="29"/>
      <c r="S22" s="29"/>
      <c r="T22" s="29"/>
      <c r="U22" s="29"/>
      <c r="V22" s="29"/>
      <c r="W22" s="29"/>
      <c r="X22" s="29"/>
      <c r="Y22" s="112"/>
      <c r="Z22" s="26"/>
      <c r="AA22" s="26"/>
      <c r="AB22" s="26"/>
      <c r="AC22" s="26"/>
      <c r="AD22" s="26"/>
      <c r="AE22" s="26"/>
      <c r="AF22" s="26"/>
      <c r="AG22" s="26"/>
      <c r="AH22" s="26"/>
      <c r="AI22" s="26"/>
      <c r="AJ22" s="26"/>
      <c r="AK22" s="26"/>
      <c r="AL22" s="26"/>
      <c r="AM22" s="26"/>
      <c r="AN22" s="26"/>
    </row>
    <row r="23" spans="1:40" ht="18" customHeight="1" thickTop="1" thickBot="1">
      <c r="A23" s="891"/>
      <c r="B23" s="894"/>
      <c r="C23" s="893"/>
      <c r="D23" s="26"/>
      <c r="E23" s="26"/>
      <c r="F23" s="26"/>
      <c r="G23" s="26"/>
      <c r="H23" s="26"/>
      <c r="I23" s="26"/>
      <c r="J23" s="26"/>
      <c r="K23" s="26"/>
      <c r="L23" s="26"/>
      <c r="M23" s="26"/>
      <c r="N23" s="26"/>
      <c r="O23" s="26"/>
      <c r="P23" s="26"/>
      <c r="Q23" s="26"/>
      <c r="R23" s="26"/>
      <c r="S23" s="26"/>
      <c r="T23" s="26"/>
      <c r="U23" s="26"/>
      <c r="V23" s="26"/>
      <c r="W23" s="26"/>
      <c r="X23" s="29"/>
      <c r="Y23" s="112"/>
      <c r="Z23" s="26"/>
      <c r="AA23" s="26"/>
      <c r="AB23" s="26"/>
      <c r="AC23" s="26"/>
      <c r="AD23" s="26"/>
      <c r="AE23" s="26"/>
      <c r="AF23" s="26"/>
      <c r="AG23" s="26"/>
      <c r="AH23" s="26"/>
      <c r="AI23" s="26"/>
      <c r="AJ23" s="26"/>
      <c r="AK23" s="26"/>
      <c r="AL23" s="26"/>
      <c r="AM23" s="26"/>
      <c r="AN23" s="26"/>
    </row>
    <row r="24" spans="1:40" ht="18" customHeight="1" thickTop="1">
      <c r="A24" s="891"/>
      <c r="B24" s="895"/>
      <c r="C24" s="893"/>
      <c r="D24" s="26"/>
      <c r="E24" s="26"/>
      <c r="F24" s="48"/>
      <c r="G24" s="691" t="s">
        <v>842</v>
      </c>
      <c r="H24" s="692"/>
      <c r="I24" s="26"/>
      <c r="J24" s="26"/>
      <c r="K24" s="26"/>
      <c r="L24" s="26"/>
      <c r="M24" s="26"/>
      <c r="N24" s="26"/>
      <c r="O24" s="26"/>
      <c r="P24" s="26"/>
      <c r="Q24" s="26"/>
      <c r="R24" s="26"/>
      <c r="S24" s="26"/>
      <c r="T24" s="26"/>
      <c r="U24" s="26"/>
      <c r="V24" s="26"/>
      <c r="W24" s="26"/>
      <c r="X24" s="29"/>
      <c r="Y24" s="112"/>
      <c r="Z24" s="26"/>
      <c r="AA24" s="26"/>
      <c r="AB24" s="26"/>
      <c r="AC24" s="26"/>
      <c r="AD24" s="26"/>
      <c r="AE24" s="26"/>
      <c r="AF24" s="26"/>
      <c r="AG24" s="26"/>
      <c r="AH24" s="26"/>
      <c r="AI24" s="26"/>
      <c r="AJ24" s="26"/>
      <c r="AK24" s="26"/>
      <c r="AL24" s="26"/>
      <c r="AM24" s="26"/>
      <c r="AN24" s="26"/>
    </row>
    <row r="25" spans="1:40" ht="18" customHeight="1">
      <c r="A25" s="891"/>
      <c r="B25" s="894"/>
      <c r="C25" s="893"/>
      <c r="D25" s="26"/>
      <c r="E25" s="26"/>
      <c r="F25" s="693" t="b">
        <v>1</v>
      </c>
      <c r="G25" s="694" t="s">
        <v>856</v>
      </c>
      <c r="H25" s="695"/>
      <c r="I25" s="26"/>
      <c r="J25" s="26"/>
      <c r="K25" s="26"/>
      <c r="L25" s="26"/>
      <c r="M25" s="26"/>
      <c r="N25" s="26"/>
      <c r="O25" s="26"/>
      <c r="P25" s="26"/>
      <c r="Q25" s="26"/>
      <c r="R25" s="26"/>
      <c r="S25" s="26"/>
      <c r="T25" s="26"/>
      <c r="U25" s="26"/>
      <c r="V25" s="26"/>
      <c r="W25" s="26"/>
      <c r="X25" s="29"/>
      <c r="Y25" s="112"/>
      <c r="Z25" s="26"/>
      <c r="AA25" s="26"/>
      <c r="AB25" s="26"/>
      <c r="AC25" s="26"/>
      <c r="AD25" s="26"/>
      <c r="AE25" s="26"/>
      <c r="AF25" s="26"/>
      <c r="AG25" s="26"/>
      <c r="AH25" s="26"/>
      <c r="AI25" s="26"/>
      <c r="AJ25" s="26"/>
      <c r="AK25" s="26"/>
      <c r="AL25" s="26"/>
      <c r="AM25" s="26"/>
      <c r="AN25" s="26"/>
    </row>
    <row r="26" spans="1:40" ht="15.75" thickBot="1">
      <c r="A26" s="896"/>
      <c r="B26" s="897"/>
      <c r="C26" s="898"/>
      <c r="D26" s="26"/>
      <c r="E26" s="26"/>
      <c r="F26" s="696" t="b">
        <v>1</v>
      </c>
      <c r="G26" s="715" t="s">
        <v>846</v>
      </c>
      <c r="H26" s="697"/>
      <c r="I26" s="26"/>
      <c r="J26" s="26"/>
      <c r="K26" s="26"/>
      <c r="L26" s="26"/>
      <c r="M26" s="26"/>
      <c r="N26" s="26"/>
      <c r="O26" s="26"/>
      <c r="P26" s="26"/>
      <c r="Q26" s="26"/>
      <c r="R26" s="26"/>
      <c r="S26" s="26"/>
      <c r="T26" s="26"/>
      <c r="U26" s="26"/>
      <c r="V26" s="26"/>
      <c r="W26" s="26"/>
      <c r="X26" s="29"/>
      <c r="Y26" s="112"/>
      <c r="Z26" s="26"/>
      <c r="AA26" s="26"/>
      <c r="AB26" s="26"/>
      <c r="AC26" s="26"/>
      <c r="AD26" s="26"/>
      <c r="AE26" s="26"/>
      <c r="AF26" s="26"/>
      <c r="AG26" s="26"/>
      <c r="AH26" s="26"/>
      <c r="AI26" s="26"/>
      <c r="AJ26" s="26"/>
      <c r="AK26" s="26"/>
      <c r="AL26" s="26"/>
      <c r="AM26" s="26"/>
      <c r="AN26" s="26"/>
    </row>
    <row r="27" spans="1:40" ht="14.25" thickTop="1" thickBot="1">
      <c r="A27" s="26"/>
      <c r="B27" s="26"/>
      <c r="C27" s="26"/>
      <c r="D27" s="26"/>
      <c r="E27" s="26"/>
      <c r="F27" s="26"/>
      <c r="G27" s="26"/>
      <c r="H27" s="26"/>
      <c r="I27" s="26"/>
      <c r="J27" s="26"/>
      <c r="K27" s="26"/>
      <c r="L27" s="26"/>
      <c r="M27" s="26"/>
      <c r="N27" s="26"/>
      <c r="O27" s="26"/>
      <c r="P27" s="26"/>
      <c r="Q27" s="26"/>
      <c r="R27" s="26"/>
      <c r="S27" s="26"/>
      <c r="T27" s="26"/>
      <c r="U27" s="26"/>
      <c r="V27" s="26"/>
      <c r="W27" s="26"/>
      <c r="X27" s="29"/>
      <c r="Y27" s="112"/>
      <c r="Z27" s="26"/>
      <c r="AA27" s="26"/>
      <c r="AB27" s="26"/>
      <c r="AC27" s="26"/>
      <c r="AD27" s="26"/>
      <c r="AE27" s="26"/>
      <c r="AF27" s="26"/>
      <c r="AG27" s="26"/>
      <c r="AH27" s="26"/>
      <c r="AI27" s="26"/>
      <c r="AJ27" s="26"/>
      <c r="AK27" s="26"/>
      <c r="AL27" s="26"/>
      <c r="AM27" s="26"/>
      <c r="AN27" s="26"/>
    </row>
    <row r="28" spans="1:40" ht="15.75" thickTop="1">
      <c r="A28" s="698" t="s">
        <v>871</v>
      </c>
      <c r="B28" s="699"/>
      <c r="C28" s="26"/>
      <c r="D28" s="700"/>
      <c r="E28" s="701"/>
      <c r="F28" s="26"/>
      <c r="G28" s="836" t="s">
        <v>906</v>
      </c>
      <c r="H28" s="837"/>
      <c r="I28" s="26"/>
      <c r="J28" s="26"/>
      <c r="K28" s="26"/>
      <c r="L28" s="26"/>
      <c r="M28" s="26"/>
      <c r="N28" s="26"/>
      <c r="O28" s="26"/>
      <c r="P28" s="26"/>
      <c r="Q28" s="26"/>
      <c r="R28" s="26"/>
      <c r="S28" s="26"/>
      <c r="T28" s="26"/>
      <c r="U28" s="26"/>
      <c r="V28" s="26"/>
      <c r="W28" s="26"/>
      <c r="X28" s="29"/>
      <c r="Y28" s="112"/>
      <c r="Z28" s="26"/>
      <c r="AA28" s="26"/>
      <c r="AB28" s="26"/>
      <c r="AC28" s="26"/>
      <c r="AD28" s="26"/>
      <c r="AE28" s="26"/>
      <c r="AF28" s="26"/>
      <c r="AG28" s="26"/>
      <c r="AH28" s="26"/>
      <c r="AI28" s="26"/>
      <c r="AJ28" s="26"/>
      <c r="AK28" s="26"/>
      <c r="AL28" s="26"/>
      <c r="AM28" s="26"/>
      <c r="AN28" s="26"/>
    </row>
    <row r="29" spans="1:40" ht="27" customHeight="1">
      <c r="A29" s="702" t="s">
        <v>843</v>
      </c>
      <c r="B29" s="703">
        <v>3.47</v>
      </c>
      <c r="C29" s="26"/>
      <c r="D29" s="704"/>
      <c r="E29" s="705"/>
      <c r="F29" s="26"/>
      <c r="G29" s="838" t="s">
        <v>840</v>
      </c>
      <c r="H29" s="839" t="s">
        <v>125</v>
      </c>
      <c r="I29" s="26"/>
      <c r="J29" s="26"/>
      <c r="K29" s="26"/>
      <c r="L29" s="26"/>
      <c r="M29" s="26"/>
      <c r="N29" s="26"/>
      <c r="O29" s="26"/>
      <c r="P29" s="26"/>
      <c r="Q29" s="26"/>
      <c r="R29" s="26"/>
      <c r="S29" s="26"/>
      <c r="T29" s="26"/>
      <c r="U29" s="26"/>
      <c r="V29" s="26"/>
      <c r="W29" s="26"/>
      <c r="X29" s="29"/>
      <c r="Y29" s="112"/>
      <c r="Z29" s="26"/>
      <c r="AA29" s="26"/>
      <c r="AB29" s="26"/>
      <c r="AC29" s="26"/>
      <c r="AD29" s="26"/>
      <c r="AE29" s="26"/>
      <c r="AF29" s="26"/>
      <c r="AG29" s="26"/>
      <c r="AH29" s="26"/>
      <c r="AI29" s="26"/>
      <c r="AJ29" s="26"/>
      <c r="AK29" s="26"/>
      <c r="AL29" s="26"/>
      <c r="AM29" s="26"/>
      <c r="AN29" s="26"/>
    </row>
    <row r="30" spans="1:40" ht="15" customHeight="1">
      <c r="A30" s="706" t="s">
        <v>844</v>
      </c>
      <c r="B30" s="865" t="s">
        <v>904</v>
      </c>
      <c r="C30" s="26"/>
      <c r="D30" s="704"/>
      <c r="E30" s="705"/>
      <c r="F30" s="26"/>
      <c r="G30" s="840" t="s">
        <v>516</v>
      </c>
      <c r="H30" s="871">
        <v>2.5569868645753304E-2</v>
      </c>
      <c r="I30" s="26"/>
      <c r="J30" s="26"/>
      <c r="K30" s="26"/>
      <c r="L30" s="26"/>
      <c r="M30" s="26"/>
      <c r="N30" s="26"/>
      <c r="O30" s="26"/>
      <c r="P30" s="26"/>
      <c r="Q30" s="26"/>
      <c r="R30" s="26"/>
      <c r="S30" s="26"/>
      <c r="T30" s="26"/>
      <c r="U30" s="26"/>
      <c r="V30" s="26"/>
      <c r="W30" s="26"/>
      <c r="X30" s="29"/>
      <c r="Y30" s="112"/>
      <c r="Z30" s="26"/>
      <c r="AA30" s="26"/>
      <c r="AB30" s="26"/>
      <c r="AC30" s="26"/>
      <c r="AD30" s="26"/>
      <c r="AE30" s="26"/>
      <c r="AF30" s="26"/>
      <c r="AG30" s="26"/>
      <c r="AH30" s="26"/>
      <c r="AI30" s="26"/>
      <c r="AJ30" s="26"/>
      <c r="AK30" s="26"/>
      <c r="AL30" s="26"/>
      <c r="AM30" s="26"/>
      <c r="AN30" s="26"/>
    </row>
    <row r="31" spans="1:40" ht="18" customHeight="1">
      <c r="A31" s="711" t="s">
        <v>836</v>
      </c>
      <c r="B31" s="913">
        <f>B29+1</f>
        <v>4.4700000000000006</v>
      </c>
      <c r="C31" s="26"/>
      <c r="D31" s="708">
        <v>8.7693646536208689</v>
      </c>
      <c r="E31" s="709">
        <f>$D$31</f>
        <v>8.7693646536208689</v>
      </c>
      <c r="F31" s="26"/>
      <c r="G31" s="840" t="s">
        <v>517</v>
      </c>
      <c r="H31" s="871">
        <v>97.356251381476369</v>
      </c>
      <c r="I31" s="94"/>
      <c r="J31" s="26"/>
      <c r="K31" s="26"/>
      <c r="L31" s="26"/>
      <c r="M31" s="26"/>
      <c r="N31" s="26"/>
      <c r="O31" s="26"/>
      <c r="P31" s="26"/>
      <c r="Q31" s="26"/>
      <c r="R31" s="2"/>
      <c r="S31" s="2"/>
      <c r="T31" s="2"/>
      <c r="U31" s="2"/>
      <c r="V31" s="26"/>
      <c r="W31" s="26"/>
      <c r="X31" s="29"/>
      <c r="Y31" s="112"/>
      <c r="Z31" s="26"/>
      <c r="AA31" s="26"/>
      <c r="AB31" s="26"/>
      <c r="AC31" s="26"/>
      <c r="AD31" s="26"/>
      <c r="AE31" s="26"/>
      <c r="AF31" s="26"/>
      <c r="AG31" s="26"/>
      <c r="AH31" s="26"/>
      <c r="AI31" s="26"/>
      <c r="AJ31" s="26"/>
      <c r="AK31" s="26"/>
      <c r="AL31" s="26"/>
      <c r="AM31" s="26"/>
      <c r="AN31" s="26"/>
    </row>
    <row r="32" spans="1:40" ht="18" customHeight="1">
      <c r="A32" s="710" t="s">
        <v>835</v>
      </c>
      <c r="B32" s="866">
        <f>B29</f>
        <v>3.47</v>
      </c>
      <c r="C32" s="26"/>
      <c r="D32" s="708">
        <f>$D$31</f>
        <v>8.7693646536208689</v>
      </c>
      <c r="E32" s="709">
        <f>$D$31</f>
        <v>8.7693646536208689</v>
      </c>
      <c r="F32" s="26"/>
      <c r="G32" s="840" t="s">
        <v>889</v>
      </c>
      <c r="H32" s="871">
        <v>2.6181781237910879</v>
      </c>
      <c r="I32" s="26"/>
      <c r="J32" s="26"/>
      <c r="K32" s="26"/>
      <c r="L32" s="26"/>
      <c r="M32" s="26"/>
      <c r="N32" s="26"/>
      <c r="O32" s="26"/>
      <c r="P32" s="26"/>
      <c r="Q32" s="26"/>
      <c r="R32" s="2"/>
      <c r="S32" s="2"/>
      <c r="T32" s="2"/>
      <c r="U32" s="2"/>
      <c r="V32" s="26"/>
      <c r="W32" s="26"/>
      <c r="X32" s="29"/>
      <c r="Y32" s="112"/>
      <c r="Z32" s="26"/>
      <c r="AA32" s="26"/>
      <c r="AB32" s="26"/>
      <c r="AC32" s="26"/>
      <c r="AD32" s="26"/>
      <c r="AE32" s="26"/>
      <c r="AF32" s="26"/>
      <c r="AG32" s="26"/>
      <c r="AH32" s="26"/>
      <c r="AI32" s="26"/>
      <c r="AJ32" s="26"/>
      <c r="AK32" s="26"/>
      <c r="AL32" s="26"/>
      <c r="AM32" s="26"/>
      <c r="AN32" s="26"/>
    </row>
    <row r="33" spans="1:40" ht="18" customHeight="1" thickBot="1">
      <c r="A33" s="707" t="s">
        <v>834</v>
      </c>
      <c r="B33" s="914">
        <f>B29-1</f>
        <v>2.4700000000000002</v>
      </c>
      <c r="C33" s="26"/>
      <c r="D33" s="708">
        <f>$D$31</f>
        <v>8.7693646536208689</v>
      </c>
      <c r="E33" s="709">
        <f>$D$31</f>
        <v>8.7693646536208689</v>
      </c>
      <c r="F33" s="26"/>
      <c r="G33" s="840" t="s">
        <v>890</v>
      </c>
      <c r="H33" s="871">
        <v>6.2608678365720942E-7</v>
      </c>
      <c r="I33" s="26"/>
      <c r="J33" s="26"/>
      <c r="K33" s="26"/>
      <c r="L33" s="26"/>
      <c r="M33" s="26"/>
      <c r="N33" s="26"/>
      <c r="O33" s="26"/>
      <c r="P33" s="26"/>
      <c r="Q33" s="26"/>
      <c r="R33" s="2"/>
      <c r="S33" s="2"/>
      <c r="T33" s="2"/>
      <c r="U33" s="2"/>
      <c r="V33" s="26"/>
      <c r="W33" s="26"/>
      <c r="X33" s="29"/>
      <c r="Y33" s="112"/>
      <c r="Z33" s="26"/>
      <c r="AA33" s="26"/>
      <c r="AB33" s="26"/>
      <c r="AC33" s="26"/>
      <c r="AD33" s="26"/>
      <c r="AE33" s="26"/>
      <c r="AF33" s="26"/>
      <c r="AG33" s="26"/>
      <c r="AH33" s="26"/>
      <c r="AI33" s="26"/>
      <c r="AJ33" s="26"/>
      <c r="AK33" s="26"/>
      <c r="AL33" s="26"/>
      <c r="AM33" s="26"/>
      <c r="AN33" s="26"/>
    </row>
    <row r="34" spans="1:40" ht="18" customHeight="1">
      <c r="A34" s="712" t="s">
        <v>845</v>
      </c>
      <c r="B34" s="867"/>
      <c r="C34" s="26"/>
      <c r="D34" s="708">
        <f>$D$31</f>
        <v>8.7693646536208689</v>
      </c>
      <c r="E34" s="709">
        <f>$D$31</f>
        <v>8.7693646536208689</v>
      </c>
      <c r="F34" s="26"/>
      <c r="G34" s="840" t="s">
        <v>891</v>
      </c>
      <c r="H34" s="871"/>
      <c r="I34" s="26"/>
      <c r="J34" s="26"/>
      <c r="K34" s="26"/>
      <c r="L34" s="26"/>
      <c r="M34" s="26"/>
      <c r="N34" s="26"/>
      <c r="O34" s="26"/>
      <c r="P34" s="26"/>
      <c r="Q34" s="26"/>
      <c r="R34" s="726" t="s">
        <v>613</v>
      </c>
      <c r="S34" s="727"/>
      <c r="T34" s="2"/>
      <c r="U34" s="2"/>
      <c r="V34" s="26"/>
      <c r="W34" s="26"/>
      <c r="X34" s="29"/>
      <c r="Y34" s="112"/>
      <c r="Z34" s="26"/>
      <c r="AA34" s="26"/>
      <c r="AB34" s="26"/>
      <c r="AC34" s="26"/>
      <c r="AD34" s="26"/>
      <c r="AE34" s="26"/>
      <c r="AF34" s="26"/>
      <c r="AG34" s="26"/>
      <c r="AH34" s="26"/>
      <c r="AI34" s="26"/>
      <c r="AJ34" s="26"/>
      <c r="AK34" s="26"/>
      <c r="AL34" s="26"/>
      <c r="AM34" s="26"/>
      <c r="AN34" s="26"/>
    </row>
    <row r="35" spans="1:40" ht="18" customHeight="1" thickBot="1">
      <c r="A35" s="30" t="s">
        <v>840</v>
      </c>
      <c r="B35" s="868" t="s">
        <v>847</v>
      </c>
      <c r="C35" s="26"/>
      <c r="D35" s="708">
        <f>$D$31</f>
        <v>8.7693646536208689</v>
      </c>
      <c r="E35" s="709">
        <f>$D$31</f>
        <v>8.7693646536208689</v>
      </c>
      <c r="F35" s="26"/>
      <c r="G35" s="840" t="s">
        <v>892</v>
      </c>
      <c r="H35" s="871"/>
      <c r="I35" s="26"/>
      <c r="J35" s="26"/>
      <c r="K35" s="26"/>
      <c r="L35" s="26"/>
      <c r="M35" s="26"/>
      <c r="N35" s="26"/>
      <c r="O35" s="26"/>
      <c r="P35" s="26"/>
      <c r="Q35" s="26"/>
      <c r="R35" s="726" t="s">
        <v>614</v>
      </c>
      <c r="S35" s="728"/>
      <c r="T35" s="2"/>
      <c r="U35" s="2"/>
      <c r="V35" s="26"/>
      <c r="W35" s="26"/>
      <c r="X35" s="29"/>
      <c r="Y35" s="112"/>
      <c r="Z35" s="26"/>
      <c r="AA35" s="26"/>
      <c r="AB35" s="26"/>
      <c r="AC35" s="26"/>
      <c r="AD35" s="26"/>
      <c r="AE35" s="26"/>
      <c r="AF35" s="26"/>
      <c r="AG35" s="26"/>
      <c r="AH35" s="26"/>
      <c r="AI35" s="26"/>
      <c r="AJ35" s="26"/>
      <c r="AK35" s="26"/>
      <c r="AL35" s="26"/>
      <c r="AM35" s="26"/>
      <c r="AN35" s="26"/>
    </row>
    <row r="36" spans="1:40" ht="18" customHeight="1" thickTop="1" thickBot="1">
      <c r="A36" s="689" t="s">
        <v>837</v>
      </c>
      <c r="B36" s="869">
        <v>99.999498081542626</v>
      </c>
      <c r="C36" s="26"/>
      <c r="D36" s="934" t="s">
        <v>841</v>
      </c>
      <c r="E36" s="713"/>
      <c r="F36" s="26"/>
      <c r="G36" s="841" t="s">
        <v>893</v>
      </c>
      <c r="H36" s="872"/>
      <c r="I36" s="26"/>
      <c r="J36" s="26"/>
      <c r="K36" s="26"/>
      <c r="L36" s="26"/>
      <c r="M36" s="26"/>
      <c r="N36" s="26"/>
      <c r="O36" s="26"/>
      <c r="P36" s="26"/>
      <c r="Q36" s="26"/>
      <c r="R36" s="729" t="s">
        <v>615</v>
      </c>
      <c r="S36" s="730"/>
      <c r="T36" s="2"/>
      <c r="U36" s="2"/>
      <c r="V36" s="26"/>
      <c r="W36" s="26"/>
      <c r="X36" s="29"/>
      <c r="Y36" s="112"/>
      <c r="Z36" s="26"/>
      <c r="AA36" s="26"/>
      <c r="AB36" s="26"/>
      <c r="AC36" s="26"/>
      <c r="AD36" s="26"/>
      <c r="AE36" s="26"/>
      <c r="AF36" s="26"/>
      <c r="AG36" s="26"/>
      <c r="AH36" s="26"/>
      <c r="AI36" s="26"/>
      <c r="AJ36" s="26"/>
      <c r="AK36" s="26"/>
      <c r="AL36" s="26"/>
      <c r="AM36" s="26"/>
      <c r="AN36" s="26"/>
    </row>
    <row r="37" spans="1:40" ht="18" customHeight="1" thickTop="1" thickBot="1">
      <c r="A37" s="714" t="s">
        <v>838</v>
      </c>
      <c r="B37" s="870">
        <v>5.0191845737401763E-4</v>
      </c>
      <c r="C37" s="26"/>
      <c r="D37" s="884"/>
      <c r="E37" s="883"/>
      <c r="F37" s="26"/>
      <c r="G37" s="26"/>
      <c r="H37" s="26"/>
      <c r="I37" s="26"/>
      <c r="J37" s="26"/>
      <c r="K37" s="26"/>
      <c r="L37" s="26"/>
      <c r="M37" s="26"/>
      <c r="N37" s="26"/>
      <c r="O37" s="26"/>
      <c r="P37" s="26"/>
      <c r="Q37" s="26"/>
      <c r="R37" s="726" t="s">
        <v>616</v>
      </c>
      <c r="S37" s="727"/>
      <c r="T37" s="2"/>
      <c r="U37" s="2"/>
      <c r="V37" s="26"/>
      <c r="W37" s="26"/>
      <c r="X37" s="29"/>
      <c r="Y37" s="112"/>
      <c r="Z37" s="26"/>
      <c r="AA37" s="26"/>
      <c r="AB37" s="26"/>
      <c r="AC37" s="26"/>
      <c r="AD37" s="26"/>
      <c r="AE37" s="26"/>
      <c r="AF37" s="26"/>
      <c r="AG37" s="26"/>
      <c r="AH37" s="26"/>
      <c r="AI37" s="26"/>
      <c r="AJ37" s="26"/>
      <c r="AK37" s="26"/>
      <c r="AL37" s="26"/>
      <c r="AM37" s="26"/>
      <c r="AN37" s="26"/>
    </row>
    <row r="38" spans="1:40" ht="18" customHeight="1" thickTop="1">
      <c r="A38" s="26"/>
      <c r="B38" s="26"/>
      <c r="C38" s="26"/>
      <c r="D38" s="26"/>
      <c r="E38" s="26"/>
      <c r="F38" s="26"/>
      <c r="G38" s="26"/>
      <c r="H38" s="26"/>
      <c r="I38" s="26"/>
      <c r="J38" s="26"/>
      <c r="K38" s="26"/>
      <c r="L38" s="26"/>
      <c r="M38" s="26"/>
      <c r="N38" s="26"/>
      <c r="O38" s="26"/>
      <c r="P38" s="26"/>
      <c r="Q38" s="26"/>
      <c r="R38" s="726" t="s">
        <v>617</v>
      </c>
      <c r="S38" s="727"/>
      <c r="T38" s="2"/>
      <c r="U38" s="2"/>
      <c r="V38" s="2"/>
      <c r="W38" s="2"/>
      <c r="X38" s="2"/>
      <c r="Y38" s="2"/>
      <c r="Z38" s="2"/>
      <c r="AA38" s="2"/>
      <c r="AB38" s="2"/>
      <c r="AC38" s="2"/>
      <c r="AD38" s="2"/>
      <c r="AE38" s="2"/>
      <c r="AF38" s="2"/>
      <c r="AG38" s="2"/>
      <c r="AH38" s="2"/>
      <c r="AI38" s="2"/>
      <c r="AJ38" s="2"/>
      <c r="AK38" s="2"/>
      <c r="AL38" s="2"/>
      <c r="AM38" s="2"/>
      <c r="AN38" s="2"/>
    </row>
    <row r="39" spans="1:40">
      <c r="A39" s="120" t="s">
        <v>618</v>
      </c>
      <c r="B39" s="120" t="s">
        <v>34</v>
      </c>
      <c r="C39" s="120" t="s">
        <v>618</v>
      </c>
      <c r="D39" s="120" t="s">
        <v>34</v>
      </c>
      <c r="E39" s="120" t="s">
        <v>578</v>
      </c>
      <c r="F39" s="120" t="s">
        <v>33</v>
      </c>
      <c r="G39" s="120" t="s">
        <v>779</v>
      </c>
      <c r="H39" s="120" t="s">
        <v>780</v>
      </c>
      <c r="I39" s="120" t="s">
        <v>337</v>
      </c>
      <c r="J39" s="120" t="s">
        <v>338</v>
      </c>
      <c r="K39" s="120" t="s">
        <v>339</v>
      </c>
      <c r="L39" s="120" t="s">
        <v>340</v>
      </c>
      <c r="M39" s="120" t="s">
        <v>341</v>
      </c>
      <c r="N39" s="120" t="s">
        <v>342</v>
      </c>
      <c r="O39" s="120" t="s">
        <v>344</v>
      </c>
      <c r="P39" s="120" t="s">
        <v>624</v>
      </c>
      <c r="Q39" s="120" t="s">
        <v>625</v>
      </c>
      <c r="R39" s="120" t="s">
        <v>626</v>
      </c>
      <c r="S39" s="120"/>
      <c r="T39" s="120"/>
      <c r="U39" s="120"/>
      <c r="V39" s="120"/>
      <c r="W39" s="120"/>
      <c r="X39" s="120"/>
      <c r="Y39" s="120"/>
      <c r="Z39" s="120"/>
      <c r="AA39" s="120"/>
      <c r="AB39" s="120"/>
      <c r="AC39" s="120"/>
      <c r="AD39" s="120"/>
      <c r="AE39" s="120"/>
      <c r="AF39" s="120"/>
      <c r="AG39" s="120"/>
      <c r="AH39" s="120"/>
      <c r="AI39" s="120"/>
      <c r="AJ39" s="120"/>
      <c r="AK39" s="120"/>
      <c r="AL39" s="120"/>
      <c r="AM39" s="120"/>
      <c r="AN39" s="120"/>
    </row>
    <row r="40" spans="1:40" ht="25.5">
      <c r="A40" s="316" t="s">
        <v>579</v>
      </c>
      <c r="B40" s="317" t="s">
        <v>619</v>
      </c>
      <c r="C40" s="716" t="s">
        <v>850</v>
      </c>
      <c r="D40" s="716" t="s">
        <v>850</v>
      </c>
      <c r="E40" s="318"/>
      <c r="F40" s="318" t="s">
        <v>346</v>
      </c>
      <c r="G40" s="318" t="s">
        <v>828</v>
      </c>
      <c r="H40" s="318" t="s">
        <v>829</v>
      </c>
      <c r="I40" s="232" t="str">
        <f t="shared" ref="I40:R40" si="13">K3</f>
        <v>Phosphoric acid</v>
      </c>
      <c r="J40" s="232" t="str">
        <f t="shared" si="13"/>
        <v>Carbonic acid</v>
      </c>
      <c r="K40" s="232" t="str">
        <f t="shared" si="13"/>
        <v>Acetic acid</v>
      </c>
      <c r="L40" s="232" t="str">
        <f t="shared" si="13"/>
        <v>Methyl Orange (pKa 3.5)</v>
      </c>
      <c r="M40" s="232" t="str">
        <f t="shared" si="13"/>
        <v>Ammonia</v>
      </c>
      <c r="N40" s="232" t="str">
        <f t="shared" si="13"/>
        <v>Hydroxide ion</v>
      </c>
      <c r="O40" s="232" t="str">
        <f t="shared" si="13"/>
        <v>Glycine</v>
      </c>
      <c r="P40" s="242" t="str">
        <f t="shared" si="13"/>
        <v>Strong ACID</v>
      </c>
      <c r="Q40" s="242" t="str">
        <f t="shared" si="13"/>
        <v>Strong BASE</v>
      </c>
      <c r="R40" s="242" t="str">
        <f t="shared" si="13"/>
        <v>Carbonic ac.</v>
      </c>
      <c r="S40" s="137"/>
      <c r="T40" s="137"/>
      <c r="U40" s="137"/>
      <c r="V40" s="137"/>
      <c r="W40" s="137"/>
      <c r="X40" s="137"/>
      <c r="Y40" s="137"/>
      <c r="Z40" s="137"/>
      <c r="AA40" s="137"/>
      <c r="AB40" s="137"/>
      <c r="AC40" s="137"/>
      <c r="AD40" s="137"/>
      <c r="AE40" s="137"/>
      <c r="AF40" s="137"/>
      <c r="AG40" s="137"/>
      <c r="AH40" s="137"/>
      <c r="AI40" s="137"/>
      <c r="AJ40" s="137"/>
      <c r="AK40" s="137"/>
      <c r="AL40" s="137"/>
      <c r="AM40" s="137"/>
      <c r="AN40" s="137"/>
    </row>
    <row r="41" spans="1:40">
      <c r="A41" s="19">
        <v>0</v>
      </c>
      <c r="B41" s="19">
        <v>7.9433521092869341</v>
      </c>
      <c r="C41" s="878">
        <v>0</v>
      </c>
      <c r="D41" s="19">
        <v>7.9433521092869341</v>
      </c>
      <c r="E41" s="122">
        <v>1.139325691485904E-8</v>
      </c>
      <c r="F41" s="122">
        <v>1.359999999876747E-2</v>
      </c>
      <c r="G41" s="122">
        <v>1</v>
      </c>
      <c r="H41" s="122">
        <v>0</v>
      </c>
      <c r="I41" s="124">
        <v>1.1526163052262306</v>
      </c>
      <c r="J41" s="124"/>
      <c r="K41" s="124"/>
      <c r="L41" s="124"/>
      <c r="M41" s="124"/>
      <c r="N41" s="124"/>
      <c r="O41" s="124"/>
      <c r="P41" s="124"/>
      <c r="Q41" s="124">
        <v>0.99999998421109171</v>
      </c>
      <c r="R41" s="124"/>
      <c r="S41" s="124"/>
      <c r="T41" s="124"/>
      <c r="U41" s="124"/>
      <c r="V41" s="124"/>
      <c r="W41" s="17"/>
      <c r="X41" s="17"/>
      <c r="Y41" s="17"/>
      <c r="Z41" s="17"/>
      <c r="AA41" s="17"/>
      <c r="AB41" s="17"/>
      <c r="AC41" s="17"/>
      <c r="AD41" s="17"/>
      <c r="AE41" s="17"/>
      <c r="AF41" s="17"/>
      <c r="AG41" s="17"/>
      <c r="AH41" s="17"/>
      <c r="AI41" s="17"/>
      <c r="AJ41" s="17"/>
      <c r="AK41" s="17"/>
      <c r="AL41" s="17"/>
      <c r="AM41" s="17"/>
      <c r="AN41" s="17"/>
    </row>
    <row r="42" spans="1:40">
      <c r="A42" s="19">
        <v>0.01</v>
      </c>
      <c r="B42" s="19">
        <v>8.1055189087055624</v>
      </c>
      <c r="C42" s="878">
        <v>0.01</v>
      </c>
      <c r="D42" s="19">
        <v>8.1055189087055624</v>
      </c>
      <c r="E42" s="122">
        <v>7.8429797066487566E-9</v>
      </c>
      <c r="F42" s="122">
        <v>1.3593203399045245E-2</v>
      </c>
      <c r="G42" s="122">
        <v>0.99950024987506236</v>
      </c>
      <c r="H42" s="122">
        <v>4.9975012493753122E-4</v>
      </c>
      <c r="I42" s="124">
        <v>1.1102776839753665</v>
      </c>
      <c r="J42" s="124"/>
      <c r="K42" s="124"/>
      <c r="L42" s="124"/>
      <c r="M42" s="124"/>
      <c r="N42" s="124"/>
      <c r="O42" s="124"/>
      <c r="P42" s="124"/>
      <c r="Q42" s="124">
        <v>0.99999997706393562</v>
      </c>
      <c r="R42" s="124"/>
      <c r="S42" s="124"/>
      <c r="T42" s="124"/>
      <c r="U42" s="124"/>
      <c r="V42" s="124"/>
      <c r="W42" s="17"/>
      <c r="X42" s="17"/>
      <c r="Y42" s="17"/>
      <c r="Z42" s="17"/>
      <c r="AA42" s="17"/>
      <c r="AB42" s="17"/>
      <c r="AC42" s="17"/>
      <c r="AD42" s="17"/>
      <c r="AE42" s="17"/>
      <c r="AF42" s="17"/>
      <c r="AG42" s="17"/>
      <c r="AH42" s="17"/>
      <c r="AI42" s="17"/>
      <c r="AJ42" s="17"/>
      <c r="AK42" s="17"/>
      <c r="AL42" s="17"/>
      <c r="AM42" s="17"/>
      <c r="AN42" s="17"/>
    </row>
    <row r="43" spans="1:40">
      <c r="A43" s="19">
        <v>0.03</v>
      </c>
      <c r="B43" s="19">
        <v>8.7693646536208689</v>
      </c>
      <c r="C43" s="878">
        <v>0.03</v>
      </c>
      <c r="D43" s="19">
        <v>8.7693646536208689</v>
      </c>
      <c r="E43" s="122">
        <v>1.7007298976740109E-9</v>
      </c>
      <c r="F43" s="122">
        <v>1.3579630553996174E-2</v>
      </c>
      <c r="G43" s="122">
        <v>0.99850224663005482</v>
      </c>
      <c r="H43" s="122">
        <v>1.4977533699450823E-3</v>
      </c>
      <c r="I43" s="124">
        <v>1.0259260950455626</v>
      </c>
      <c r="J43" s="124"/>
      <c r="K43" s="124"/>
      <c r="L43" s="124"/>
      <c r="M43" s="124"/>
      <c r="N43" s="124"/>
      <c r="O43" s="124"/>
      <c r="P43" s="124"/>
      <c r="Q43" s="124">
        <v>0.99999989422948765</v>
      </c>
      <c r="R43" s="124"/>
      <c r="S43" s="124"/>
      <c r="T43" s="124"/>
      <c r="U43" s="124"/>
      <c r="V43" s="124"/>
      <c r="W43" s="17"/>
      <c r="X43" s="17"/>
      <c r="Y43" s="17"/>
      <c r="Z43" s="17"/>
      <c r="AA43" s="17"/>
      <c r="AB43" s="17"/>
      <c r="AC43" s="17"/>
      <c r="AD43" s="17"/>
      <c r="AE43" s="17"/>
      <c r="AF43" s="17"/>
      <c r="AG43" s="17"/>
      <c r="AH43" s="17"/>
      <c r="AI43" s="17"/>
      <c r="AJ43" s="17"/>
      <c r="AK43" s="17"/>
      <c r="AL43" s="17"/>
      <c r="AM43" s="17"/>
      <c r="AN43" s="17"/>
    </row>
    <row r="44" spans="1:40">
      <c r="A44" s="19"/>
      <c r="B44" s="19"/>
      <c r="C44" s="878"/>
      <c r="D44" s="19"/>
      <c r="E44" s="122"/>
      <c r="F44" s="122"/>
      <c r="G44" s="122"/>
      <c r="H44" s="122"/>
      <c r="I44" s="124"/>
      <c r="J44" s="124"/>
      <c r="K44" s="124"/>
      <c r="L44" s="124"/>
      <c r="M44" s="124"/>
      <c r="N44" s="124"/>
      <c r="O44" s="124"/>
      <c r="P44" s="124"/>
      <c r="Q44" s="124"/>
      <c r="R44" s="124"/>
      <c r="S44" s="124"/>
      <c r="T44" s="124"/>
      <c r="U44" s="124"/>
      <c r="V44" s="124"/>
      <c r="W44" s="17"/>
      <c r="X44" s="17"/>
      <c r="Y44" s="17"/>
      <c r="Z44" s="17"/>
      <c r="AA44" s="17"/>
      <c r="AB44" s="17"/>
      <c r="AC44" s="17"/>
      <c r="AD44" s="17"/>
      <c r="AE44" s="17"/>
      <c r="AF44" s="17"/>
      <c r="AG44" s="17"/>
      <c r="AH44" s="17"/>
      <c r="AI44" s="17"/>
      <c r="AJ44" s="17"/>
      <c r="AK44" s="17"/>
      <c r="AL44" s="17"/>
      <c r="AM44" s="17"/>
      <c r="AN44" s="17"/>
    </row>
    <row r="45" spans="1:40">
      <c r="A45" s="19"/>
      <c r="B45" s="19"/>
      <c r="C45" s="878"/>
      <c r="D45" s="19"/>
      <c r="E45" s="122"/>
      <c r="F45" s="122"/>
      <c r="G45" s="122"/>
      <c r="H45" s="122"/>
      <c r="I45" s="124"/>
      <c r="J45" s="124"/>
      <c r="K45" s="124"/>
      <c r="L45" s="124"/>
      <c r="M45" s="124"/>
      <c r="N45" s="124"/>
      <c r="O45" s="124"/>
      <c r="P45" s="124"/>
      <c r="Q45" s="124"/>
      <c r="R45" s="124"/>
      <c r="S45" s="124"/>
      <c r="T45" s="124"/>
      <c r="U45" s="124"/>
      <c r="V45" s="124"/>
      <c r="W45" s="17"/>
      <c r="X45" s="17"/>
      <c r="Y45" s="17"/>
      <c r="Z45" s="17"/>
      <c r="AA45" s="17"/>
      <c r="AB45" s="17"/>
      <c r="AC45" s="17"/>
      <c r="AD45" s="17"/>
      <c r="AE45" s="17"/>
      <c r="AF45" s="17"/>
      <c r="AG45" s="17"/>
      <c r="AH45" s="17"/>
      <c r="AI45" s="17"/>
      <c r="AJ45" s="17"/>
      <c r="AK45" s="17"/>
      <c r="AL45" s="17"/>
      <c r="AM45" s="17"/>
      <c r="AN45" s="17"/>
    </row>
    <row r="46" spans="1:40">
      <c r="A46" s="19"/>
      <c r="B46" s="19"/>
      <c r="C46" s="878"/>
      <c r="D46" s="19"/>
      <c r="E46" s="122"/>
      <c r="F46" s="122"/>
      <c r="G46" s="122"/>
      <c r="H46" s="122"/>
      <c r="I46" s="124"/>
      <c r="J46" s="124"/>
      <c r="K46" s="124"/>
      <c r="L46" s="124"/>
      <c r="M46" s="124"/>
      <c r="N46" s="124"/>
      <c r="O46" s="124"/>
      <c r="P46" s="124"/>
      <c r="Q46" s="124"/>
      <c r="R46" s="124"/>
      <c r="S46" s="124"/>
      <c r="T46" s="124"/>
      <c r="U46" s="124"/>
      <c r="V46" s="124"/>
      <c r="W46" s="17"/>
      <c r="X46" s="17"/>
      <c r="Y46" s="17"/>
      <c r="Z46" s="17"/>
      <c r="AA46" s="17"/>
      <c r="AB46" s="17"/>
      <c r="AC46" s="17"/>
      <c r="AD46" s="17"/>
      <c r="AE46" s="17"/>
      <c r="AF46" s="17"/>
      <c r="AG46" s="17"/>
      <c r="AH46" s="17"/>
      <c r="AI46" s="17"/>
      <c r="AJ46" s="17"/>
      <c r="AK46" s="17"/>
      <c r="AL46" s="17"/>
      <c r="AM46" s="17"/>
      <c r="AN46" s="17"/>
    </row>
    <row r="47" spans="1:40">
      <c r="A47" s="19"/>
      <c r="B47" s="19"/>
      <c r="C47" s="878"/>
      <c r="D47" s="19"/>
      <c r="E47" s="122"/>
      <c r="F47" s="122"/>
      <c r="G47" s="122"/>
      <c r="H47" s="122"/>
      <c r="I47" s="124"/>
      <c r="J47" s="124"/>
      <c r="K47" s="124"/>
      <c r="L47" s="124"/>
      <c r="M47" s="124"/>
      <c r="N47" s="124"/>
      <c r="O47" s="124"/>
      <c r="P47" s="124"/>
      <c r="Q47" s="124"/>
      <c r="R47" s="124"/>
      <c r="S47" s="124"/>
      <c r="T47" s="124"/>
      <c r="U47" s="124"/>
      <c r="V47" s="124"/>
      <c r="W47" s="17"/>
      <c r="X47" s="17"/>
      <c r="Y47" s="17"/>
      <c r="Z47" s="17"/>
      <c r="AA47" s="17"/>
      <c r="AB47" s="17"/>
      <c r="AC47" s="17"/>
      <c r="AD47" s="17"/>
      <c r="AE47" s="17"/>
      <c r="AF47" s="17"/>
      <c r="AG47" s="17"/>
      <c r="AH47" s="17"/>
      <c r="AI47" s="17"/>
      <c r="AJ47" s="17"/>
      <c r="AK47" s="17"/>
      <c r="AL47" s="17"/>
      <c r="AM47" s="17"/>
      <c r="AN47" s="17"/>
    </row>
    <row r="48" spans="1:40">
      <c r="A48" s="19"/>
      <c r="B48" s="19"/>
      <c r="C48" s="878"/>
      <c r="D48" s="19"/>
      <c r="E48" s="122"/>
      <c r="F48" s="122"/>
      <c r="G48" s="122"/>
      <c r="H48" s="122"/>
      <c r="I48" s="124"/>
      <c r="J48" s="124"/>
      <c r="K48" s="124"/>
      <c r="L48" s="124"/>
      <c r="M48" s="124"/>
      <c r="N48" s="124"/>
      <c r="O48" s="124"/>
      <c r="P48" s="124"/>
      <c r="Q48" s="124"/>
      <c r="R48" s="124"/>
      <c r="S48" s="124"/>
      <c r="T48" s="124"/>
      <c r="U48" s="124"/>
      <c r="V48" s="124"/>
      <c r="W48" s="17"/>
      <c r="X48" s="17"/>
      <c r="Y48" s="17"/>
      <c r="Z48" s="17"/>
      <c r="AA48" s="17"/>
      <c r="AB48" s="17"/>
      <c r="AC48" s="17"/>
      <c r="AD48" s="17"/>
      <c r="AE48" s="17"/>
      <c r="AF48" s="17"/>
      <c r="AG48" s="17"/>
      <c r="AH48" s="17"/>
      <c r="AI48" s="17"/>
      <c r="AJ48" s="17"/>
      <c r="AK48" s="17"/>
      <c r="AL48" s="17"/>
      <c r="AM48" s="17"/>
      <c r="AN48" s="17"/>
    </row>
    <row r="49" spans="1:40">
      <c r="A49" s="19"/>
      <c r="B49" s="19"/>
      <c r="C49" s="878"/>
      <c r="D49" s="19"/>
      <c r="E49" s="122"/>
      <c r="F49" s="122"/>
      <c r="G49" s="122"/>
      <c r="H49" s="122"/>
      <c r="I49" s="124"/>
      <c r="J49" s="124"/>
      <c r="K49" s="124"/>
      <c r="L49" s="124"/>
      <c r="M49" s="124"/>
      <c r="N49" s="124"/>
      <c r="O49" s="124"/>
      <c r="P49" s="124"/>
      <c r="Q49" s="124"/>
      <c r="R49" s="124"/>
      <c r="S49" s="124"/>
      <c r="T49" s="124"/>
      <c r="U49" s="124"/>
      <c r="V49" s="124"/>
      <c r="W49" s="17"/>
      <c r="X49" s="17"/>
      <c r="Y49" s="17"/>
      <c r="Z49" s="17"/>
      <c r="AA49" s="17"/>
      <c r="AB49" s="17"/>
      <c r="AC49" s="17"/>
      <c r="AD49" s="17"/>
      <c r="AE49" s="17"/>
      <c r="AF49" s="17"/>
      <c r="AG49" s="17"/>
      <c r="AH49" s="17"/>
      <c r="AI49" s="17"/>
      <c r="AJ49" s="17"/>
      <c r="AK49" s="17"/>
      <c r="AL49" s="17"/>
      <c r="AM49" s="17"/>
      <c r="AN49" s="17"/>
    </row>
    <row r="50" spans="1:40">
      <c r="A50" s="19"/>
      <c r="B50" s="19"/>
      <c r="C50" s="878"/>
      <c r="D50" s="19"/>
      <c r="E50" s="122"/>
      <c r="F50" s="122"/>
      <c r="G50" s="122"/>
      <c r="H50" s="122"/>
      <c r="I50" s="124"/>
      <c r="J50" s="124"/>
      <c r="K50" s="124"/>
      <c r="L50" s="124"/>
      <c r="M50" s="124"/>
      <c r="N50" s="124"/>
      <c r="O50" s="124"/>
      <c r="P50" s="124"/>
      <c r="Q50" s="124"/>
      <c r="R50" s="124"/>
      <c r="S50" s="124"/>
      <c r="T50" s="124"/>
      <c r="U50" s="124"/>
      <c r="V50" s="124"/>
      <c r="W50" s="17"/>
      <c r="X50" s="17"/>
      <c r="Y50" s="17"/>
      <c r="Z50" s="17"/>
      <c r="AA50" s="17"/>
      <c r="AB50" s="17"/>
      <c r="AC50" s="17"/>
      <c r="AD50" s="17"/>
      <c r="AE50" s="17"/>
      <c r="AF50" s="17"/>
      <c r="AG50" s="17"/>
      <c r="AH50" s="17"/>
      <c r="AI50" s="17"/>
      <c r="AJ50" s="17"/>
      <c r="AK50" s="17"/>
      <c r="AL50" s="17"/>
      <c r="AM50" s="17"/>
      <c r="AN50" s="17"/>
    </row>
    <row r="51" spans="1:40">
      <c r="A51" s="19"/>
      <c r="B51" s="19"/>
      <c r="C51" s="878"/>
      <c r="D51" s="19"/>
      <c r="E51" s="122"/>
      <c r="F51" s="122"/>
      <c r="G51" s="122"/>
      <c r="H51" s="122"/>
      <c r="I51" s="124"/>
      <c r="J51" s="124"/>
      <c r="K51" s="124"/>
      <c r="L51" s="124"/>
      <c r="M51" s="124"/>
      <c r="N51" s="124"/>
      <c r="O51" s="124"/>
      <c r="P51" s="124"/>
      <c r="Q51" s="124"/>
      <c r="R51" s="124"/>
      <c r="S51" s="124"/>
      <c r="T51" s="124"/>
      <c r="U51" s="124"/>
      <c r="V51" s="124"/>
      <c r="W51" s="17"/>
      <c r="X51" s="17"/>
      <c r="Y51" s="17"/>
      <c r="Z51" s="17"/>
      <c r="AA51" s="17"/>
      <c r="AB51" s="17"/>
      <c r="AC51" s="17"/>
      <c r="AD51" s="17"/>
      <c r="AE51" s="17"/>
      <c r="AF51" s="17"/>
      <c r="AG51" s="17"/>
      <c r="AH51" s="17"/>
      <c r="AI51" s="17"/>
      <c r="AJ51" s="17"/>
      <c r="AK51" s="17"/>
      <c r="AL51" s="17"/>
      <c r="AM51" s="17"/>
      <c r="AN51" s="17"/>
    </row>
    <row r="52" spans="1:40">
      <c r="A52" s="19"/>
      <c r="B52" s="19"/>
      <c r="C52" s="878"/>
      <c r="D52" s="19"/>
      <c r="E52" s="122"/>
      <c r="F52" s="122"/>
      <c r="G52" s="122"/>
      <c r="H52" s="122"/>
      <c r="I52" s="124"/>
      <c r="J52" s="124"/>
      <c r="K52" s="124"/>
      <c r="L52" s="124"/>
      <c r="M52" s="124"/>
      <c r="N52" s="124"/>
      <c r="O52" s="124"/>
      <c r="P52" s="124"/>
      <c r="Q52" s="124"/>
      <c r="R52" s="124"/>
      <c r="S52" s="124"/>
      <c r="T52" s="124"/>
      <c r="U52" s="124"/>
      <c r="V52" s="124"/>
      <c r="W52" s="17"/>
      <c r="X52" s="17"/>
      <c r="Y52" s="17"/>
      <c r="Z52" s="17"/>
      <c r="AA52" s="17"/>
      <c r="AB52" s="17"/>
      <c r="AC52" s="17"/>
      <c r="AD52" s="17"/>
      <c r="AE52" s="17"/>
      <c r="AF52" s="17"/>
      <c r="AG52" s="17"/>
      <c r="AH52" s="17"/>
      <c r="AI52" s="17"/>
      <c r="AJ52" s="17"/>
      <c r="AK52" s="17"/>
      <c r="AL52" s="17"/>
      <c r="AM52" s="17"/>
      <c r="AN52" s="17"/>
    </row>
    <row r="53" spans="1:40">
      <c r="A53" s="19"/>
      <c r="B53" s="19"/>
      <c r="C53" s="878"/>
      <c r="D53" s="19"/>
      <c r="E53" s="122"/>
      <c r="F53" s="122"/>
      <c r="G53" s="122"/>
      <c r="H53" s="122"/>
      <c r="I53" s="124"/>
      <c r="J53" s="124"/>
      <c r="K53" s="124"/>
      <c r="L53" s="124"/>
      <c r="M53" s="124"/>
      <c r="N53" s="124"/>
      <c r="O53" s="124"/>
      <c r="P53" s="124"/>
      <c r="Q53" s="124"/>
      <c r="R53" s="124"/>
      <c r="S53" s="124"/>
      <c r="T53" s="124"/>
      <c r="U53" s="124"/>
      <c r="V53" s="124"/>
      <c r="W53" s="17"/>
      <c r="X53" s="17"/>
      <c r="Y53" s="17"/>
      <c r="Z53" s="17"/>
      <c r="AA53" s="17"/>
      <c r="AB53" s="17"/>
      <c r="AC53" s="17"/>
      <c r="AD53" s="17"/>
      <c r="AE53" s="17"/>
      <c r="AF53" s="17"/>
      <c r="AG53" s="17"/>
      <c r="AH53" s="17"/>
      <c r="AI53" s="17"/>
      <c r="AJ53" s="17"/>
      <c r="AK53" s="17"/>
      <c r="AL53" s="17"/>
      <c r="AM53" s="17"/>
      <c r="AN53" s="17"/>
    </row>
    <row r="54" spans="1:40">
      <c r="A54" s="19"/>
      <c r="B54" s="19"/>
      <c r="C54" s="878"/>
      <c r="D54" s="19"/>
      <c r="E54" s="122"/>
      <c r="F54" s="122"/>
      <c r="G54" s="122"/>
      <c r="H54" s="122"/>
      <c r="I54" s="124"/>
      <c r="J54" s="124"/>
      <c r="K54" s="124"/>
      <c r="L54" s="124"/>
      <c r="M54" s="124"/>
      <c r="N54" s="124"/>
      <c r="O54" s="124"/>
      <c r="P54" s="124"/>
      <c r="Q54" s="124"/>
      <c r="R54" s="124"/>
      <c r="S54" s="124"/>
      <c r="T54" s="124"/>
      <c r="U54" s="124"/>
      <c r="V54" s="124"/>
      <c r="W54" s="17"/>
      <c r="X54" s="17"/>
      <c r="Y54" s="17"/>
      <c r="Z54" s="17"/>
      <c r="AA54" s="17"/>
      <c r="AB54" s="17"/>
      <c r="AC54" s="17"/>
      <c r="AD54" s="17"/>
      <c r="AE54" s="17"/>
      <c r="AF54" s="17"/>
      <c r="AG54" s="17"/>
      <c r="AH54" s="17"/>
      <c r="AI54" s="17"/>
      <c r="AJ54" s="17"/>
      <c r="AK54" s="17"/>
      <c r="AL54" s="17"/>
      <c r="AM54" s="17"/>
      <c r="AN54" s="17"/>
    </row>
    <row r="55" spans="1:40">
      <c r="A55" s="19"/>
      <c r="B55" s="19"/>
      <c r="C55" s="878"/>
      <c r="D55" s="19"/>
      <c r="E55" s="122"/>
      <c r="F55" s="122"/>
      <c r="G55" s="122"/>
      <c r="H55" s="122"/>
      <c r="I55" s="124"/>
      <c r="J55" s="124"/>
      <c r="K55" s="124"/>
      <c r="L55" s="124"/>
      <c r="M55" s="124"/>
      <c r="N55" s="124"/>
      <c r="O55" s="124"/>
      <c r="P55" s="124"/>
      <c r="Q55" s="124"/>
      <c r="R55" s="124"/>
      <c r="S55" s="124"/>
      <c r="T55" s="124"/>
      <c r="U55" s="124"/>
      <c r="V55" s="124"/>
      <c r="W55" s="17"/>
      <c r="X55" s="17"/>
      <c r="Y55" s="17"/>
      <c r="Z55" s="17"/>
      <c r="AA55" s="17"/>
      <c r="AB55" s="17"/>
      <c r="AC55" s="17"/>
      <c r="AD55" s="17"/>
      <c r="AE55" s="17"/>
      <c r="AF55" s="17"/>
      <c r="AG55" s="17"/>
      <c r="AH55" s="17"/>
      <c r="AI55" s="17"/>
      <c r="AJ55" s="17"/>
      <c r="AK55" s="17"/>
      <c r="AL55" s="17"/>
      <c r="AM55" s="17"/>
      <c r="AN55" s="17"/>
    </row>
    <row r="56" spans="1:40">
      <c r="A56" s="19"/>
      <c r="B56" s="19"/>
      <c r="C56" s="878"/>
      <c r="D56" s="19"/>
      <c r="E56" s="122"/>
      <c r="F56" s="122"/>
      <c r="G56" s="122"/>
      <c r="H56" s="122"/>
      <c r="I56" s="124"/>
      <c r="J56" s="124"/>
      <c r="K56" s="124"/>
      <c r="L56" s="124"/>
      <c r="M56" s="124"/>
      <c r="N56" s="124"/>
      <c r="O56" s="124"/>
      <c r="P56" s="124"/>
      <c r="Q56" s="124"/>
      <c r="R56" s="124"/>
      <c r="S56" s="124"/>
      <c r="T56" s="124"/>
      <c r="U56" s="124"/>
      <c r="V56" s="124"/>
      <c r="W56" s="17"/>
      <c r="X56" s="17"/>
      <c r="Y56" s="17"/>
      <c r="Z56" s="17"/>
      <c r="AA56" s="17"/>
      <c r="AB56" s="17"/>
      <c r="AC56" s="17"/>
      <c r="AD56" s="17"/>
      <c r="AE56" s="17"/>
      <c r="AF56" s="17"/>
      <c r="AG56" s="17"/>
      <c r="AH56" s="17"/>
      <c r="AI56" s="17"/>
      <c r="AJ56" s="17"/>
      <c r="AK56" s="17"/>
      <c r="AL56" s="17"/>
      <c r="AM56" s="17"/>
      <c r="AN56" s="17"/>
    </row>
    <row r="57" spans="1:40">
      <c r="A57" s="19"/>
      <c r="B57" s="19"/>
      <c r="C57" s="878"/>
      <c r="D57" s="19"/>
      <c r="E57" s="122"/>
      <c r="F57" s="122"/>
      <c r="G57" s="122"/>
      <c r="H57" s="122"/>
      <c r="I57" s="124"/>
      <c r="J57" s="124"/>
      <c r="K57" s="124"/>
      <c r="L57" s="124"/>
      <c r="M57" s="124"/>
      <c r="N57" s="124"/>
      <c r="O57" s="124"/>
      <c r="P57" s="124"/>
      <c r="Q57" s="124"/>
      <c r="R57" s="124"/>
      <c r="S57" s="124"/>
      <c r="T57" s="124"/>
      <c r="U57" s="124"/>
      <c r="V57" s="124"/>
      <c r="W57" s="17"/>
      <c r="X57" s="17"/>
      <c r="Y57" s="17"/>
      <c r="Z57" s="17"/>
      <c r="AA57" s="17"/>
      <c r="AB57" s="17"/>
      <c r="AC57" s="17"/>
      <c r="AD57" s="17"/>
      <c r="AE57" s="17"/>
      <c r="AF57" s="17"/>
      <c r="AG57" s="17"/>
      <c r="AH57" s="17"/>
      <c r="AI57" s="17"/>
      <c r="AJ57" s="17"/>
      <c r="AK57" s="17"/>
      <c r="AL57" s="17"/>
      <c r="AM57" s="17"/>
      <c r="AN57" s="17"/>
    </row>
    <row r="58" spans="1:40">
      <c r="A58" s="19"/>
      <c r="B58" s="19"/>
      <c r="C58" s="878"/>
      <c r="D58" s="19"/>
      <c r="E58" s="122"/>
      <c r="F58" s="122"/>
      <c r="G58" s="122"/>
      <c r="H58" s="122"/>
      <c r="I58" s="124"/>
      <c r="J58" s="124"/>
      <c r="K58" s="124"/>
      <c r="L58" s="124"/>
      <c r="M58" s="124"/>
      <c r="N58" s="124"/>
      <c r="O58" s="124"/>
      <c r="P58" s="124"/>
      <c r="Q58" s="124"/>
      <c r="R58" s="124"/>
      <c r="S58" s="124"/>
      <c r="T58" s="124"/>
      <c r="U58" s="124"/>
      <c r="V58" s="124"/>
      <c r="W58" s="17"/>
      <c r="X58" s="17"/>
      <c r="Y58" s="17"/>
      <c r="Z58" s="17"/>
      <c r="AA58" s="17"/>
      <c r="AB58" s="17"/>
      <c r="AC58" s="17"/>
      <c r="AD58" s="17"/>
      <c r="AE58" s="17"/>
      <c r="AF58" s="17"/>
      <c r="AG58" s="17"/>
      <c r="AH58" s="17"/>
      <c r="AI58" s="17"/>
      <c r="AJ58" s="17"/>
      <c r="AK58" s="17"/>
      <c r="AL58" s="17"/>
      <c r="AM58" s="17"/>
      <c r="AN58" s="17"/>
    </row>
    <row r="59" spans="1:40">
      <c r="A59" s="19"/>
      <c r="B59" s="19"/>
      <c r="C59" s="878"/>
      <c r="D59" s="19"/>
      <c r="E59" s="122"/>
      <c r="F59" s="122"/>
      <c r="G59" s="122"/>
      <c r="H59" s="122"/>
      <c r="I59" s="124"/>
      <c r="J59" s="124"/>
      <c r="K59" s="124"/>
      <c r="L59" s="124"/>
      <c r="M59" s="124"/>
      <c r="N59" s="124"/>
      <c r="O59" s="124"/>
      <c r="P59" s="124"/>
      <c r="Q59" s="124"/>
      <c r="R59" s="124"/>
      <c r="S59" s="124"/>
      <c r="T59" s="124"/>
      <c r="U59" s="124"/>
      <c r="V59" s="124"/>
      <c r="W59" s="17"/>
      <c r="X59" s="17"/>
      <c r="Y59" s="17"/>
      <c r="Z59" s="17"/>
      <c r="AA59" s="17"/>
      <c r="AB59" s="17"/>
      <c r="AC59" s="17"/>
      <c r="AD59" s="17"/>
      <c r="AE59" s="17"/>
      <c r="AF59" s="17"/>
      <c r="AG59" s="17"/>
      <c r="AH59" s="17"/>
      <c r="AI59" s="17"/>
      <c r="AJ59" s="17"/>
      <c r="AK59" s="17"/>
      <c r="AL59" s="17"/>
      <c r="AM59" s="17"/>
      <c r="AN59" s="17"/>
    </row>
    <row r="60" spans="1:40">
      <c r="A60" s="19"/>
      <c r="B60" s="19"/>
      <c r="C60" s="878"/>
      <c r="D60" s="19"/>
      <c r="E60" s="122"/>
      <c r="F60" s="122"/>
      <c r="G60" s="122"/>
      <c r="H60" s="122"/>
      <c r="I60" s="124"/>
      <c r="J60" s="124"/>
      <c r="K60" s="124"/>
      <c r="L60" s="124"/>
      <c r="M60" s="124"/>
      <c r="N60" s="124"/>
      <c r="O60" s="124"/>
      <c r="P60" s="124"/>
      <c r="Q60" s="124"/>
      <c r="R60" s="124"/>
      <c r="S60" s="124"/>
      <c r="T60" s="124"/>
      <c r="U60" s="124"/>
      <c r="V60" s="124"/>
      <c r="W60" s="17"/>
      <c r="X60" s="17"/>
      <c r="Y60" s="17"/>
      <c r="Z60" s="17"/>
      <c r="AA60" s="17"/>
      <c r="AB60" s="17"/>
      <c r="AC60" s="17"/>
      <c r="AD60" s="17"/>
      <c r="AE60" s="17"/>
      <c r="AF60" s="17"/>
      <c r="AG60" s="17"/>
      <c r="AH60" s="17"/>
      <c r="AI60" s="17"/>
      <c r="AJ60" s="17"/>
      <c r="AK60" s="17"/>
      <c r="AL60" s="17"/>
      <c r="AM60" s="17"/>
      <c r="AN60" s="17"/>
    </row>
    <row r="61" spans="1:40">
      <c r="A61" s="19"/>
      <c r="B61" s="19"/>
      <c r="C61" s="878"/>
      <c r="D61" s="19"/>
      <c r="E61" s="122"/>
      <c r="F61" s="122"/>
      <c r="G61" s="122"/>
      <c r="H61" s="122"/>
      <c r="I61" s="124"/>
      <c r="J61" s="124"/>
      <c r="K61" s="124"/>
      <c r="L61" s="124"/>
      <c r="M61" s="124"/>
      <c r="N61" s="124"/>
      <c r="O61" s="124"/>
      <c r="P61" s="124"/>
      <c r="Q61" s="124"/>
      <c r="R61" s="124"/>
      <c r="S61" s="124"/>
      <c r="T61" s="124"/>
      <c r="U61" s="124"/>
      <c r="V61" s="124"/>
      <c r="W61" s="17"/>
      <c r="X61" s="17"/>
      <c r="Y61" s="17"/>
      <c r="Z61" s="17"/>
      <c r="AA61" s="17"/>
      <c r="AB61" s="17"/>
      <c r="AC61" s="17"/>
      <c r="AD61" s="17"/>
      <c r="AE61" s="17"/>
      <c r="AF61" s="17"/>
      <c r="AG61" s="17"/>
      <c r="AH61" s="17"/>
      <c r="AI61" s="17"/>
      <c r="AJ61" s="17"/>
      <c r="AK61" s="17"/>
      <c r="AL61" s="17"/>
      <c r="AM61" s="17"/>
      <c r="AN61" s="17"/>
    </row>
    <row r="62" spans="1:40">
      <c r="A62" s="19"/>
      <c r="B62" s="19"/>
      <c r="C62" s="878"/>
      <c r="D62" s="19"/>
      <c r="E62" s="122"/>
      <c r="F62" s="122"/>
      <c r="G62" s="122"/>
      <c r="H62" s="122"/>
      <c r="I62" s="124"/>
      <c r="J62" s="124"/>
      <c r="K62" s="124"/>
      <c r="L62" s="124"/>
      <c r="M62" s="124"/>
      <c r="N62" s="124"/>
      <c r="O62" s="124"/>
      <c r="P62" s="124"/>
      <c r="Q62" s="124"/>
      <c r="R62" s="124"/>
      <c r="S62" s="124"/>
      <c r="T62" s="124"/>
      <c r="U62" s="124"/>
      <c r="V62" s="124"/>
      <c r="W62" s="17"/>
      <c r="X62" s="17"/>
      <c r="Y62" s="17"/>
      <c r="Z62" s="17"/>
      <c r="AA62" s="17"/>
      <c r="AB62" s="17"/>
      <c r="AC62" s="17"/>
      <c r="AD62" s="17"/>
      <c r="AE62" s="17"/>
      <c r="AF62" s="17"/>
      <c r="AG62" s="17"/>
      <c r="AH62" s="17"/>
      <c r="AI62" s="17"/>
      <c r="AJ62" s="17"/>
      <c r="AK62" s="17"/>
      <c r="AL62" s="17"/>
      <c r="AM62" s="17"/>
      <c r="AN62" s="17"/>
    </row>
    <row r="63" spans="1:40">
      <c r="A63" s="19"/>
      <c r="B63" s="19"/>
      <c r="C63" s="878"/>
      <c r="D63" s="19"/>
      <c r="E63" s="122"/>
      <c r="F63" s="122"/>
      <c r="G63" s="122"/>
      <c r="H63" s="122"/>
      <c r="I63" s="124"/>
      <c r="J63" s="124"/>
      <c r="K63" s="124"/>
      <c r="L63" s="124"/>
      <c r="M63" s="124"/>
      <c r="N63" s="124"/>
      <c r="O63" s="124"/>
      <c r="P63" s="124"/>
      <c r="Q63" s="124"/>
      <c r="R63" s="124"/>
      <c r="S63" s="124"/>
      <c r="T63" s="124"/>
      <c r="U63" s="124"/>
      <c r="V63" s="124"/>
      <c r="W63" s="17"/>
      <c r="X63" s="17"/>
      <c r="Y63" s="17"/>
      <c r="Z63" s="17"/>
      <c r="AA63" s="17"/>
      <c r="AB63" s="17"/>
      <c r="AC63" s="17"/>
      <c r="AD63" s="17"/>
      <c r="AE63" s="17"/>
      <c r="AF63" s="17"/>
      <c r="AG63" s="17"/>
      <c r="AH63" s="17"/>
      <c r="AI63" s="17"/>
      <c r="AJ63" s="17"/>
      <c r="AK63" s="17"/>
      <c r="AL63" s="17"/>
      <c r="AM63" s="17"/>
      <c r="AN63" s="17"/>
    </row>
    <row r="64" spans="1:40">
      <c r="A64" s="19"/>
      <c r="B64" s="19"/>
      <c r="C64" s="878"/>
      <c r="D64" s="19"/>
      <c r="E64" s="122"/>
      <c r="F64" s="122"/>
      <c r="G64" s="122"/>
      <c r="H64" s="122"/>
      <c r="I64" s="124"/>
      <c r="J64" s="124"/>
      <c r="K64" s="124"/>
      <c r="L64" s="124"/>
      <c r="M64" s="124"/>
      <c r="N64" s="124"/>
      <c r="O64" s="124"/>
      <c r="P64" s="124"/>
      <c r="Q64" s="124"/>
      <c r="R64" s="124"/>
      <c r="S64" s="124"/>
      <c r="T64" s="124"/>
      <c r="U64" s="124"/>
      <c r="V64" s="124"/>
      <c r="W64" s="17"/>
      <c r="X64" s="17"/>
      <c r="Y64" s="17"/>
      <c r="Z64" s="17"/>
      <c r="AA64" s="17"/>
      <c r="AB64" s="17"/>
      <c r="AC64" s="17"/>
      <c r="AD64" s="17"/>
      <c r="AE64" s="17"/>
      <c r="AF64" s="17"/>
      <c r="AG64" s="17"/>
      <c r="AH64" s="17"/>
      <c r="AI64" s="17"/>
      <c r="AJ64" s="17"/>
      <c r="AK64" s="17"/>
      <c r="AL64" s="17"/>
      <c r="AM64" s="17"/>
      <c r="AN64" s="17"/>
    </row>
    <row r="65" spans="1:40">
      <c r="A65" s="19"/>
      <c r="B65" s="19"/>
      <c r="C65" s="878"/>
      <c r="D65" s="19"/>
      <c r="E65" s="122"/>
      <c r="F65" s="122"/>
      <c r="G65" s="122"/>
      <c r="H65" s="122"/>
      <c r="I65" s="124"/>
      <c r="J65" s="124"/>
      <c r="K65" s="124"/>
      <c r="L65" s="124"/>
      <c r="M65" s="124"/>
      <c r="N65" s="124"/>
      <c r="O65" s="124"/>
      <c r="P65" s="124"/>
      <c r="Q65" s="124"/>
      <c r="R65" s="124"/>
      <c r="S65" s="124"/>
      <c r="T65" s="124"/>
      <c r="U65" s="124"/>
      <c r="V65" s="124"/>
      <c r="W65" s="17"/>
      <c r="X65" s="17"/>
      <c r="Y65" s="17"/>
      <c r="Z65" s="17"/>
      <c r="AA65" s="17"/>
      <c r="AB65" s="17"/>
      <c r="AC65" s="17"/>
      <c r="AD65" s="17"/>
      <c r="AE65" s="17"/>
      <c r="AF65" s="17"/>
      <c r="AG65" s="17"/>
      <c r="AH65" s="17"/>
      <c r="AI65" s="17"/>
      <c r="AJ65" s="17"/>
      <c r="AK65" s="17"/>
      <c r="AL65" s="17"/>
      <c r="AM65" s="17"/>
      <c r="AN65" s="17"/>
    </row>
    <row r="66" spans="1:40">
      <c r="A66" s="19"/>
      <c r="B66" s="19"/>
      <c r="C66" s="878"/>
      <c r="D66" s="19"/>
      <c r="E66" s="122"/>
      <c r="F66" s="122"/>
      <c r="G66" s="122"/>
      <c r="H66" s="122"/>
      <c r="I66" s="124"/>
      <c r="J66" s="124"/>
      <c r="K66" s="124"/>
      <c r="L66" s="124"/>
      <c r="M66" s="124"/>
      <c r="N66" s="124"/>
      <c r="O66" s="124"/>
      <c r="P66" s="124"/>
      <c r="Q66" s="124"/>
      <c r="R66" s="124"/>
      <c r="S66" s="124"/>
      <c r="T66" s="124"/>
      <c r="U66" s="124"/>
      <c r="V66" s="124"/>
      <c r="W66" s="17"/>
      <c r="X66" s="17"/>
      <c r="Y66" s="17"/>
      <c r="Z66" s="17"/>
      <c r="AA66" s="17"/>
      <c r="AB66" s="17"/>
      <c r="AC66" s="17"/>
      <c r="AD66" s="17"/>
      <c r="AE66" s="17"/>
      <c r="AF66" s="17"/>
      <c r="AG66" s="17"/>
      <c r="AH66" s="17"/>
      <c r="AI66" s="17"/>
      <c r="AJ66" s="17"/>
      <c r="AK66" s="17"/>
      <c r="AL66" s="17"/>
      <c r="AM66" s="17"/>
      <c r="AN66" s="17"/>
    </row>
    <row r="67" spans="1:40">
      <c r="A67" s="19"/>
      <c r="B67" s="19"/>
      <c r="C67" s="878"/>
      <c r="D67" s="19"/>
      <c r="E67" s="122"/>
      <c r="F67" s="122"/>
      <c r="G67" s="122"/>
      <c r="H67" s="122"/>
      <c r="I67" s="124"/>
      <c r="J67" s="124"/>
      <c r="K67" s="124"/>
      <c r="L67" s="124"/>
      <c r="M67" s="124"/>
      <c r="N67" s="124"/>
      <c r="O67" s="124"/>
      <c r="P67" s="124"/>
      <c r="Q67" s="124"/>
      <c r="R67" s="124"/>
      <c r="S67" s="124"/>
      <c r="T67" s="124"/>
      <c r="U67" s="124"/>
      <c r="V67" s="124"/>
      <c r="W67" s="17"/>
      <c r="X67" s="17"/>
      <c r="Y67" s="17"/>
      <c r="Z67" s="17"/>
      <c r="AA67" s="17"/>
      <c r="AB67" s="17"/>
      <c r="AC67" s="17"/>
      <c r="AD67" s="17"/>
      <c r="AE67" s="17"/>
      <c r="AF67" s="17"/>
      <c r="AG67" s="17"/>
      <c r="AH67" s="17"/>
      <c r="AI67" s="17"/>
      <c r="AJ67" s="17"/>
      <c r="AK67" s="17"/>
      <c r="AL67" s="17"/>
      <c r="AM67" s="17"/>
      <c r="AN67" s="17"/>
    </row>
    <row r="68" spans="1:40">
      <c r="A68" s="19"/>
      <c r="B68" s="19"/>
      <c r="C68" s="878"/>
      <c r="D68" s="19"/>
      <c r="E68" s="122"/>
      <c r="F68" s="122"/>
      <c r="G68" s="122"/>
      <c r="H68" s="122"/>
      <c r="I68" s="124"/>
      <c r="J68" s="124"/>
      <c r="K68" s="124"/>
      <c r="L68" s="124"/>
      <c r="M68" s="124"/>
      <c r="N68" s="124"/>
      <c r="O68" s="124"/>
      <c r="P68" s="124"/>
      <c r="Q68" s="124"/>
      <c r="R68" s="124"/>
      <c r="S68" s="124"/>
      <c r="T68" s="124"/>
      <c r="U68" s="124"/>
      <c r="V68" s="124"/>
      <c r="W68" s="17"/>
      <c r="X68" s="17"/>
      <c r="Y68" s="17"/>
      <c r="Z68" s="17"/>
      <c r="AA68" s="17"/>
      <c r="AB68" s="17"/>
      <c r="AC68" s="17"/>
      <c r="AD68" s="17"/>
      <c r="AE68" s="17"/>
      <c r="AF68" s="17"/>
      <c r="AG68" s="17"/>
      <c r="AH68" s="17"/>
      <c r="AI68" s="17"/>
      <c r="AJ68" s="17"/>
      <c r="AK68" s="17"/>
      <c r="AL68" s="17"/>
      <c r="AM68" s="17"/>
      <c r="AN68" s="17"/>
    </row>
    <row r="69" spans="1:40">
      <c r="A69" s="19"/>
      <c r="B69" s="19"/>
      <c r="C69" s="878"/>
      <c r="D69" s="19"/>
      <c r="E69" s="122"/>
      <c r="F69" s="122"/>
      <c r="G69" s="122"/>
      <c r="H69" s="122"/>
      <c r="I69" s="124"/>
      <c r="J69" s="124"/>
      <c r="K69" s="124"/>
      <c r="L69" s="124"/>
      <c r="M69" s="124"/>
      <c r="N69" s="124"/>
      <c r="O69" s="124"/>
      <c r="P69" s="124"/>
      <c r="Q69" s="124"/>
      <c r="R69" s="124"/>
      <c r="S69" s="124"/>
      <c r="T69" s="124"/>
      <c r="U69" s="124"/>
      <c r="V69" s="124"/>
      <c r="W69" s="17"/>
      <c r="X69" s="17"/>
      <c r="Y69" s="17"/>
      <c r="Z69" s="17"/>
      <c r="AA69" s="17"/>
      <c r="AB69" s="17"/>
      <c r="AC69" s="17"/>
      <c r="AD69" s="17"/>
      <c r="AE69" s="17"/>
      <c r="AF69" s="17"/>
      <c r="AG69" s="17"/>
      <c r="AH69" s="17"/>
      <c r="AI69" s="17"/>
      <c r="AJ69" s="17"/>
      <c r="AK69" s="17"/>
      <c r="AL69" s="17"/>
      <c r="AM69" s="17"/>
      <c r="AN69" s="17"/>
    </row>
    <row r="70" spans="1:40">
      <c r="A70" s="19"/>
      <c r="B70" s="19"/>
      <c r="C70" s="878"/>
      <c r="D70" s="19"/>
      <c r="E70" s="122"/>
      <c r="F70" s="122"/>
      <c r="G70" s="122"/>
      <c r="H70" s="122"/>
      <c r="I70" s="124"/>
      <c r="J70" s="124"/>
      <c r="K70" s="124"/>
      <c r="L70" s="124"/>
      <c r="M70" s="124"/>
      <c r="N70" s="124"/>
      <c r="O70" s="124"/>
      <c r="P70" s="124"/>
      <c r="Q70" s="124"/>
      <c r="R70" s="124"/>
      <c r="S70" s="124"/>
      <c r="T70" s="124"/>
      <c r="U70" s="124"/>
      <c r="V70" s="124"/>
      <c r="W70" s="17"/>
      <c r="X70" s="17"/>
      <c r="Y70" s="17"/>
      <c r="Z70" s="17"/>
      <c r="AA70" s="17"/>
      <c r="AB70" s="17"/>
      <c r="AC70" s="17"/>
      <c r="AD70" s="17"/>
      <c r="AE70" s="17"/>
      <c r="AF70" s="17"/>
      <c r="AG70" s="17"/>
      <c r="AH70" s="17"/>
      <c r="AI70" s="17"/>
      <c r="AJ70" s="17"/>
      <c r="AK70" s="17"/>
      <c r="AL70" s="17"/>
      <c r="AM70" s="17"/>
      <c r="AN70" s="17"/>
    </row>
    <row r="71" spans="1:40">
      <c r="A71" s="19"/>
      <c r="B71" s="19"/>
      <c r="C71" s="878"/>
      <c r="D71" s="19"/>
      <c r="E71" s="122"/>
      <c r="F71" s="122"/>
      <c r="G71" s="122"/>
      <c r="H71" s="122"/>
      <c r="I71" s="124"/>
      <c r="J71" s="124"/>
      <c r="K71" s="124"/>
      <c r="L71" s="124"/>
      <c r="M71" s="124"/>
      <c r="N71" s="124"/>
      <c r="O71" s="124"/>
      <c r="P71" s="124"/>
      <c r="Q71" s="124"/>
      <c r="R71" s="124"/>
      <c r="S71" s="124"/>
      <c r="T71" s="124"/>
      <c r="U71" s="124"/>
      <c r="V71" s="124"/>
      <c r="W71" s="17"/>
      <c r="X71" s="17"/>
      <c r="Y71" s="17"/>
      <c r="Z71" s="17"/>
      <c r="AA71" s="17"/>
      <c r="AB71" s="17"/>
      <c r="AC71" s="17"/>
      <c r="AD71" s="17"/>
      <c r="AE71" s="17"/>
      <c r="AF71" s="17"/>
      <c r="AG71" s="17"/>
      <c r="AH71" s="17"/>
      <c r="AI71" s="17"/>
      <c r="AJ71" s="17"/>
      <c r="AK71" s="17"/>
      <c r="AL71" s="17"/>
      <c r="AM71" s="17"/>
      <c r="AN71" s="17"/>
    </row>
    <row r="72" spans="1:40">
      <c r="A72" s="19"/>
      <c r="B72" s="19"/>
      <c r="C72" s="878"/>
      <c r="D72" s="19"/>
      <c r="E72" s="122"/>
      <c r="F72" s="122"/>
      <c r="G72" s="122"/>
      <c r="H72" s="122"/>
      <c r="I72" s="124"/>
      <c r="J72" s="124"/>
      <c r="K72" s="124"/>
      <c r="L72" s="124"/>
      <c r="M72" s="124"/>
      <c r="N72" s="124"/>
      <c r="O72" s="124"/>
      <c r="P72" s="124"/>
      <c r="Q72" s="124"/>
      <c r="R72" s="124"/>
      <c r="S72" s="124"/>
      <c r="T72" s="124"/>
      <c r="U72" s="124"/>
      <c r="V72" s="124"/>
      <c r="W72" s="17"/>
      <c r="X72" s="17"/>
      <c r="Y72" s="17"/>
      <c r="Z72" s="17"/>
      <c r="AA72" s="17"/>
      <c r="AB72" s="17"/>
      <c r="AC72" s="17"/>
      <c r="AD72" s="17"/>
      <c r="AE72" s="17"/>
      <c r="AF72" s="17"/>
      <c r="AG72" s="17"/>
      <c r="AH72" s="17"/>
      <c r="AI72" s="17"/>
      <c r="AJ72" s="17"/>
      <c r="AK72" s="17"/>
      <c r="AL72" s="17"/>
      <c r="AM72" s="17"/>
      <c r="AN72" s="17"/>
    </row>
    <row r="73" spans="1:40">
      <c r="A73" s="19"/>
      <c r="B73" s="19"/>
      <c r="C73" s="878"/>
      <c r="D73" s="19"/>
      <c r="E73" s="122"/>
      <c r="F73" s="122"/>
      <c r="G73" s="122"/>
      <c r="H73" s="122"/>
      <c r="I73" s="124"/>
      <c r="J73" s="124"/>
      <c r="K73" s="124"/>
      <c r="L73" s="124"/>
      <c r="M73" s="124"/>
      <c r="N73" s="124"/>
      <c r="O73" s="124"/>
      <c r="P73" s="124"/>
      <c r="Q73" s="124"/>
      <c r="R73" s="124"/>
      <c r="S73" s="124"/>
      <c r="T73" s="124"/>
      <c r="U73" s="124"/>
      <c r="V73" s="124"/>
      <c r="W73" s="17"/>
      <c r="X73" s="17"/>
      <c r="Y73" s="17"/>
      <c r="Z73" s="17"/>
      <c r="AA73" s="17"/>
      <c r="AB73" s="17"/>
      <c r="AC73" s="17"/>
      <c r="AD73" s="17"/>
      <c r="AE73" s="17"/>
      <c r="AF73" s="17"/>
      <c r="AG73" s="17"/>
      <c r="AH73" s="17"/>
      <c r="AI73" s="17"/>
      <c r="AJ73" s="17"/>
      <c r="AK73" s="17"/>
      <c r="AL73" s="17"/>
      <c r="AM73" s="17"/>
      <c r="AN73" s="17"/>
    </row>
    <row r="74" spans="1:40">
      <c r="A74" s="19"/>
      <c r="B74" s="19"/>
      <c r="C74" s="878"/>
      <c r="D74" s="19"/>
      <c r="E74" s="122"/>
      <c r="F74" s="122"/>
      <c r="G74" s="122"/>
      <c r="H74" s="122"/>
      <c r="I74" s="124"/>
      <c r="J74" s="124"/>
      <c r="K74" s="124"/>
      <c r="L74" s="124"/>
      <c r="M74" s="124"/>
      <c r="N74" s="124"/>
      <c r="O74" s="124"/>
      <c r="P74" s="124"/>
      <c r="Q74" s="124"/>
      <c r="R74" s="124"/>
      <c r="S74" s="124"/>
      <c r="T74" s="124"/>
      <c r="U74" s="124"/>
      <c r="V74" s="124"/>
      <c r="W74" s="17"/>
      <c r="X74" s="17"/>
      <c r="Y74" s="17"/>
      <c r="Z74" s="17"/>
      <c r="AA74" s="17"/>
      <c r="AB74" s="17"/>
      <c r="AC74" s="17"/>
      <c r="AD74" s="17"/>
      <c r="AE74" s="17"/>
      <c r="AF74" s="17"/>
      <c r="AG74" s="17"/>
      <c r="AH74" s="17"/>
      <c r="AI74" s="17"/>
      <c r="AJ74" s="17"/>
      <c r="AK74" s="17"/>
      <c r="AL74" s="17"/>
      <c r="AM74" s="17"/>
      <c r="AN74" s="17"/>
    </row>
    <row r="75" spans="1:40">
      <c r="A75" s="19"/>
      <c r="B75" s="19"/>
      <c r="C75" s="878"/>
      <c r="D75" s="19"/>
      <c r="E75" s="122"/>
      <c r="F75" s="122"/>
      <c r="G75" s="122"/>
      <c r="H75" s="122"/>
      <c r="I75" s="124"/>
      <c r="J75" s="124"/>
      <c r="K75" s="124"/>
      <c r="L75" s="124"/>
      <c r="M75" s="124"/>
      <c r="N75" s="124"/>
      <c r="O75" s="124"/>
      <c r="P75" s="124"/>
      <c r="Q75" s="124"/>
      <c r="R75" s="124"/>
      <c r="S75" s="124"/>
      <c r="T75" s="124"/>
      <c r="U75" s="124"/>
      <c r="V75" s="124"/>
      <c r="W75" s="17"/>
      <c r="X75" s="17"/>
      <c r="Y75" s="17"/>
      <c r="Z75" s="17"/>
      <c r="AA75" s="17"/>
      <c r="AB75" s="17"/>
      <c r="AC75" s="17"/>
      <c r="AD75" s="17"/>
      <c r="AE75" s="17"/>
      <c r="AF75" s="17"/>
      <c r="AG75" s="17"/>
      <c r="AH75" s="17"/>
      <c r="AI75" s="17"/>
      <c r="AJ75" s="17"/>
      <c r="AK75" s="17"/>
      <c r="AL75" s="17"/>
      <c r="AM75" s="17"/>
      <c r="AN75" s="17"/>
    </row>
    <row r="76" spans="1:40">
      <c r="A76" s="19"/>
      <c r="B76" s="19"/>
      <c r="C76" s="878"/>
      <c r="D76" s="19"/>
      <c r="E76" s="122"/>
      <c r="F76" s="122"/>
      <c r="G76" s="122"/>
      <c r="H76" s="122"/>
      <c r="I76" s="124"/>
      <c r="J76" s="124"/>
      <c r="K76" s="124"/>
      <c r="L76" s="124"/>
      <c r="M76" s="124"/>
      <c r="N76" s="124"/>
      <c r="O76" s="124"/>
      <c r="P76" s="124"/>
      <c r="Q76" s="124"/>
      <c r="R76" s="124"/>
      <c r="S76" s="124"/>
      <c r="T76" s="124"/>
      <c r="U76" s="124"/>
      <c r="V76" s="124"/>
      <c r="W76" s="17"/>
      <c r="X76" s="17"/>
      <c r="Y76" s="17"/>
      <c r="Z76" s="17"/>
      <c r="AA76" s="17"/>
      <c r="AB76" s="17"/>
      <c r="AC76" s="17"/>
      <c r="AD76" s="17"/>
      <c r="AE76" s="17"/>
      <c r="AF76" s="17"/>
      <c r="AG76" s="17"/>
      <c r="AH76" s="17"/>
      <c r="AI76" s="17"/>
      <c r="AJ76" s="17"/>
      <c r="AK76" s="17"/>
      <c r="AL76" s="17"/>
      <c r="AM76" s="17"/>
      <c r="AN76" s="17"/>
    </row>
    <row r="77" spans="1:40">
      <c r="A77" s="19"/>
      <c r="B77" s="19"/>
      <c r="C77" s="878"/>
      <c r="D77" s="19"/>
      <c r="E77" s="122"/>
      <c r="F77" s="122"/>
      <c r="G77" s="122"/>
      <c r="H77" s="122"/>
      <c r="I77" s="124"/>
      <c r="J77" s="124"/>
      <c r="K77" s="124"/>
      <c r="L77" s="124"/>
      <c r="M77" s="124"/>
      <c r="N77" s="124"/>
      <c r="O77" s="124"/>
      <c r="P77" s="124"/>
      <c r="Q77" s="124"/>
      <c r="R77" s="124"/>
      <c r="S77" s="124"/>
      <c r="T77" s="124"/>
      <c r="U77" s="124"/>
      <c r="V77" s="124"/>
      <c r="W77" s="17"/>
      <c r="X77" s="17"/>
      <c r="Y77" s="17"/>
      <c r="Z77" s="17"/>
      <c r="AA77" s="17"/>
      <c r="AB77" s="17"/>
      <c r="AC77" s="17"/>
      <c r="AD77" s="17"/>
      <c r="AE77" s="17"/>
      <c r="AF77" s="17"/>
      <c r="AG77" s="17"/>
      <c r="AH77" s="17"/>
      <c r="AI77" s="17"/>
      <c r="AJ77" s="17"/>
      <c r="AK77" s="17"/>
      <c r="AL77" s="17"/>
      <c r="AM77" s="17"/>
      <c r="AN77" s="17"/>
    </row>
    <row r="78" spans="1:40">
      <c r="A78" s="19"/>
      <c r="B78" s="19"/>
      <c r="C78" s="878"/>
      <c r="D78" s="19"/>
      <c r="E78" s="122"/>
      <c r="F78" s="122"/>
      <c r="G78" s="122"/>
      <c r="H78" s="122"/>
      <c r="I78" s="124"/>
      <c r="J78" s="124"/>
      <c r="K78" s="124"/>
      <c r="L78" s="124"/>
      <c r="M78" s="124"/>
      <c r="N78" s="124"/>
      <c r="O78" s="124"/>
      <c r="P78" s="124"/>
      <c r="Q78" s="124"/>
      <c r="R78" s="124"/>
      <c r="S78" s="124"/>
      <c r="T78" s="124"/>
      <c r="U78" s="124"/>
      <c r="V78" s="124"/>
      <c r="W78" s="17"/>
      <c r="X78" s="17"/>
      <c r="Y78" s="17"/>
      <c r="Z78" s="17"/>
      <c r="AA78" s="17"/>
      <c r="AB78" s="17"/>
      <c r="AC78" s="17"/>
      <c r="AD78" s="17"/>
      <c r="AE78" s="17"/>
      <c r="AF78" s="17"/>
      <c r="AG78" s="17"/>
      <c r="AH78" s="17"/>
      <c r="AI78" s="17"/>
      <c r="AJ78" s="17"/>
      <c r="AK78" s="17"/>
      <c r="AL78" s="17"/>
      <c r="AM78" s="17"/>
      <c r="AN78" s="17"/>
    </row>
    <row r="79" spans="1:40">
      <c r="A79" s="19"/>
      <c r="B79" s="19"/>
      <c r="C79" s="878"/>
      <c r="D79" s="19"/>
      <c r="E79" s="122"/>
      <c r="F79" s="122"/>
      <c r="G79" s="122"/>
      <c r="H79" s="122"/>
      <c r="I79" s="124"/>
      <c r="J79" s="124"/>
      <c r="K79" s="124"/>
      <c r="L79" s="124"/>
      <c r="M79" s="124"/>
      <c r="N79" s="124"/>
      <c r="O79" s="124"/>
      <c r="P79" s="124"/>
      <c r="Q79" s="124"/>
      <c r="R79" s="124"/>
      <c r="S79" s="124"/>
      <c r="T79" s="124"/>
      <c r="U79" s="124"/>
      <c r="V79" s="124"/>
      <c r="W79" s="17"/>
      <c r="X79" s="17"/>
      <c r="Y79" s="17"/>
      <c r="Z79" s="17"/>
      <c r="AA79" s="17"/>
      <c r="AB79" s="17"/>
      <c r="AC79" s="17"/>
      <c r="AD79" s="17"/>
      <c r="AE79" s="17"/>
      <c r="AF79" s="17"/>
      <c r="AG79" s="17"/>
      <c r="AH79" s="17"/>
      <c r="AI79" s="17"/>
      <c r="AJ79" s="17"/>
      <c r="AK79" s="17"/>
      <c r="AL79" s="17"/>
      <c r="AM79" s="17"/>
      <c r="AN79" s="17"/>
    </row>
    <row r="80" spans="1:40">
      <c r="A80" s="19"/>
      <c r="B80" s="19"/>
      <c r="C80" s="878"/>
      <c r="D80" s="19"/>
      <c r="E80" s="122"/>
      <c r="F80" s="122"/>
      <c r="G80" s="122"/>
      <c r="H80" s="122"/>
      <c r="I80" s="124"/>
      <c r="J80" s="124"/>
      <c r="K80" s="124"/>
      <c r="L80" s="124"/>
      <c r="M80" s="124"/>
      <c r="N80" s="124"/>
      <c r="O80" s="124"/>
      <c r="P80" s="124"/>
      <c r="Q80" s="124"/>
      <c r="R80" s="124"/>
      <c r="S80" s="124"/>
      <c r="T80" s="124"/>
      <c r="U80" s="124"/>
      <c r="V80" s="124"/>
      <c r="W80" s="17"/>
      <c r="X80" s="17"/>
      <c r="Y80" s="17"/>
      <c r="Z80" s="17"/>
      <c r="AA80" s="17"/>
      <c r="AB80" s="17"/>
      <c r="AC80" s="17"/>
      <c r="AD80" s="17"/>
      <c r="AE80" s="17"/>
      <c r="AF80" s="17"/>
      <c r="AG80" s="17"/>
      <c r="AH80" s="17"/>
      <c r="AI80" s="17"/>
      <c r="AJ80" s="17"/>
      <c r="AK80" s="17"/>
      <c r="AL80" s="17"/>
      <c r="AM80" s="17"/>
      <c r="AN80" s="17"/>
    </row>
    <row r="81" spans="1:40">
      <c r="A81" s="19"/>
      <c r="B81" s="19"/>
      <c r="C81" s="878"/>
      <c r="D81" s="19"/>
      <c r="E81" s="122"/>
      <c r="F81" s="122"/>
      <c r="G81" s="122"/>
      <c r="H81" s="122"/>
      <c r="I81" s="124"/>
      <c r="J81" s="124"/>
      <c r="K81" s="124"/>
      <c r="L81" s="124"/>
      <c r="M81" s="124"/>
      <c r="N81" s="124"/>
      <c r="O81" s="124"/>
      <c r="P81" s="124"/>
      <c r="Q81" s="124"/>
      <c r="R81" s="124"/>
      <c r="S81" s="124"/>
      <c r="T81" s="124"/>
      <c r="U81" s="124"/>
      <c r="V81" s="124"/>
      <c r="W81" s="17"/>
      <c r="X81" s="17"/>
      <c r="Y81" s="17"/>
      <c r="Z81" s="17"/>
      <c r="AA81" s="17"/>
      <c r="AB81" s="17"/>
      <c r="AC81" s="17"/>
      <c r="AD81" s="17"/>
      <c r="AE81" s="17"/>
      <c r="AF81" s="17"/>
      <c r="AG81" s="17"/>
      <c r="AH81" s="17"/>
      <c r="AI81" s="17"/>
      <c r="AJ81" s="17"/>
      <c r="AK81" s="17"/>
      <c r="AL81" s="17"/>
      <c r="AM81" s="17"/>
      <c r="AN81" s="17"/>
    </row>
    <row r="82" spans="1:40">
      <c r="A82" s="19"/>
      <c r="B82" s="19"/>
      <c r="C82" s="878"/>
      <c r="D82" s="19"/>
      <c r="E82" s="122"/>
      <c r="F82" s="122"/>
      <c r="G82" s="122"/>
      <c r="H82" s="122"/>
      <c r="I82" s="124"/>
      <c r="J82" s="124"/>
      <c r="K82" s="124"/>
      <c r="L82" s="124"/>
      <c r="M82" s="124"/>
      <c r="N82" s="124"/>
      <c r="O82" s="124"/>
      <c r="P82" s="124"/>
      <c r="Q82" s="124"/>
      <c r="R82" s="124"/>
      <c r="S82" s="124"/>
      <c r="T82" s="124"/>
      <c r="U82" s="124"/>
      <c r="V82" s="124"/>
      <c r="W82" s="17"/>
      <c r="X82" s="17"/>
      <c r="Y82" s="17"/>
      <c r="Z82" s="17"/>
      <c r="AA82" s="17"/>
      <c r="AB82" s="17"/>
      <c r="AC82" s="17"/>
      <c r="AD82" s="17"/>
      <c r="AE82" s="17"/>
      <c r="AF82" s="17"/>
      <c r="AG82" s="17"/>
      <c r="AH82" s="17"/>
      <c r="AI82" s="17"/>
      <c r="AJ82" s="17"/>
      <c r="AK82" s="17"/>
      <c r="AL82" s="17"/>
      <c r="AM82" s="17"/>
      <c r="AN82" s="17"/>
    </row>
    <row r="83" spans="1:40">
      <c r="A83" s="19"/>
      <c r="B83" s="19"/>
      <c r="C83" s="878"/>
      <c r="D83" s="19"/>
      <c r="E83" s="122"/>
      <c r="F83" s="122"/>
      <c r="G83" s="122"/>
      <c r="H83" s="122"/>
      <c r="I83" s="124"/>
      <c r="J83" s="124"/>
      <c r="K83" s="124"/>
      <c r="L83" s="124"/>
      <c r="M83" s="124"/>
      <c r="N83" s="124"/>
      <c r="O83" s="124"/>
      <c r="P83" s="124"/>
      <c r="Q83" s="124"/>
      <c r="R83" s="124"/>
      <c r="S83" s="124"/>
      <c r="T83" s="124"/>
      <c r="U83" s="124"/>
      <c r="V83" s="124"/>
      <c r="W83" s="17"/>
      <c r="X83" s="17"/>
      <c r="Y83" s="17"/>
      <c r="Z83" s="17"/>
      <c r="AA83" s="17"/>
      <c r="AB83" s="17"/>
      <c r="AC83" s="17"/>
      <c r="AD83" s="17"/>
      <c r="AE83" s="17"/>
      <c r="AF83" s="17"/>
      <c r="AG83" s="17"/>
      <c r="AH83" s="17"/>
      <c r="AI83" s="17"/>
      <c r="AJ83" s="17"/>
      <c r="AK83" s="17"/>
      <c r="AL83" s="17"/>
      <c r="AM83" s="17"/>
      <c r="AN83" s="17"/>
    </row>
    <row r="84" spans="1:40">
      <c r="A84" s="19"/>
      <c r="B84" s="19"/>
      <c r="C84" s="878"/>
      <c r="D84" s="19"/>
      <c r="E84" s="122"/>
      <c r="F84" s="122"/>
      <c r="G84" s="122"/>
      <c r="H84" s="122"/>
      <c r="I84" s="124"/>
      <c r="J84" s="124"/>
      <c r="K84" s="124"/>
      <c r="L84" s="124"/>
      <c r="M84" s="124"/>
      <c r="N84" s="124"/>
      <c r="O84" s="124"/>
      <c r="P84" s="124"/>
      <c r="Q84" s="124"/>
      <c r="R84" s="124"/>
      <c r="S84" s="124"/>
      <c r="T84" s="124"/>
      <c r="U84" s="124"/>
      <c r="V84" s="124"/>
      <c r="W84" s="17"/>
      <c r="X84" s="17"/>
      <c r="Y84" s="17"/>
      <c r="Z84" s="17"/>
      <c r="AA84" s="17"/>
      <c r="AB84" s="17"/>
      <c r="AC84" s="17"/>
      <c r="AD84" s="17"/>
      <c r="AE84" s="17"/>
      <c r="AF84" s="17"/>
      <c r="AG84" s="17"/>
      <c r="AH84" s="17"/>
      <c r="AI84" s="17"/>
      <c r="AJ84" s="17"/>
      <c r="AK84" s="17"/>
      <c r="AL84" s="17"/>
      <c r="AM84" s="17"/>
      <c r="AN84" s="17"/>
    </row>
    <row r="85" spans="1:40">
      <c r="A85" s="19"/>
      <c r="B85" s="19"/>
      <c r="C85" s="878"/>
      <c r="D85" s="19"/>
      <c r="E85" s="122"/>
      <c r="F85" s="122"/>
      <c r="G85" s="122"/>
      <c r="H85" s="122"/>
      <c r="I85" s="124"/>
      <c r="J85" s="124"/>
      <c r="K85" s="124"/>
      <c r="L85" s="124"/>
      <c r="M85" s="124"/>
      <c r="N85" s="124"/>
      <c r="O85" s="124"/>
      <c r="P85" s="124"/>
      <c r="Q85" s="124"/>
      <c r="R85" s="124"/>
      <c r="S85" s="124"/>
      <c r="T85" s="124"/>
      <c r="U85" s="124"/>
      <c r="V85" s="124"/>
      <c r="W85" s="17"/>
      <c r="X85" s="17"/>
      <c r="Y85" s="17"/>
      <c r="Z85" s="17"/>
      <c r="AA85" s="17"/>
      <c r="AB85" s="17"/>
      <c r="AC85" s="17"/>
      <c r="AD85" s="17"/>
      <c r="AE85" s="17"/>
      <c r="AF85" s="17"/>
      <c r="AG85" s="17"/>
      <c r="AH85" s="17"/>
      <c r="AI85" s="17"/>
      <c r="AJ85" s="17"/>
      <c r="AK85" s="17"/>
      <c r="AL85" s="17"/>
      <c r="AM85" s="17"/>
      <c r="AN85" s="17"/>
    </row>
    <row r="86" spans="1:40">
      <c r="A86" s="19"/>
      <c r="B86" s="19"/>
      <c r="C86" s="878"/>
      <c r="D86" s="19"/>
      <c r="E86" s="122"/>
      <c r="F86" s="122"/>
      <c r="G86" s="122"/>
      <c r="H86" s="122"/>
      <c r="I86" s="124"/>
      <c r="J86" s="124"/>
      <c r="K86" s="124"/>
      <c r="L86" s="124"/>
      <c r="M86" s="124"/>
      <c r="N86" s="124"/>
      <c r="O86" s="124"/>
      <c r="P86" s="124"/>
      <c r="Q86" s="124"/>
      <c r="R86" s="124"/>
      <c r="S86" s="124"/>
      <c r="T86" s="124"/>
      <c r="U86" s="124"/>
      <c r="V86" s="124"/>
      <c r="W86" s="17"/>
      <c r="X86" s="17"/>
      <c r="Y86" s="17"/>
      <c r="Z86" s="17"/>
      <c r="AA86" s="17"/>
      <c r="AB86" s="17"/>
      <c r="AC86" s="17"/>
      <c r="AD86" s="17"/>
      <c r="AE86" s="17"/>
      <c r="AF86" s="17"/>
      <c r="AG86" s="17"/>
      <c r="AH86" s="17"/>
      <c r="AI86" s="17"/>
      <c r="AJ86" s="17"/>
      <c r="AK86" s="17"/>
      <c r="AL86" s="17"/>
      <c r="AM86" s="17"/>
      <c r="AN86" s="17"/>
    </row>
    <row r="87" spans="1:40">
      <c r="A87" s="19"/>
      <c r="B87" s="19"/>
      <c r="C87" s="878"/>
      <c r="D87" s="19"/>
      <c r="E87" s="122"/>
      <c r="F87" s="122"/>
      <c r="G87" s="122"/>
      <c r="H87" s="122"/>
      <c r="I87" s="124"/>
      <c r="J87" s="124"/>
      <c r="K87" s="124"/>
      <c r="L87" s="124"/>
      <c r="M87" s="124"/>
      <c r="N87" s="124"/>
      <c r="O87" s="124"/>
      <c r="P87" s="124"/>
      <c r="Q87" s="124"/>
      <c r="R87" s="124"/>
      <c r="S87" s="124"/>
      <c r="T87" s="124"/>
      <c r="U87" s="124"/>
      <c r="V87" s="124"/>
      <c r="W87" s="17"/>
      <c r="X87" s="17"/>
      <c r="Y87" s="17"/>
      <c r="Z87" s="17"/>
      <c r="AA87" s="17"/>
      <c r="AB87" s="17"/>
      <c r="AC87" s="17"/>
      <c r="AD87" s="17"/>
      <c r="AE87" s="17"/>
      <c r="AF87" s="17"/>
      <c r="AG87" s="17"/>
      <c r="AH87" s="17"/>
      <c r="AI87" s="17"/>
      <c r="AJ87" s="17"/>
      <c r="AK87" s="17"/>
      <c r="AL87" s="17"/>
      <c r="AM87" s="17"/>
      <c r="AN87" s="17"/>
    </row>
    <row r="88" spans="1:40">
      <c r="A88" s="19"/>
      <c r="B88" s="19"/>
      <c r="C88" s="878"/>
      <c r="D88" s="19"/>
      <c r="E88" s="122"/>
      <c r="F88" s="122"/>
      <c r="G88" s="122"/>
      <c r="H88" s="122"/>
      <c r="I88" s="124"/>
      <c r="J88" s="124"/>
      <c r="K88" s="124"/>
      <c r="L88" s="124"/>
      <c r="M88" s="124"/>
      <c r="N88" s="124"/>
      <c r="O88" s="124"/>
      <c r="P88" s="124"/>
      <c r="Q88" s="124"/>
      <c r="R88" s="124"/>
      <c r="S88" s="124"/>
      <c r="T88" s="124"/>
      <c r="U88" s="124"/>
      <c r="V88" s="124"/>
      <c r="W88" s="17"/>
      <c r="X88" s="17"/>
      <c r="Y88" s="17"/>
      <c r="Z88" s="17"/>
      <c r="AA88" s="17"/>
      <c r="AB88" s="17"/>
      <c r="AC88" s="17"/>
      <c r="AD88" s="17"/>
      <c r="AE88" s="17"/>
      <c r="AF88" s="17"/>
      <c r="AG88" s="17"/>
      <c r="AH88" s="17"/>
      <c r="AI88" s="17"/>
      <c r="AJ88" s="17"/>
      <c r="AK88" s="17"/>
      <c r="AL88" s="17"/>
      <c r="AM88" s="17"/>
      <c r="AN88" s="17"/>
    </row>
    <row r="89" spans="1:40">
      <c r="A89" s="19"/>
      <c r="B89" s="19"/>
      <c r="C89" s="878"/>
      <c r="D89" s="19"/>
      <c r="E89" s="122"/>
      <c r="F89" s="122"/>
      <c r="G89" s="122"/>
      <c r="H89" s="122"/>
      <c r="I89" s="124"/>
      <c r="J89" s="124"/>
      <c r="K89" s="124"/>
      <c r="L89" s="124"/>
      <c r="M89" s="124"/>
      <c r="N89" s="124"/>
      <c r="O89" s="124"/>
      <c r="P89" s="124"/>
      <c r="Q89" s="124"/>
      <c r="R89" s="124"/>
      <c r="S89" s="124"/>
      <c r="T89" s="124"/>
      <c r="U89" s="124"/>
      <c r="V89" s="124"/>
      <c r="W89" s="17"/>
      <c r="X89" s="17"/>
      <c r="Y89" s="17"/>
      <c r="Z89" s="17"/>
      <c r="AA89" s="17"/>
      <c r="AB89" s="17"/>
      <c r="AC89" s="17"/>
      <c r="AD89" s="17"/>
      <c r="AE89" s="17"/>
      <c r="AF89" s="17"/>
      <c r="AG89" s="17"/>
      <c r="AH89" s="17"/>
      <c r="AI89" s="17"/>
      <c r="AJ89" s="17"/>
      <c r="AK89" s="17"/>
      <c r="AL89" s="17"/>
      <c r="AM89" s="17"/>
      <c r="AN89" s="17"/>
    </row>
    <row r="90" spans="1:40">
      <c r="A90" s="19"/>
      <c r="B90" s="19"/>
      <c r="C90" s="878"/>
      <c r="D90" s="19"/>
      <c r="E90" s="122"/>
      <c r="F90" s="122"/>
      <c r="G90" s="122"/>
      <c r="H90" s="122"/>
      <c r="I90" s="124"/>
      <c r="J90" s="124"/>
      <c r="K90" s="124"/>
      <c r="L90" s="124"/>
      <c r="M90" s="124"/>
      <c r="N90" s="124"/>
      <c r="O90" s="124"/>
      <c r="P90" s="124"/>
      <c r="Q90" s="124"/>
      <c r="R90" s="124"/>
      <c r="S90" s="124"/>
      <c r="T90" s="124"/>
      <c r="U90" s="124"/>
      <c r="V90" s="124"/>
      <c r="W90" s="17"/>
      <c r="X90" s="17"/>
      <c r="Y90" s="17"/>
      <c r="Z90" s="17"/>
      <c r="AA90" s="17"/>
      <c r="AB90" s="17"/>
      <c r="AC90" s="17"/>
      <c r="AD90" s="17"/>
      <c r="AE90" s="17"/>
      <c r="AF90" s="17"/>
      <c r="AG90" s="17"/>
      <c r="AH90" s="17"/>
      <c r="AI90" s="17"/>
      <c r="AJ90" s="17"/>
      <c r="AK90" s="17"/>
      <c r="AL90" s="17"/>
      <c r="AM90" s="17"/>
      <c r="AN90" s="17"/>
    </row>
    <row r="91" spans="1:40">
      <c r="A91" s="19"/>
      <c r="B91" s="19"/>
      <c r="C91" s="878"/>
      <c r="D91" s="19"/>
      <c r="E91" s="122"/>
      <c r="F91" s="122"/>
      <c r="G91" s="122"/>
      <c r="H91" s="122"/>
      <c r="I91" s="124"/>
      <c r="J91" s="124"/>
      <c r="K91" s="124"/>
      <c r="L91" s="124"/>
      <c r="M91" s="124"/>
      <c r="N91" s="124"/>
      <c r="O91" s="124"/>
      <c r="P91" s="124"/>
      <c r="Q91" s="124"/>
      <c r="R91" s="124"/>
      <c r="S91" s="124"/>
      <c r="T91" s="124"/>
      <c r="U91" s="124"/>
      <c r="V91" s="124"/>
      <c r="W91" s="17"/>
      <c r="X91" s="17"/>
      <c r="Y91" s="17"/>
      <c r="Z91" s="17"/>
      <c r="AA91" s="17"/>
      <c r="AB91" s="17"/>
      <c r="AC91" s="17"/>
      <c r="AD91" s="17"/>
      <c r="AE91" s="17"/>
      <c r="AF91" s="17"/>
      <c r="AG91" s="17"/>
      <c r="AH91" s="17"/>
      <c r="AI91" s="17"/>
      <c r="AJ91" s="17"/>
      <c r="AK91" s="17"/>
      <c r="AL91" s="17"/>
      <c r="AM91" s="17"/>
      <c r="AN91" s="17"/>
    </row>
    <row r="92" spans="1:40">
      <c r="A92" s="19"/>
      <c r="B92" s="19"/>
      <c r="C92" s="878"/>
      <c r="D92" s="19"/>
      <c r="E92" s="122"/>
      <c r="F92" s="122"/>
      <c r="G92" s="122"/>
      <c r="H92" s="122"/>
      <c r="I92" s="124"/>
      <c r="J92" s="124"/>
      <c r="K92" s="124"/>
      <c r="L92" s="124"/>
      <c r="M92" s="124"/>
      <c r="N92" s="124"/>
      <c r="O92" s="124"/>
      <c r="P92" s="124"/>
      <c r="Q92" s="124"/>
      <c r="R92" s="124"/>
      <c r="S92" s="124"/>
      <c r="T92" s="124"/>
      <c r="U92" s="124"/>
      <c r="V92" s="124"/>
      <c r="W92" s="17"/>
      <c r="X92" s="17"/>
      <c r="Y92" s="17"/>
      <c r="Z92" s="17"/>
      <c r="AA92" s="17"/>
      <c r="AB92" s="17"/>
      <c r="AC92" s="17"/>
      <c r="AD92" s="17"/>
      <c r="AE92" s="17"/>
      <c r="AF92" s="17"/>
      <c r="AG92" s="17"/>
      <c r="AH92" s="17"/>
      <c r="AI92" s="17"/>
      <c r="AJ92" s="17"/>
      <c r="AK92" s="17"/>
      <c r="AL92" s="17"/>
      <c r="AM92" s="17"/>
      <c r="AN92" s="17"/>
    </row>
    <row r="93" spans="1:40">
      <c r="A93" s="19"/>
      <c r="B93" s="19"/>
      <c r="C93" s="878"/>
      <c r="D93" s="19"/>
      <c r="E93" s="122"/>
      <c r="F93" s="122"/>
      <c r="G93" s="122"/>
      <c r="H93" s="122"/>
      <c r="I93" s="124"/>
      <c r="J93" s="124"/>
      <c r="K93" s="124"/>
      <c r="L93" s="124"/>
      <c r="M93" s="124"/>
      <c r="N93" s="124"/>
      <c r="O93" s="124"/>
      <c r="P93" s="124"/>
      <c r="Q93" s="124"/>
      <c r="R93" s="124"/>
      <c r="S93" s="124"/>
      <c r="T93" s="124"/>
      <c r="U93" s="124"/>
      <c r="V93" s="124"/>
      <c r="W93" s="17"/>
      <c r="X93" s="17"/>
      <c r="Y93" s="17"/>
      <c r="Z93" s="17"/>
      <c r="AA93" s="17"/>
      <c r="AB93" s="17"/>
      <c r="AC93" s="17"/>
      <c r="AD93" s="17"/>
      <c r="AE93" s="17"/>
      <c r="AF93" s="17"/>
      <c r="AG93" s="17"/>
      <c r="AH93" s="17"/>
      <c r="AI93" s="17"/>
      <c r="AJ93" s="17"/>
      <c r="AK93" s="17"/>
      <c r="AL93" s="17"/>
      <c r="AM93" s="17"/>
      <c r="AN93" s="17"/>
    </row>
    <row r="94" spans="1:40">
      <c r="A94" s="19"/>
      <c r="B94" s="19"/>
      <c r="C94" s="878"/>
      <c r="D94" s="19"/>
      <c r="E94" s="122"/>
      <c r="F94" s="122"/>
      <c r="G94" s="122"/>
      <c r="H94" s="122"/>
      <c r="I94" s="124"/>
      <c r="J94" s="124"/>
      <c r="K94" s="124"/>
      <c r="L94" s="124"/>
      <c r="M94" s="124"/>
      <c r="N94" s="124"/>
      <c r="O94" s="124"/>
      <c r="P94" s="124"/>
      <c r="Q94" s="124"/>
      <c r="R94" s="124"/>
      <c r="S94" s="124"/>
      <c r="T94" s="124"/>
      <c r="U94" s="124"/>
      <c r="V94" s="124"/>
      <c r="W94" s="17"/>
      <c r="X94" s="17"/>
      <c r="Y94" s="17"/>
      <c r="Z94" s="17"/>
      <c r="AA94" s="17"/>
      <c r="AB94" s="17"/>
      <c r="AC94" s="17"/>
      <c r="AD94" s="17"/>
      <c r="AE94" s="17"/>
      <c r="AF94" s="17"/>
      <c r="AG94" s="17"/>
      <c r="AH94" s="17"/>
      <c r="AI94" s="17"/>
      <c r="AJ94" s="17"/>
      <c r="AK94" s="17"/>
      <c r="AL94" s="17"/>
      <c r="AM94" s="17"/>
      <c r="AN94" s="17"/>
    </row>
    <row r="95" spans="1:40">
      <c r="A95" s="19"/>
      <c r="B95" s="19"/>
      <c r="C95" s="878"/>
      <c r="D95" s="19"/>
      <c r="E95" s="122"/>
      <c r="F95" s="122"/>
      <c r="G95" s="122"/>
      <c r="H95" s="122"/>
      <c r="I95" s="124"/>
      <c r="J95" s="124"/>
      <c r="K95" s="124"/>
      <c r="L95" s="124"/>
      <c r="M95" s="124"/>
      <c r="N95" s="124"/>
      <c r="O95" s="124"/>
      <c r="P95" s="124"/>
      <c r="Q95" s="124"/>
      <c r="R95" s="124"/>
      <c r="S95" s="124"/>
      <c r="T95" s="124"/>
      <c r="U95" s="124"/>
      <c r="V95" s="124"/>
      <c r="W95" s="17"/>
      <c r="X95" s="17"/>
      <c r="Y95" s="17"/>
      <c r="Z95" s="17"/>
      <c r="AA95" s="17"/>
      <c r="AB95" s="17"/>
      <c r="AC95" s="17"/>
      <c r="AD95" s="17"/>
      <c r="AE95" s="17"/>
      <c r="AF95" s="17"/>
      <c r="AG95" s="17"/>
      <c r="AH95" s="17"/>
      <c r="AI95" s="17"/>
      <c r="AJ95" s="17"/>
      <c r="AK95" s="17"/>
      <c r="AL95" s="17"/>
      <c r="AM95" s="17"/>
      <c r="AN95" s="17"/>
    </row>
    <row r="96" spans="1:40">
      <c r="A96" s="19"/>
      <c r="B96" s="19"/>
      <c r="C96" s="878"/>
      <c r="D96" s="19"/>
      <c r="E96" s="122"/>
      <c r="F96" s="122"/>
      <c r="G96" s="122"/>
      <c r="H96" s="122"/>
      <c r="I96" s="124"/>
      <c r="J96" s="124"/>
      <c r="K96" s="124"/>
      <c r="L96" s="124"/>
      <c r="M96" s="124"/>
      <c r="N96" s="124"/>
      <c r="O96" s="124"/>
      <c r="P96" s="124"/>
      <c r="Q96" s="124"/>
      <c r="R96" s="124"/>
      <c r="S96" s="124"/>
      <c r="T96" s="124"/>
      <c r="U96" s="124"/>
      <c r="V96" s="124"/>
      <c r="W96" s="17"/>
      <c r="X96" s="17"/>
      <c r="Y96" s="17"/>
      <c r="Z96" s="17"/>
      <c r="AA96" s="17"/>
      <c r="AB96" s="17"/>
      <c r="AC96" s="17"/>
      <c r="AD96" s="17"/>
      <c r="AE96" s="17"/>
      <c r="AF96" s="17"/>
      <c r="AG96" s="17"/>
      <c r="AH96" s="17"/>
      <c r="AI96" s="17"/>
      <c r="AJ96" s="17"/>
      <c r="AK96" s="17"/>
      <c r="AL96" s="17"/>
      <c r="AM96" s="17"/>
      <c r="AN96" s="17"/>
    </row>
    <row r="97" spans="1:40">
      <c r="A97" s="19"/>
      <c r="B97" s="19"/>
      <c r="C97" s="878"/>
      <c r="D97" s="19"/>
      <c r="E97" s="122"/>
      <c r="F97" s="122"/>
      <c r="G97" s="122"/>
      <c r="H97" s="122"/>
      <c r="I97" s="124"/>
      <c r="J97" s="124"/>
      <c r="K97" s="124"/>
      <c r="L97" s="124"/>
      <c r="M97" s="124"/>
      <c r="N97" s="124"/>
      <c r="O97" s="124"/>
      <c r="P97" s="124"/>
      <c r="Q97" s="124"/>
      <c r="R97" s="124"/>
      <c r="S97" s="124"/>
      <c r="T97" s="124"/>
      <c r="U97" s="124"/>
      <c r="V97" s="124"/>
      <c r="W97" s="17"/>
      <c r="X97" s="17"/>
      <c r="Y97" s="17"/>
      <c r="Z97" s="17"/>
      <c r="AA97" s="17"/>
      <c r="AB97" s="17"/>
      <c r="AC97" s="17"/>
      <c r="AD97" s="17"/>
      <c r="AE97" s="17"/>
      <c r="AF97" s="17"/>
      <c r="AG97" s="17"/>
      <c r="AH97" s="17"/>
      <c r="AI97" s="17"/>
      <c r="AJ97" s="17"/>
      <c r="AK97" s="17"/>
      <c r="AL97" s="17"/>
      <c r="AM97" s="17"/>
      <c r="AN97" s="17"/>
    </row>
    <row r="98" spans="1:40">
      <c r="A98" s="19"/>
      <c r="B98" s="19"/>
      <c r="C98" s="878"/>
      <c r="D98" s="19"/>
      <c r="E98" s="122"/>
      <c r="F98" s="122"/>
      <c r="G98" s="122"/>
      <c r="H98" s="122"/>
      <c r="I98" s="124"/>
      <c r="J98" s="124"/>
      <c r="K98" s="124"/>
      <c r="L98" s="124"/>
      <c r="M98" s="124"/>
      <c r="N98" s="124"/>
      <c r="O98" s="124"/>
      <c r="P98" s="124"/>
      <c r="Q98" s="124"/>
      <c r="R98" s="124"/>
      <c r="S98" s="124"/>
      <c r="T98" s="124"/>
      <c r="U98" s="124"/>
      <c r="V98" s="124"/>
      <c r="W98" s="17"/>
      <c r="X98" s="17"/>
      <c r="Y98" s="17"/>
      <c r="Z98" s="17"/>
      <c r="AA98" s="17"/>
      <c r="AB98" s="17"/>
      <c r="AC98" s="17"/>
      <c r="AD98" s="17"/>
      <c r="AE98" s="17"/>
      <c r="AF98" s="17"/>
      <c r="AG98" s="17"/>
      <c r="AH98" s="17"/>
      <c r="AI98" s="17"/>
      <c r="AJ98" s="17"/>
      <c r="AK98" s="17"/>
      <c r="AL98" s="17"/>
      <c r="AM98" s="17"/>
      <c r="AN98" s="17"/>
    </row>
    <row r="99" spans="1:40">
      <c r="A99" s="19"/>
      <c r="B99" s="19"/>
      <c r="C99" s="878"/>
      <c r="D99" s="19"/>
      <c r="E99" s="122"/>
      <c r="F99" s="122"/>
      <c r="G99" s="122"/>
      <c r="H99" s="122"/>
      <c r="I99" s="124"/>
      <c r="J99" s="124"/>
      <c r="K99" s="124"/>
      <c r="L99" s="124"/>
      <c r="M99" s="124"/>
      <c r="N99" s="124"/>
      <c r="O99" s="124"/>
      <c r="P99" s="124"/>
      <c r="Q99" s="124"/>
      <c r="R99" s="124"/>
      <c r="S99" s="124"/>
      <c r="T99" s="124"/>
      <c r="U99" s="124"/>
      <c r="V99" s="124"/>
      <c r="W99" s="17"/>
      <c r="X99" s="17"/>
      <c r="Y99" s="17"/>
      <c r="Z99" s="17"/>
      <c r="AA99" s="17"/>
      <c r="AB99" s="17"/>
      <c r="AC99" s="17"/>
      <c r="AD99" s="17"/>
      <c r="AE99" s="17"/>
      <c r="AF99" s="17"/>
      <c r="AG99" s="17"/>
      <c r="AH99" s="17"/>
      <c r="AI99" s="17"/>
      <c r="AJ99" s="17"/>
      <c r="AK99" s="17"/>
      <c r="AL99" s="17"/>
      <c r="AM99" s="17"/>
      <c r="AN99" s="17"/>
    </row>
    <row r="100" spans="1:40">
      <c r="A100" s="19"/>
      <c r="B100" s="19"/>
      <c r="C100" s="878"/>
      <c r="D100" s="19"/>
      <c r="E100" s="122"/>
      <c r="F100" s="122"/>
      <c r="G100" s="122"/>
      <c r="H100" s="122"/>
      <c r="I100" s="124"/>
      <c r="J100" s="124"/>
      <c r="K100" s="124"/>
      <c r="L100" s="124"/>
      <c r="M100" s="124"/>
      <c r="N100" s="124"/>
      <c r="O100" s="124"/>
      <c r="P100" s="124"/>
      <c r="Q100" s="124"/>
      <c r="R100" s="124"/>
      <c r="S100" s="124"/>
      <c r="T100" s="124"/>
      <c r="U100" s="124"/>
      <c r="V100" s="124"/>
      <c r="W100" s="17"/>
      <c r="X100" s="17"/>
      <c r="Y100" s="17"/>
      <c r="Z100" s="17"/>
      <c r="AA100" s="17"/>
      <c r="AB100" s="17"/>
      <c r="AC100" s="17"/>
      <c r="AD100" s="17"/>
      <c r="AE100" s="17"/>
      <c r="AF100" s="17"/>
      <c r="AG100" s="17"/>
      <c r="AH100" s="17"/>
      <c r="AI100" s="17"/>
      <c r="AJ100" s="17"/>
      <c r="AK100" s="17"/>
      <c r="AL100" s="17"/>
      <c r="AM100" s="17"/>
      <c r="AN100" s="17"/>
    </row>
    <row r="101" spans="1:40">
      <c r="A101" s="19"/>
      <c r="B101" s="19"/>
      <c r="C101" s="878"/>
      <c r="D101" s="19"/>
      <c r="E101" s="122"/>
      <c r="F101" s="122"/>
      <c r="G101" s="122"/>
      <c r="H101" s="122"/>
      <c r="I101" s="124"/>
      <c r="J101" s="124"/>
      <c r="K101" s="124"/>
      <c r="L101" s="124"/>
      <c r="M101" s="124"/>
      <c r="N101" s="124"/>
      <c r="O101" s="124"/>
      <c r="P101" s="124"/>
      <c r="Q101" s="124"/>
      <c r="R101" s="124"/>
      <c r="S101" s="124"/>
      <c r="T101" s="124"/>
      <c r="U101" s="124"/>
      <c r="V101" s="124"/>
      <c r="W101" s="17"/>
      <c r="X101" s="17"/>
      <c r="Y101" s="17"/>
      <c r="Z101" s="17"/>
      <c r="AA101" s="17"/>
      <c r="AB101" s="17"/>
      <c r="AC101" s="17"/>
      <c r="AD101" s="17"/>
      <c r="AE101" s="17"/>
      <c r="AF101" s="17"/>
      <c r="AG101" s="17"/>
      <c r="AH101" s="17"/>
      <c r="AI101" s="17"/>
      <c r="AJ101" s="17"/>
      <c r="AK101" s="17"/>
      <c r="AL101" s="17"/>
      <c r="AM101" s="17"/>
      <c r="AN101" s="17"/>
    </row>
    <row r="102" spans="1:40">
      <c r="A102" s="19"/>
      <c r="B102" s="19"/>
      <c r="C102" s="878"/>
      <c r="D102" s="19"/>
      <c r="E102" s="122"/>
      <c r="F102" s="122"/>
      <c r="G102" s="122"/>
      <c r="H102" s="122"/>
      <c r="I102" s="124"/>
      <c r="J102" s="124"/>
      <c r="K102" s="124"/>
      <c r="L102" s="124"/>
      <c r="M102" s="124"/>
      <c r="N102" s="124"/>
      <c r="O102" s="124"/>
      <c r="P102" s="124"/>
      <c r="Q102" s="124"/>
      <c r="R102" s="124"/>
      <c r="S102" s="124"/>
      <c r="T102" s="124"/>
      <c r="U102" s="124"/>
      <c r="V102" s="124"/>
      <c r="W102" s="17"/>
      <c r="X102" s="17"/>
      <c r="Y102" s="17"/>
      <c r="Z102" s="17"/>
      <c r="AA102" s="17"/>
      <c r="AB102" s="17"/>
      <c r="AC102" s="17"/>
      <c r="AD102" s="17"/>
      <c r="AE102" s="17"/>
      <c r="AF102" s="17"/>
      <c r="AG102" s="17"/>
      <c r="AH102" s="17"/>
      <c r="AI102" s="17"/>
      <c r="AJ102" s="17"/>
      <c r="AK102" s="17"/>
      <c r="AL102" s="17"/>
      <c r="AM102" s="17"/>
      <c r="AN102" s="17"/>
    </row>
    <row r="103" spans="1:40">
      <c r="A103" s="19"/>
      <c r="B103" s="19"/>
      <c r="C103" s="878"/>
      <c r="D103" s="19"/>
      <c r="E103" s="122"/>
      <c r="F103" s="122"/>
      <c r="G103" s="122"/>
      <c r="H103" s="122"/>
      <c r="I103" s="124"/>
      <c r="J103" s="124"/>
      <c r="K103" s="124"/>
      <c r="L103" s="124"/>
      <c r="M103" s="124"/>
      <c r="N103" s="124"/>
      <c r="O103" s="124"/>
      <c r="P103" s="124"/>
      <c r="Q103" s="124"/>
      <c r="R103" s="124"/>
      <c r="S103" s="124"/>
      <c r="T103" s="124"/>
      <c r="U103" s="124"/>
      <c r="V103" s="124"/>
      <c r="W103" s="17"/>
      <c r="X103" s="17"/>
      <c r="Y103" s="17"/>
      <c r="Z103" s="17"/>
      <c r="AA103" s="17"/>
      <c r="AB103" s="17"/>
      <c r="AC103" s="17"/>
      <c r="AD103" s="17"/>
      <c r="AE103" s="17"/>
      <c r="AF103" s="17"/>
      <c r="AG103" s="17"/>
      <c r="AH103" s="17"/>
      <c r="AI103" s="17"/>
      <c r="AJ103" s="17"/>
      <c r="AK103" s="17"/>
      <c r="AL103" s="17"/>
      <c r="AM103" s="17"/>
      <c r="AN103" s="17"/>
    </row>
    <row r="104" spans="1:40">
      <c r="A104" s="19"/>
      <c r="B104" s="19"/>
      <c r="C104" s="878"/>
      <c r="D104" s="19"/>
      <c r="E104" s="122"/>
      <c r="F104" s="122"/>
      <c r="G104" s="122"/>
      <c r="H104" s="122"/>
      <c r="I104" s="124"/>
      <c r="J104" s="124"/>
      <c r="K104" s="124"/>
      <c r="L104" s="124"/>
      <c r="M104" s="124"/>
      <c r="N104" s="124"/>
      <c r="O104" s="124"/>
      <c r="P104" s="124"/>
      <c r="Q104" s="124"/>
      <c r="R104" s="124"/>
      <c r="S104" s="124"/>
      <c r="T104" s="124"/>
      <c r="U104" s="124"/>
      <c r="V104" s="124"/>
      <c r="W104" s="17"/>
      <c r="X104" s="17"/>
      <c r="Y104" s="17"/>
      <c r="Z104" s="17"/>
      <c r="AA104" s="17"/>
      <c r="AB104" s="17"/>
      <c r="AC104" s="17"/>
      <c r="AD104" s="17"/>
      <c r="AE104" s="17"/>
      <c r="AF104" s="17"/>
      <c r="AG104" s="17"/>
      <c r="AH104" s="17"/>
      <c r="AI104" s="17"/>
      <c r="AJ104" s="17"/>
      <c r="AK104" s="17"/>
      <c r="AL104" s="17"/>
      <c r="AM104" s="17"/>
      <c r="AN104" s="17"/>
    </row>
    <row r="105" spans="1:40">
      <c r="A105" s="19"/>
      <c r="B105" s="19"/>
      <c r="C105" s="878"/>
      <c r="D105" s="19"/>
      <c r="E105" s="122"/>
      <c r="F105" s="122"/>
      <c r="G105" s="122"/>
      <c r="H105" s="122"/>
      <c r="I105" s="124"/>
      <c r="J105" s="124"/>
      <c r="K105" s="124"/>
      <c r="L105" s="124"/>
      <c r="M105" s="124"/>
      <c r="N105" s="124"/>
      <c r="O105" s="124"/>
      <c r="P105" s="124"/>
      <c r="Q105" s="124"/>
      <c r="R105" s="124"/>
      <c r="S105" s="124"/>
      <c r="T105" s="124"/>
      <c r="U105" s="124"/>
      <c r="V105" s="124"/>
      <c r="W105" s="17"/>
      <c r="X105" s="17"/>
      <c r="Y105" s="17"/>
      <c r="Z105" s="17"/>
      <c r="AA105" s="17"/>
      <c r="AB105" s="17"/>
      <c r="AC105" s="17"/>
      <c r="AD105" s="17"/>
      <c r="AE105" s="17"/>
      <c r="AF105" s="17"/>
      <c r="AG105" s="17"/>
      <c r="AH105" s="17"/>
      <c r="AI105" s="17"/>
      <c r="AJ105" s="17"/>
      <c r="AK105" s="17"/>
      <c r="AL105" s="17"/>
      <c r="AM105" s="17"/>
      <c r="AN105" s="17"/>
    </row>
    <row r="106" spans="1:40">
      <c r="A106" s="19"/>
      <c r="B106" s="19"/>
      <c r="C106" s="878"/>
      <c r="D106" s="19"/>
      <c r="E106" s="122"/>
      <c r="F106" s="122"/>
      <c r="G106" s="122"/>
      <c r="H106" s="122"/>
      <c r="I106" s="124"/>
      <c r="J106" s="124"/>
      <c r="K106" s="124"/>
      <c r="L106" s="124"/>
      <c r="M106" s="124"/>
      <c r="N106" s="124"/>
      <c r="O106" s="124"/>
      <c r="P106" s="124"/>
      <c r="Q106" s="124"/>
      <c r="R106" s="124"/>
      <c r="S106" s="124"/>
      <c r="T106" s="124"/>
      <c r="U106" s="124"/>
      <c r="V106" s="124"/>
      <c r="W106" s="17"/>
      <c r="X106" s="17"/>
      <c r="Y106" s="17"/>
      <c r="Z106" s="17"/>
      <c r="AA106" s="17"/>
      <c r="AB106" s="17"/>
      <c r="AC106" s="17"/>
      <c r="AD106" s="17"/>
      <c r="AE106" s="17"/>
      <c r="AF106" s="17"/>
      <c r="AG106" s="17"/>
      <c r="AH106" s="17"/>
      <c r="AI106" s="17"/>
      <c r="AJ106" s="17"/>
      <c r="AK106" s="17"/>
      <c r="AL106" s="17"/>
      <c r="AM106" s="17"/>
      <c r="AN106" s="17"/>
    </row>
    <row r="107" spans="1:40">
      <c r="A107" s="19"/>
      <c r="B107" s="19"/>
      <c r="C107" s="878"/>
      <c r="D107" s="19"/>
      <c r="E107" s="122"/>
      <c r="F107" s="122"/>
      <c r="G107" s="122"/>
      <c r="H107" s="122"/>
      <c r="I107" s="124"/>
      <c r="J107" s="124"/>
      <c r="K107" s="124"/>
      <c r="L107" s="124"/>
      <c r="M107" s="124"/>
      <c r="N107" s="124"/>
      <c r="O107" s="124"/>
      <c r="P107" s="124"/>
      <c r="Q107" s="124"/>
      <c r="R107" s="124"/>
      <c r="S107" s="124"/>
      <c r="T107" s="124"/>
      <c r="U107" s="124"/>
      <c r="V107" s="124"/>
      <c r="W107" s="17"/>
      <c r="X107" s="17"/>
      <c r="Y107" s="17"/>
      <c r="Z107" s="17"/>
      <c r="AA107" s="17"/>
      <c r="AB107" s="17"/>
      <c r="AC107" s="17"/>
      <c r="AD107" s="17"/>
      <c r="AE107" s="17"/>
      <c r="AF107" s="17"/>
      <c r="AG107" s="17"/>
      <c r="AH107" s="17"/>
      <c r="AI107" s="17"/>
      <c r="AJ107" s="17"/>
      <c r="AK107" s="17"/>
      <c r="AL107" s="17"/>
      <c r="AM107" s="17"/>
      <c r="AN107" s="17"/>
    </row>
    <row r="108" spans="1:40">
      <c r="A108" s="19"/>
      <c r="B108" s="19"/>
      <c r="C108" s="878"/>
      <c r="D108" s="19"/>
      <c r="E108" s="122"/>
      <c r="F108" s="122"/>
      <c r="G108" s="122"/>
      <c r="H108" s="122"/>
      <c r="I108" s="124"/>
      <c r="J108" s="124"/>
      <c r="K108" s="124"/>
      <c r="L108" s="124"/>
      <c r="M108" s="124"/>
      <c r="N108" s="124"/>
      <c r="O108" s="124"/>
      <c r="P108" s="124"/>
      <c r="Q108" s="124"/>
      <c r="R108" s="124"/>
      <c r="S108" s="124"/>
      <c r="T108" s="124"/>
      <c r="U108" s="124"/>
      <c r="V108" s="124"/>
      <c r="W108" s="17"/>
      <c r="X108" s="17"/>
      <c r="Y108" s="17"/>
      <c r="Z108" s="17"/>
      <c r="AA108" s="17"/>
      <c r="AB108" s="17"/>
      <c r="AC108" s="17"/>
      <c r="AD108" s="17"/>
      <c r="AE108" s="17"/>
      <c r="AF108" s="17"/>
      <c r="AG108" s="17"/>
      <c r="AH108" s="17"/>
      <c r="AI108" s="17"/>
      <c r="AJ108" s="17"/>
      <c r="AK108" s="17"/>
      <c r="AL108" s="17"/>
      <c r="AM108" s="17"/>
      <c r="AN108" s="17"/>
    </row>
    <row r="109" spans="1:40">
      <c r="A109" s="19"/>
      <c r="B109" s="19"/>
      <c r="C109" s="878"/>
      <c r="D109" s="19"/>
      <c r="E109" s="122"/>
      <c r="F109" s="122"/>
      <c r="G109" s="122"/>
      <c r="H109" s="122"/>
      <c r="I109" s="124"/>
      <c r="J109" s="124"/>
      <c r="K109" s="124"/>
      <c r="L109" s="124"/>
      <c r="M109" s="124"/>
      <c r="N109" s="124"/>
      <c r="O109" s="124"/>
      <c r="P109" s="124"/>
      <c r="Q109" s="124"/>
      <c r="R109" s="124"/>
      <c r="S109" s="124"/>
      <c r="T109" s="124"/>
      <c r="U109" s="124"/>
      <c r="V109" s="124"/>
      <c r="W109" s="17"/>
      <c r="X109" s="17"/>
      <c r="Y109" s="17"/>
      <c r="Z109" s="17"/>
      <c r="AA109" s="17"/>
      <c r="AB109" s="17"/>
      <c r="AC109" s="17"/>
      <c r="AD109" s="17"/>
      <c r="AE109" s="17"/>
      <c r="AF109" s="17"/>
      <c r="AG109" s="17"/>
      <c r="AH109" s="17"/>
      <c r="AI109" s="17"/>
      <c r="AJ109" s="17"/>
      <c r="AK109" s="17"/>
      <c r="AL109" s="17"/>
      <c r="AM109" s="17"/>
      <c r="AN109" s="17"/>
    </row>
    <row r="110" spans="1:40">
      <c r="A110" s="19"/>
      <c r="B110" s="19"/>
      <c r="C110" s="878"/>
      <c r="D110" s="19"/>
      <c r="E110" s="122"/>
      <c r="F110" s="122"/>
      <c r="G110" s="122"/>
      <c r="H110" s="122"/>
      <c r="I110" s="124"/>
      <c r="J110" s="124"/>
      <c r="K110" s="124"/>
      <c r="L110" s="124"/>
      <c r="M110" s="124"/>
      <c r="N110" s="124"/>
      <c r="O110" s="124"/>
      <c r="P110" s="124"/>
      <c r="Q110" s="124"/>
      <c r="R110" s="124"/>
      <c r="S110" s="124"/>
      <c r="T110" s="124"/>
      <c r="U110" s="124"/>
      <c r="V110" s="124"/>
      <c r="W110" s="17"/>
      <c r="X110" s="17"/>
      <c r="Y110" s="17"/>
      <c r="Z110" s="17"/>
      <c r="AA110" s="17"/>
      <c r="AB110" s="17"/>
      <c r="AC110" s="17"/>
      <c r="AD110" s="17"/>
      <c r="AE110" s="17"/>
      <c r="AF110" s="17"/>
      <c r="AG110" s="17"/>
      <c r="AH110" s="17"/>
      <c r="AI110" s="17"/>
      <c r="AJ110" s="17"/>
      <c r="AK110" s="17"/>
      <c r="AL110" s="17"/>
      <c r="AM110" s="17"/>
      <c r="AN110" s="17"/>
    </row>
    <row r="111" spans="1:40">
      <c r="A111" s="19"/>
      <c r="B111" s="19"/>
      <c r="C111" s="878"/>
      <c r="D111" s="19"/>
      <c r="E111" s="122"/>
      <c r="F111" s="122"/>
      <c r="G111" s="122"/>
      <c r="H111" s="122"/>
      <c r="I111" s="124"/>
      <c r="J111" s="124"/>
      <c r="K111" s="124"/>
      <c r="L111" s="124"/>
      <c r="M111" s="124"/>
      <c r="N111" s="124"/>
      <c r="O111" s="124"/>
      <c r="P111" s="124"/>
      <c r="Q111" s="124"/>
      <c r="R111" s="124"/>
      <c r="S111" s="124"/>
      <c r="T111" s="124"/>
      <c r="U111" s="124"/>
      <c r="V111" s="124"/>
      <c r="W111" s="17"/>
      <c r="X111" s="17"/>
      <c r="Y111" s="17"/>
      <c r="Z111" s="17"/>
      <c r="AA111" s="17"/>
      <c r="AB111" s="17"/>
      <c r="AC111" s="17"/>
      <c r="AD111" s="17"/>
      <c r="AE111" s="17"/>
      <c r="AF111" s="17"/>
      <c r="AG111" s="17"/>
      <c r="AH111" s="17"/>
      <c r="AI111" s="17"/>
      <c r="AJ111" s="17"/>
      <c r="AK111" s="17"/>
      <c r="AL111" s="17"/>
      <c r="AM111" s="17"/>
      <c r="AN111" s="17"/>
    </row>
    <row r="112" spans="1:40">
      <c r="A112" s="19"/>
      <c r="B112" s="19"/>
      <c r="C112" s="878"/>
      <c r="D112" s="19"/>
      <c r="E112" s="122"/>
      <c r="F112" s="122"/>
      <c r="G112" s="122"/>
      <c r="H112" s="122"/>
      <c r="I112" s="124"/>
      <c r="J112" s="124"/>
      <c r="K112" s="124"/>
      <c r="L112" s="124"/>
      <c r="M112" s="124"/>
      <c r="N112" s="124"/>
      <c r="O112" s="124"/>
      <c r="P112" s="124"/>
      <c r="Q112" s="124"/>
      <c r="R112" s="124"/>
      <c r="S112" s="124"/>
      <c r="T112" s="124"/>
      <c r="U112" s="124"/>
      <c r="V112" s="124"/>
      <c r="W112" s="17"/>
      <c r="X112" s="17"/>
      <c r="Y112" s="17"/>
      <c r="Z112" s="17"/>
      <c r="AA112" s="17"/>
      <c r="AB112" s="17"/>
      <c r="AC112" s="17"/>
      <c r="AD112" s="17"/>
      <c r="AE112" s="17"/>
      <c r="AF112" s="17"/>
      <c r="AG112" s="17"/>
      <c r="AH112" s="17"/>
      <c r="AI112" s="17"/>
      <c r="AJ112" s="17"/>
      <c r="AK112" s="17"/>
      <c r="AL112" s="17"/>
      <c r="AM112" s="17"/>
      <c r="AN112" s="17"/>
    </row>
    <row r="113" spans="1:40">
      <c r="A113" s="19"/>
      <c r="B113" s="19"/>
      <c r="C113" s="878"/>
      <c r="D113" s="19"/>
      <c r="E113" s="122"/>
      <c r="F113" s="122"/>
      <c r="G113" s="122"/>
      <c r="H113" s="122"/>
      <c r="I113" s="124"/>
      <c r="J113" s="124"/>
      <c r="K113" s="124"/>
      <c r="L113" s="124"/>
      <c r="M113" s="124"/>
      <c r="N113" s="124"/>
      <c r="O113" s="124"/>
      <c r="P113" s="124"/>
      <c r="Q113" s="124"/>
      <c r="R113" s="124"/>
      <c r="S113" s="124"/>
      <c r="T113" s="124"/>
      <c r="U113" s="124"/>
      <c r="V113" s="124"/>
      <c r="W113" s="17"/>
      <c r="X113" s="17"/>
      <c r="Y113" s="17"/>
      <c r="Z113" s="17"/>
      <c r="AA113" s="17"/>
      <c r="AB113" s="17"/>
      <c r="AC113" s="17"/>
      <c r="AD113" s="17"/>
      <c r="AE113" s="17"/>
      <c r="AF113" s="17"/>
      <c r="AG113" s="17"/>
      <c r="AH113" s="17"/>
      <c r="AI113" s="17"/>
      <c r="AJ113" s="17"/>
      <c r="AK113" s="17"/>
      <c r="AL113" s="17"/>
      <c r="AM113" s="17"/>
      <c r="AN113" s="17"/>
    </row>
    <row r="114" spans="1:40">
      <c r="A114" s="19"/>
      <c r="B114" s="19"/>
      <c r="C114" s="878"/>
      <c r="D114" s="19"/>
      <c r="E114" s="122"/>
      <c r="F114" s="122"/>
      <c r="G114" s="122"/>
      <c r="H114" s="122"/>
      <c r="I114" s="124"/>
      <c r="J114" s="124"/>
      <c r="K114" s="124"/>
      <c r="L114" s="124"/>
      <c r="M114" s="124"/>
      <c r="N114" s="124"/>
      <c r="O114" s="124"/>
      <c r="P114" s="124"/>
      <c r="Q114" s="124"/>
      <c r="R114" s="124"/>
      <c r="S114" s="124"/>
      <c r="T114" s="124"/>
      <c r="U114" s="124"/>
      <c r="V114" s="124"/>
      <c r="W114" s="17"/>
      <c r="X114" s="17"/>
      <c r="Y114" s="17"/>
      <c r="Z114" s="17"/>
      <c r="AA114" s="17"/>
      <c r="AB114" s="17"/>
      <c r="AC114" s="17"/>
      <c r="AD114" s="17"/>
      <c r="AE114" s="17"/>
      <c r="AF114" s="17"/>
      <c r="AG114" s="17"/>
      <c r="AH114" s="17"/>
      <c r="AI114" s="17"/>
      <c r="AJ114" s="17"/>
      <c r="AK114" s="17"/>
      <c r="AL114" s="17"/>
      <c r="AM114" s="17"/>
      <c r="AN114" s="17"/>
    </row>
    <row r="115" spans="1:40">
      <c r="A115" s="19"/>
      <c r="B115" s="19"/>
      <c r="C115" s="878"/>
      <c r="D115" s="19"/>
      <c r="E115" s="122"/>
      <c r="F115" s="122"/>
      <c r="G115" s="122"/>
      <c r="H115" s="122"/>
      <c r="I115" s="124"/>
      <c r="J115" s="124"/>
      <c r="K115" s="124"/>
      <c r="L115" s="124"/>
      <c r="M115" s="124"/>
      <c r="N115" s="124"/>
      <c r="O115" s="124"/>
      <c r="P115" s="124"/>
      <c r="Q115" s="124"/>
      <c r="R115" s="124"/>
      <c r="S115" s="124"/>
      <c r="T115" s="124"/>
      <c r="U115" s="124"/>
      <c r="V115" s="124"/>
      <c r="W115" s="17"/>
      <c r="X115" s="17"/>
      <c r="Y115" s="17"/>
      <c r="Z115" s="17"/>
      <c r="AA115" s="17"/>
      <c r="AB115" s="17"/>
      <c r="AC115" s="17"/>
      <c r="AD115" s="17"/>
      <c r="AE115" s="17"/>
      <c r="AF115" s="17"/>
      <c r="AG115" s="17"/>
      <c r="AH115" s="17"/>
      <c r="AI115" s="17"/>
      <c r="AJ115" s="17"/>
      <c r="AK115" s="17"/>
      <c r="AL115" s="17"/>
      <c r="AM115" s="17"/>
      <c r="AN115" s="17"/>
    </row>
    <row r="116" spans="1:40">
      <c r="A116" s="19"/>
      <c r="B116" s="19"/>
      <c r="C116" s="878"/>
      <c r="D116" s="19"/>
      <c r="E116" s="122"/>
      <c r="F116" s="122"/>
      <c r="G116" s="122"/>
      <c r="H116" s="122"/>
      <c r="I116" s="124"/>
      <c r="J116" s="124"/>
      <c r="K116" s="124"/>
      <c r="L116" s="124"/>
      <c r="M116" s="124"/>
      <c r="N116" s="124"/>
      <c r="O116" s="124"/>
      <c r="P116" s="124"/>
      <c r="Q116" s="124"/>
      <c r="R116" s="124"/>
      <c r="S116" s="124"/>
      <c r="T116" s="124"/>
      <c r="U116" s="124"/>
      <c r="V116" s="124"/>
      <c r="W116" s="17"/>
      <c r="X116" s="17"/>
      <c r="Y116" s="17"/>
      <c r="Z116" s="17"/>
      <c r="AA116" s="17"/>
      <c r="AB116" s="17"/>
      <c r="AC116" s="17"/>
      <c r="AD116" s="17"/>
      <c r="AE116" s="17"/>
      <c r="AF116" s="17"/>
      <c r="AG116" s="17"/>
      <c r="AH116" s="17"/>
      <c r="AI116" s="17"/>
      <c r="AJ116" s="17"/>
      <c r="AK116" s="17"/>
      <c r="AL116" s="17"/>
      <c r="AM116" s="17"/>
      <c r="AN116" s="17"/>
    </row>
    <row r="117" spans="1:40">
      <c r="A117" s="19"/>
      <c r="B117" s="19"/>
      <c r="C117" s="878"/>
      <c r="D117" s="19"/>
      <c r="E117" s="122"/>
      <c r="F117" s="122"/>
      <c r="G117" s="122"/>
      <c r="H117" s="122"/>
      <c r="I117" s="124"/>
      <c r="J117" s="124"/>
      <c r="K117" s="124"/>
      <c r="L117" s="124"/>
      <c r="M117" s="124"/>
      <c r="N117" s="124"/>
      <c r="O117" s="124"/>
      <c r="P117" s="124"/>
      <c r="Q117" s="124"/>
      <c r="R117" s="124"/>
      <c r="S117" s="124"/>
      <c r="T117" s="124"/>
      <c r="U117" s="124"/>
      <c r="V117" s="124"/>
      <c r="W117" s="17"/>
      <c r="X117" s="17"/>
      <c r="Y117" s="17"/>
      <c r="Z117" s="17"/>
      <c r="AA117" s="17"/>
      <c r="AB117" s="17"/>
      <c r="AC117" s="17"/>
      <c r="AD117" s="17"/>
      <c r="AE117" s="17"/>
      <c r="AF117" s="17"/>
      <c r="AG117" s="17"/>
      <c r="AH117" s="17"/>
      <c r="AI117" s="17"/>
      <c r="AJ117" s="17"/>
      <c r="AK117" s="17"/>
      <c r="AL117" s="17"/>
      <c r="AM117" s="17"/>
      <c r="AN117" s="17"/>
    </row>
    <row r="118" spans="1:40">
      <c r="A118" s="19"/>
      <c r="B118" s="19"/>
      <c r="C118" s="878"/>
      <c r="D118" s="19"/>
      <c r="E118" s="122"/>
      <c r="F118" s="122"/>
      <c r="G118" s="122"/>
      <c r="H118" s="122"/>
      <c r="I118" s="124"/>
      <c r="J118" s="124"/>
      <c r="K118" s="124"/>
      <c r="L118" s="124"/>
      <c r="M118" s="124"/>
      <c r="N118" s="124"/>
      <c r="O118" s="124"/>
      <c r="P118" s="124"/>
      <c r="Q118" s="124"/>
      <c r="R118" s="124"/>
      <c r="S118" s="124"/>
      <c r="T118" s="124"/>
      <c r="U118" s="124"/>
      <c r="V118" s="124"/>
      <c r="W118" s="17"/>
      <c r="X118" s="17"/>
      <c r="Y118" s="17"/>
      <c r="Z118" s="17"/>
      <c r="AA118" s="17"/>
      <c r="AB118" s="17"/>
      <c r="AC118" s="17"/>
      <c r="AD118" s="17"/>
      <c r="AE118" s="17"/>
      <c r="AF118" s="17"/>
      <c r="AG118" s="17"/>
      <c r="AH118" s="17"/>
      <c r="AI118" s="17"/>
      <c r="AJ118" s="17"/>
      <c r="AK118" s="17"/>
      <c r="AL118" s="17"/>
      <c r="AM118" s="17"/>
      <c r="AN118" s="17"/>
    </row>
    <row r="119" spans="1:40">
      <c r="A119" s="19"/>
      <c r="B119" s="19"/>
      <c r="C119" s="878"/>
      <c r="D119" s="19"/>
      <c r="E119" s="122"/>
      <c r="F119" s="122"/>
      <c r="G119" s="122"/>
      <c r="H119" s="122"/>
      <c r="I119" s="124"/>
      <c r="J119" s="124"/>
      <c r="K119" s="124"/>
      <c r="L119" s="124"/>
      <c r="M119" s="124"/>
      <c r="N119" s="124"/>
      <c r="O119" s="124"/>
      <c r="P119" s="124"/>
      <c r="Q119" s="124"/>
      <c r="R119" s="124"/>
      <c r="S119" s="124"/>
      <c r="T119" s="124"/>
      <c r="U119" s="124"/>
      <c r="V119" s="124"/>
      <c r="W119" s="17"/>
      <c r="X119" s="17"/>
      <c r="Y119" s="17"/>
      <c r="Z119" s="17"/>
      <c r="AA119" s="17"/>
      <c r="AB119" s="17"/>
      <c r="AC119" s="17"/>
      <c r="AD119" s="17"/>
      <c r="AE119" s="17"/>
      <c r="AF119" s="17"/>
      <c r="AG119" s="17"/>
      <c r="AH119" s="17"/>
      <c r="AI119" s="17"/>
      <c r="AJ119" s="17"/>
      <c r="AK119" s="17"/>
      <c r="AL119" s="17"/>
      <c r="AM119" s="17"/>
      <c r="AN119" s="17"/>
    </row>
    <row r="120" spans="1:40">
      <c r="A120" s="19"/>
      <c r="B120" s="19"/>
      <c r="C120" s="878"/>
      <c r="D120" s="19"/>
      <c r="E120" s="122"/>
      <c r="F120" s="122"/>
      <c r="G120" s="122"/>
      <c r="H120" s="122"/>
      <c r="I120" s="124"/>
      <c r="J120" s="124"/>
      <c r="K120" s="124"/>
      <c r="L120" s="124"/>
      <c r="M120" s="124"/>
      <c r="N120" s="124"/>
      <c r="O120" s="124"/>
      <c r="P120" s="124"/>
      <c r="Q120" s="124"/>
      <c r="R120" s="124"/>
      <c r="S120" s="124"/>
      <c r="T120" s="124"/>
      <c r="U120" s="124"/>
      <c r="V120" s="124"/>
      <c r="W120" s="17"/>
      <c r="X120" s="17"/>
      <c r="Y120" s="17"/>
      <c r="Z120" s="17"/>
      <c r="AA120" s="17"/>
      <c r="AB120" s="17"/>
      <c r="AC120" s="17"/>
      <c r="AD120" s="17"/>
      <c r="AE120" s="17"/>
      <c r="AF120" s="17"/>
      <c r="AG120" s="17"/>
      <c r="AH120" s="17"/>
      <c r="AI120" s="17"/>
      <c r="AJ120" s="17"/>
      <c r="AK120" s="17"/>
      <c r="AL120" s="17"/>
      <c r="AM120" s="17"/>
      <c r="AN120" s="17"/>
    </row>
    <row r="121" spans="1:40">
      <c r="A121" s="19"/>
      <c r="B121" s="19"/>
      <c r="C121" s="878"/>
      <c r="D121" s="19"/>
      <c r="E121" s="122"/>
      <c r="F121" s="122"/>
      <c r="G121" s="122"/>
      <c r="H121" s="122"/>
      <c r="I121" s="124"/>
      <c r="J121" s="124"/>
      <c r="K121" s="124"/>
      <c r="L121" s="124"/>
      <c r="M121" s="124"/>
      <c r="N121" s="124"/>
      <c r="O121" s="124"/>
      <c r="P121" s="124"/>
      <c r="Q121" s="124"/>
      <c r="R121" s="124"/>
      <c r="S121" s="124"/>
      <c r="T121" s="124"/>
      <c r="U121" s="124"/>
      <c r="V121" s="124"/>
      <c r="W121" s="17"/>
      <c r="X121" s="17"/>
      <c r="Y121" s="17"/>
      <c r="Z121" s="17"/>
      <c r="AA121" s="17"/>
      <c r="AB121" s="17"/>
      <c r="AC121" s="17"/>
      <c r="AD121" s="17"/>
      <c r="AE121" s="17"/>
      <c r="AF121" s="17"/>
      <c r="AG121" s="17"/>
      <c r="AH121" s="17"/>
      <c r="AI121" s="17"/>
      <c r="AJ121" s="17"/>
      <c r="AK121" s="17"/>
      <c r="AL121" s="17"/>
      <c r="AM121" s="17"/>
      <c r="AN121" s="17"/>
    </row>
    <row r="122" spans="1:40">
      <c r="A122" s="19"/>
      <c r="B122" s="19"/>
      <c r="C122" s="878"/>
      <c r="D122" s="19"/>
      <c r="E122" s="122"/>
      <c r="F122" s="122"/>
      <c r="G122" s="122"/>
      <c r="H122" s="122"/>
      <c r="I122" s="124"/>
      <c r="J122" s="124"/>
      <c r="K122" s="124"/>
      <c r="L122" s="124"/>
      <c r="M122" s="124"/>
      <c r="N122" s="124"/>
      <c r="O122" s="124"/>
      <c r="P122" s="124"/>
      <c r="Q122" s="124"/>
      <c r="R122" s="124"/>
      <c r="S122" s="124"/>
      <c r="T122" s="124"/>
      <c r="U122" s="124"/>
      <c r="V122" s="124"/>
      <c r="W122" s="17"/>
      <c r="X122" s="17"/>
      <c r="Y122" s="17"/>
      <c r="Z122" s="17"/>
      <c r="AA122" s="17"/>
      <c r="AB122" s="17"/>
      <c r="AC122" s="17"/>
      <c r="AD122" s="17"/>
      <c r="AE122" s="17"/>
      <c r="AF122" s="17"/>
      <c r="AG122" s="17"/>
      <c r="AH122" s="17"/>
      <c r="AI122" s="17"/>
      <c r="AJ122" s="17"/>
      <c r="AK122" s="17"/>
      <c r="AL122" s="17"/>
      <c r="AM122" s="17"/>
      <c r="AN122" s="17"/>
    </row>
    <row r="123" spans="1:40">
      <c r="A123" s="19"/>
      <c r="B123" s="19"/>
      <c r="C123" s="878"/>
      <c r="D123" s="19"/>
      <c r="E123" s="122"/>
      <c r="F123" s="122"/>
      <c r="G123" s="122"/>
      <c r="H123" s="122"/>
      <c r="I123" s="124"/>
      <c r="J123" s="124"/>
      <c r="K123" s="124"/>
      <c r="L123" s="124"/>
      <c r="M123" s="124"/>
      <c r="N123" s="124"/>
      <c r="O123" s="124"/>
      <c r="P123" s="124"/>
      <c r="Q123" s="124"/>
      <c r="R123" s="124"/>
      <c r="S123" s="124"/>
      <c r="T123" s="124"/>
      <c r="U123" s="124"/>
      <c r="V123" s="124"/>
      <c r="W123" s="17"/>
      <c r="X123" s="17"/>
      <c r="Y123" s="17"/>
      <c r="Z123" s="17"/>
      <c r="AA123" s="17"/>
      <c r="AB123" s="17"/>
      <c r="AC123" s="17"/>
      <c r="AD123" s="17"/>
      <c r="AE123" s="17"/>
      <c r="AF123" s="17"/>
      <c r="AG123" s="17"/>
      <c r="AH123" s="17"/>
      <c r="AI123" s="17"/>
      <c r="AJ123" s="17"/>
      <c r="AK123" s="17"/>
      <c r="AL123" s="17"/>
      <c r="AM123" s="17"/>
      <c r="AN123" s="17"/>
    </row>
    <row r="124" spans="1:40">
      <c r="A124" s="19"/>
      <c r="B124" s="19"/>
      <c r="C124" s="878"/>
      <c r="D124" s="19"/>
      <c r="E124" s="122"/>
      <c r="F124" s="122"/>
      <c r="G124" s="122"/>
      <c r="H124" s="122"/>
      <c r="I124" s="124"/>
      <c r="J124" s="124"/>
      <c r="K124" s="124"/>
      <c r="L124" s="124"/>
      <c r="M124" s="124"/>
      <c r="N124" s="124"/>
      <c r="O124" s="124"/>
      <c r="P124" s="124"/>
      <c r="Q124" s="124"/>
      <c r="R124" s="124"/>
      <c r="S124" s="124"/>
      <c r="T124" s="124"/>
      <c r="U124" s="124"/>
      <c r="V124" s="124"/>
      <c r="W124" s="17"/>
      <c r="X124" s="17"/>
      <c r="Y124" s="17"/>
      <c r="Z124" s="17"/>
      <c r="AA124" s="17"/>
      <c r="AB124" s="17"/>
      <c r="AC124" s="17"/>
      <c r="AD124" s="17"/>
      <c r="AE124" s="17"/>
      <c r="AF124" s="17"/>
      <c r="AG124" s="17"/>
      <c r="AH124" s="17"/>
      <c r="AI124" s="17"/>
      <c r="AJ124" s="17"/>
      <c r="AK124" s="17"/>
      <c r="AL124" s="17"/>
      <c r="AM124" s="17"/>
      <c r="AN124" s="17"/>
    </row>
    <row r="125" spans="1:40">
      <c r="A125" s="19"/>
      <c r="B125" s="19"/>
      <c r="C125" s="878"/>
      <c r="D125" s="19"/>
      <c r="E125" s="122"/>
      <c r="F125" s="122"/>
      <c r="G125" s="122"/>
      <c r="H125" s="122"/>
      <c r="I125" s="124"/>
      <c r="J125" s="124"/>
      <c r="K125" s="124"/>
      <c r="L125" s="124"/>
      <c r="M125" s="124"/>
      <c r="N125" s="124"/>
      <c r="O125" s="124"/>
      <c r="P125" s="124"/>
      <c r="Q125" s="124"/>
      <c r="R125" s="124"/>
      <c r="S125" s="124"/>
      <c r="T125" s="124"/>
      <c r="U125" s="124"/>
      <c r="V125" s="124"/>
      <c r="W125" s="17"/>
      <c r="X125" s="17"/>
      <c r="Y125" s="17"/>
      <c r="Z125" s="17"/>
      <c r="AA125" s="17"/>
      <c r="AB125" s="17"/>
      <c r="AC125" s="17"/>
      <c r="AD125" s="17"/>
      <c r="AE125" s="17"/>
      <c r="AF125" s="17"/>
      <c r="AG125" s="17"/>
      <c r="AH125" s="17"/>
      <c r="AI125" s="17"/>
      <c r="AJ125" s="17"/>
      <c r="AK125" s="17"/>
      <c r="AL125" s="17"/>
      <c r="AM125" s="17"/>
      <c r="AN125" s="17"/>
    </row>
    <row r="126" spans="1:40">
      <c r="A126" s="19"/>
      <c r="B126" s="19"/>
      <c r="C126" s="878"/>
      <c r="D126" s="19"/>
      <c r="E126" s="122"/>
      <c r="F126" s="122"/>
      <c r="G126" s="122"/>
      <c r="H126" s="122"/>
      <c r="I126" s="124"/>
      <c r="J126" s="124"/>
      <c r="K126" s="124"/>
      <c r="L126" s="124"/>
      <c r="M126" s="124"/>
      <c r="N126" s="124"/>
      <c r="O126" s="124"/>
      <c r="P126" s="124"/>
      <c r="Q126" s="124"/>
      <c r="R126" s="124"/>
      <c r="S126" s="124"/>
      <c r="T126" s="124"/>
      <c r="U126" s="124"/>
      <c r="V126" s="124"/>
      <c r="W126" s="17"/>
      <c r="X126" s="17"/>
      <c r="Y126" s="17"/>
      <c r="Z126" s="17"/>
      <c r="AA126" s="17"/>
      <c r="AB126" s="17"/>
      <c r="AC126" s="17"/>
      <c r="AD126" s="17"/>
      <c r="AE126" s="17"/>
      <c r="AF126" s="17"/>
      <c r="AG126" s="17"/>
      <c r="AH126" s="17"/>
      <c r="AI126" s="17"/>
      <c r="AJ126" s="17"/>
      <c r="AK126" s="17"/>
      <c r="AL126" s="17"/>
      <c r="AM126" s="17"/>
      <c r="AN126" s="17"/>
    </row>
    <row r="127" spans="1:40">
      <c r="A127" s="19"/>
      <c r="B127" s="19"/>
      <c r="C127" s="878"/>
      <c r="D127" s="19"/>
      <c r="E127" s="122"/>
      <c r="F127" s="122"/>
      <c r="G127" s="122"/>
      <c r="H127" s="122"/>
      <c r="I127" s="124"/>
      <c r="J127" s="124"/>
      <c r="K127" s="124"/>
      <c r="L127" s="124"/>
      <c r="M127" s="124"/>
      <c r="N127" s="124"/>
      <c r="O127" s="124"/>
      <c r="P127" s="124"/>
      <c r="Q127" s="124"/>
      <c r="R127" s="124"/>
      <c r="S127" s="124"/>
      <c r="T127" s="124"/>
      <c r="U127" s="124"/>
      <c r="V127" s="124"/>
      <c r="W127" s="17"/>
      <c r="X127" s="17"/>
      <c r="Y127" s="17"/>
      <c r="Z127" s="17"/>
      <c r="AA127" s="17"/>
      <c r="AB127" s="17"/>
      <c r="AC127" s="17"/>
      <c r="AD127" s="17"/>
      <c r="AE127" s="17"/>
      <c r="AF127" s="17"/>
      <c r="AG127" s="17"/>
      <c r="AH127" s="17"/>
      <c r="AI127" s="17"/>
      <c r="AJ127" s="17"/>
      <c r="AK127" s="17"/>
      <c r="AL127" s="17"/>
      <c r="AM127" s="17"/>
      <c r="AN127" s="17"/>
    </row>
    <row r="128" spans="1:40">
      <c r="A128" s="19"/>
      <c r="B128" s="19"/>
      <c r="C128" s="878"/>
      <c r="D128" s="19"/>
      <c r="E128" s="122"/>
      <c r="F128" s="122"/>
      <c r="G128" s="122"/>
      <c r="H128" s="122"/>
      <c r="I128" s="124"/>
      <c r="J128" s="124"/>
      <c r="K128" s="124"/>
      <c r="L128" s="124"/>
      <c r="M128" s="124"/>
      <c r="N128" s="124"/>
      <c r="O128" s="124"/>
      <c r="P128" s="124"/>
      <c r="Q128" s="124"/>
      <c r="R128" s="124"/>
      <c r="S128" s="124"/>
      <c r="T128" s="124"/>
      <c r="U128" s="124"/>
      <c r="V128" s="124"/>
      <c r="W128" s="17"/>
      <c r="X128" s="17"/>
      <c r="Y128" s="17"/>
      <c r="Z128" s="17"/>
      <c r="AA128" s="17"/>
      <c r="AB128" s="17"/>
      <c r="AC128" s="17"/>
      <c r="AD128" s="17"/>
      <c r="AE128" s="17"/>
      <c r="AF128" s="17"/>
      <c r="AG128" s="17"/>
      <c r="AH128" s="17"/>
      <c r="AI128" s="17"/>
      <c r="AJ128" s="17"/>
      <c r="AK128" s="17"/>
      <c r="AL128" s="17"/>
      <c r="AM128" s="17"/>
      <c r="AN128" s="17"/>
    </row>
    <row r="129" spans="1:40">
      <c r="A129" s="19"/>
      <c r="B129" s="19"/>
      <c r="C129" s="878"/>
      <c r="D129" s="19"/>
      <c r="E129" s="122"/>
      <c r="F129" s="122"/>
      <c r="G129" s="122"/>
      <c r="H129" s="122"/>
      <c r="I129" s="124"/>
      <c r="J129" s="124"/>
      <c r="K129" s="124"/>
      <c r="L129" s="124"/>
      <c r="M129" s="124"/>
      <c r="N129" s="124"/>
      <c r="O129" s="124"/>
      <c r="P129" s="124"/>
      <c r="Q129" s="124"/>
      <c r="R129" s="124"/>
      <c r="S129" s="124"/>
      <c r="T129" s="124"/>
      <c r="U129" s="124"/>
      <c r="V129" s="124"/>
      <c r="W129" s="17"/>
      <c r="X129" s="17"/>
      <c r="Y129" s="17"/>
      <c r="Z129" s="17"/>
      <c r="AA129" s="17"/>
      <c r="AB129" s="17"/>
      <c r="AC129" s="17"/>
      <c r="AD129" s="17"/>
      <c r="AE129" s="17"/>
      <c r="AF129" s="17"/>
      <c r="AG129" s="17"/>
      <c r="AH129" s="17"/>
      <c r="AI129" s="17"/>
      <c r="AJ129" s="17"/>
      <c r="AK129" s="17"/>
      <c r="AL129" s="17"/>
      <c r="AM129" s="17"/>
      <c r="AN129" s="17"/>
    </row>
    <row r="130" spans="1:40">
      <c r="A130" s="19"/>
      <c r="B130" s="19"/>
      <c r="C130" s="878"/>
      <c r="D130" s="19"/>
      <c r="E130" s="122"/>
      <c r="F130" s="122"/>
      <c r="G130" s="122"/>
      <c r="H130" s="122"/>
      <c r="I130" s="124"/>
      <c r="J130" s="124"/>
      <c r="K130" s="124"/>
      <c r="L130" s="124"/>
      <c r="M130" s="124"/>
      <c r="N130" s="124"/>
      <c r="O130" s="124"/>
      <c r="P130" s="124"/>
      <c r="Q130" s="124"/>
      <c r="R130" s="124"/>
      <c r="S130" s="124"/>
      <c r="T130" s="124"/>
      <c r="U130" s="124"/>
      <c r="V130" s="124"/>
      <c r="W130" s="17"/>
      <c r="X130" s="17"/>
      <c r="Y130" s="17"/>
      <c r="Z130" s="17"/>
      <c r="AA130" s="17"/>
      <c r="AB130" s="17"/>
      <c r="AC130" s="17"/>
      <c r="AD130" s="17"/>
      <c r="AE130" s="17"/>
      <c r="AF130" s="17"/>
      <c r="AG130" s="17"/>
      <c r="AH130" s="17"/>
      <c r="AI130" s="17"/>
      <c r="AJ130" s="17"/>
      <c r="AK130" s="17"/>
      <c r="AL130" s="17"/>
      <c r="AM130" s="17"/>
      <c r="AN130" s="17"/>
    </row>
    <row r="131" spans="1:40">
      <c r="A131" s="19"/>
      <c r="B131" s="19"/>
      <c r="C131" s="878"/>
      <c r="D131" s="19"/>
      <c r="E131" s="122"/>
      <c r="F131" s="122"/>
      <c r="G131" s="122"/>
      <c r="H131" s="122"/>
      <c r="I131" s="124"/>
      <c r="J131" s="124"/>
      <c r="K131" s="124"/>
      <c r="L131" s="124"/>
      <c r="M131" s="124"/>
      <c r="N131" s="124"/>
      <c r="O131" s="124"/>
      <c r="P131" s="124"/>
      <c r="Q131" s="124"/>
      <c r="R131" s="124"/>
      <c r="S131" s="124"/>
      <c r="T131" s="124"/>
      <c r="U131" s="124"/>
      <c r="V131" s="124"/>
      <c r="W131" s="17"/>
      <c r="X131" s="17"/>
      <c r="Y131" s="17"/>
      <c r="Z131" s="17"/>
      <c r="AA131" s="17"/>
      <c r="AB131" s="17"/>
      <c r="AC131" s="17"/>
      <c r="AD131" s="17"/>
      <c r="AE131" s="17"/>
      <c r="AF131" s="17"/>
      <c r="AG131" s="17"/>
      <c r="AH131" s="17"/>
      <c r="AI131" s="17"/>
      <c r="AJ131" s="17"/>
      <c r="AK131" s="17"/>
      <c r="AL131" s="17"/>
      <c r="AM131" s="17"/>
      <c r="AN131" s="17"/>
    </row>
    <row r="132" spans="1:40">
      <c r="A132" s="19"/>
      <c r="B132" s="19"/>
      <c r="C132" s="878"/>
      <c r="D132" s="19"/>
      <c r="E132" s="122"/>
      <c r="F132" s="122"/>
      <c r="G132" s="122"/>
      <c r="H132" s="122"/>
      <c r="I132" s="124"/>
      <c r="J132" s="124"/>
      <c r="K132" s="124"/>
      <c r="L132" s="124"/>
      <c r="M132" s="124"/>
      <c r="N132" s="124"/>
      <c r="O132" s="124"/>
      <c r="P132" s="124"/>
      <c r="Q132" s="124"/>
      <c r="R132" s="124"/>
      <c r="S132" s="124"/>
      <c r="T132" s="124"/>
      <c r="U132" s="124"/>
      <c r="V132" s="124"/>
      <c r="W132" s="17"/>
      <c r="X132" s="17"/>
      <c r="Y132" s="17"/>
      <c r="Z132" s="17"/>
      <c r="AA132" s="17"/>
      <c r="AB132" s="17"/>
      <c r="AC132" s="17"/>
      <c r="AD132" s="17"/>
      <c r="AE132" s="17"/>
      <c r="AF132" s="17"/>
      <c r="AG132" s="17"/>
      <c r="AH132" s="17"/>
      <c r="AI132" s="17"/>
      <c r="AJ132" s="17"/>
      <c r="AK132" s="17"/>
      <c r="AL132" s="17"/>
      <c r="AM132" s="17"/>
      <c r="AN132" s="17"/>
    </row>
    <row r="133" spans="1:40">
      <c r="A133" s="19"/>
      <c r="B133" s="19"/>
      <c r="C133" s="878"/>
      <c r="D133" s="19"/>
      <c r="E133" s="122"/>
      <c r="F133" s="122"/>
      <c r="G133" s="122"/>
      <c r="H133" s="122"/>
      <c r="I133" s="124"/>
      <c r="J133" s="124"/>
      <c r="K133" s="124"/>
      <c r="L133" s="124"/>
      <c r="M133" s="124"/>
      <c r="N133" s="124"/>
      <c r="O133" s="124"/>
      <c r="P133" s="124"/>
      <c r="Q133" s="124"/>
      <c r="R133" s="124"/>
      <c r="S133" s="124"/>
      <c r="T133" s="124"/>
      <c r="U133" s="124"/>
      <c r="V133" s="124"/>
      <c r="W133" s="17"/>
      <c r="X133" s="17"/>
      <c r="Y133" s="17"/>
      <c r="Z133" s="17"/>
      <c r="AA133" s="17"/>
      <c r="AB133" s="17"/>
      <c r="AC133" s="17"/>
      <c r="AD133" s="17"/>
      <c r="AE133" s="17"/>
      <c r="AF133" s="17"/>
      <c r="AG133" s="17"/>
      <c r="AH133" s="17"/>
      <c r="AI133" s="17"/>
      <c r="AJ133" s="17"/>
      <c r="AK133" s="17"/>
      <c r="AL133" s="17"/>
      <c r="AM133" s="17"/>
      <c r="AN133" s="17"/>
    </row>
    <row r="134" spans="1:40">
      <c r="A134" s="19"/>
      <c r="B134" s="19"/>
      <c r="C134" s="878"/>
      <c r="D134" s="19"/>
      <c r="E134" s="122"/>
      <c r="F134" s="122"/>
      <c r="G134" s="122"/>
      <c r="H134" s="122"/>
      <c r="I134" s="124"/>
      <c r="J134" s="124"/>
      <c r="K134" s="124"/>
      <c r="L134" s="124"/>
      <c r="M134" s="124"/>
      <c r="N134" s="124"/>
      <c r="O134" s="124"/>
      <c r="P134" s="124"/>
      <c r="Q134" s="124"/>
      <c r="R134" s="124"/>
      <c r="S134" s="124"/>
      <c r="T134" s="124"/>
      <c r="U134" s="124"/>
      <c r="V134" s="124"/>
      <c r="W134" s="17"/>
      <c r="X134" s="17"/>
      <c r="Y134" s="17"/>
      <c r="Z134" s="17"/>
      <c r="AA134" s="17"/>
      <c r="AB134" s="17"/>
      <c r="AC134" s="17"/>
      <c r="AD134" s="17"/>
      <c r="AE134" s="17"/>
      <c r="AF134" s="17"/>
      <c r="AG134" s="17"/>
      <c r="AH134" s="17"/>
      <c r="AI134" s="17"/>
      <c r="AJ134" s="17"/>
      <c r="AK134" s="17"/>
      <c r="AL134" s="17"/>
      <c r="AM134" s="17"/>
      <c r="AN134" s="17"/>
    </row>
    <row r="135" spans="1:40">
      <c r="A135" s="19"/>
      <c r="B135" s="19"/>
      <c r="C135" s="878"/>
      <c r="D135" s="19"/>
      <c r="E135" s="122"/>
      <c r="F135" s="122"/>
      <c r="G135" s="122"/>
      <c r="H135" s="122"/>
      <c r="I135" s="124"/>
      <c r="J135" s="124"/>
      <c r="K135" s="124"/>
      <c r="L135" s="124"/>
      <c r="M135" s="124"/>
      <c r="N135" s="124"/>
      <c r="O135" s="124"/>
      <c r="P135" s="124"/>
      <c r="Q135" s="124"/>
      <c r="R135" s="124"/>
      <c r="S135" s="124"/>
      <c r="T135" s="124"/>
      <c r="U135" s="124"/>
      <c r="V135" s="124"/>
      <c r="W135" s="17"/>
      <c r="X135" s="17"/>
      <c r="Y135" s="17"/>
      <c r="Z135" s="17"/>
      <c r="AA135" s="17"/>
      <c r="AB135" s="17"/>
      <c r="AC135" s="17"/>
      <c r="AD135" s="17"/>
      <c r="AE135" s="17"/>
      <c r="AF135" s="17"/>
      <c r="AG135" s="17"/>
      <c r="AH135" s="17"/>
      <c r="AI135" s="17"/>
      <c r="AJ135" s="17"/>
      <c r="AK135" s="17"/>
      <c r="AL135" s="17"/>
      <c r="AM135" s="17"/>
      <c r="AN135" s="17"/>
    </row>
    <row r="136" spans="1:40">
      <c r="A136" s="19"/>
      <c r="B136" s="19"/>
      <c r="C136" s="878"/>
      <c r="D136" s="19"/>
      <c r="E136" s="122"/>
      <c r="F136" s="122"/>
      <c r="G136" s="122"/>
      <c r="H136" s="122"/>
      <c r="I136" s="124"/>
      <c r="J136" s="124"/>
      <c r="K136" s="124"/>
      <c r="L136" s="124"/>
      <c r="M136" s="124"/>
      <c r="N136" s="124"/>
      <c r="O136" s="124"/>
      <c r="P136" s="124"/>
      <c r="Q136" s="124"/>
      <c r="R136" s="124"/>
      <c r="S136" s="124"/>
      <c r="T136" s="124"/>
      <c r="U136" s="124"/>
      <c r="V136" s="124"/>
      <c r="W136" s="17"/>
      <c r="X136" s="17"/>
      <c r="Y136" s="17"/>
      <c r="Z136" s="17"/>
      <c r="AA136" s="17"/>
      <c r="AB136" s="17"/>
      <c r="AC136" s="17"/>
      <c r="AD136" s="17"/>
      <c r="AE136" s="17"/>
      <c r="AF136" s="17"/>
      <c r="AG136" s="17"/>
      <c r="AH136" s="17"/>
      <c r="AI136" s="17"/>
      <c r="AJ136" s="17"/>
      <c r="AK136" s="17"/>
      <c r="AL136" s="17"/>
      <c r="AM136" s="17"/>
      <c r="AN136" s="17"/>
    </row>
    <row r="137" spans="1:40">
      <c r="A137" s="19"/>
      <c r="B137" s="19"/>
      <c r="C137" s="878"/>
      <c r="D137" s="19"/>
      <c r="E137" s="122"/>
      <c r="F137" s="122"/>
      <c r="G137" s="122"/>
      <c r="H137" s="122"/>
      <c r="I137" s="124"/>
      <c r="J137" s="124"/>
      <c r="K137" s="124"/>
      <c r="L137" s="124"/>
      <c r="M137" s="124"/>
      <c r="N137" s="124"/>
      <c r="O137" s="124"/>
      <c r="P137" s="124"/>
      <c r="Q137" s="124"/>
      <c r="R137" s="124"/>
      <c r="S137" s="124"/>
      <c r="T137" s="124"/>
      <c r="U137" s="124"/>
      <c r="V137" s="124"/>
      <c r="W137" s="17"/>
      <c r="X137" s="17"/>
      <c r="Y137" s="17"/>
      <c r="Z137" s="17"/>
      <c r="AA137" s="17"/>
      <c r="AB137" s="17"/>
      <c r="AC137" s="17"/>
      <c r="AD137" s="17"/>
      <c r="AE137" s="17"/>
      <c r="AF137" s="17"/>
      <c r="AG137" s="17"/>
      <c r="AH137" s="17"/>
      <c r="AI137" s="17"/>
      <c r="AJ137" s="17"/>
      <c r="AK137" s="17"/>
      <c r="AL137" s="17"/>
      <c r="AM137" s="17"/>
      <c r="AN137" s="17"/>
    </row>
    <row r="138" spans="1:40">
      <c r="A138" s="19"/>
      <c r="B138" s="19"/>
      <c r="C138" s="878"/>
      <c r="D138" s="19"/>
      <c r="E138" s="122"/>
      <c r="F138" s="122"/>
      <c r="G138" s="122"/>
      <c r="H138" s="122"/>
      <c r="I138" s="124"/>
      <c r="J138" s="124"/>
      <c r="K138" s="124"/>
      <c r="L138" s="124"/>
      <c r="M138" s="124"/>
      <c r="N138" s="124"/>
      <c r="O138" s="124"/>
      <c r="P138" s="124"/>
      <c r="Q138" s="124"/>
      <c r="R138" s="124"/>
      <c r="S138" s="124"/>
      <c r="T138" s="124"/>
      <c r="U138" s="124"/>
      <c r="V138" s="124"/>
      <c r="W138" s="17"/>
      <c r="X138" s="17"/>
      <c r="Y138" s="17"/>
      <c r="Z138" s="17"/>
      <c r="AA138" s="17"/>
      <c r="AB138" s="17"/>
      <c r="AC138" s="17"/>
      <c r="AD138" s="17"/>
      <c r="AE138" s="17"/>
      <c r="AF138" s="17"/>
      <c r="AG138" s="17"/>
      <c r="AH138" s="17"/>
      <c r="AI138" s="17"/>
      <c r="AJ138" s="17"/>
      <c r="AK138" s="17"/>
      <c r="AL138" s="17"/>
      <c r="AM138" s="17"/>
      <c r="AN138" s="17"/>
    </row>
    <row r="139" spans="1:40">
      <c r="A139" s="19"/>
      <c r="B139" s="19"/>
      <c r="C139" s="878"/>
      <c r="D139" s="19"/>
      <c r="E139" s="122"/>
      <c r="F139" s="122"/>
      <c r="G139" s="122"/>
      <c r="H139" s="122"/>
      <c r="I139" s="124"/>
      <c r="J139" s="124"/>
      <c r="K139" s="124"/>
      <c r="L139" s="124"/>
      <c r="M139" s="124"/>
      <c r="N139" s="124"/>
      <c r="O139" s="124"/>
      <c r="P139" s="124"/>
      <c r="Q139" s="124"/>
      <c r="R139" s="124"/>
      <c r="S139" s="124"/>
      <c r="T139" s="124"/>
      <c r="U139" s="124"/>
      <c r="V139" s="124"/>
      <c r="W139" s="17"/>
      <c r="X139" s="17"/>
      <c r="Y139" s="17"/>
      <c r="Z139" s="17"/>
      <c r="AA139" s="17"/>
      <c r="AB139" s="17"/>
      <c r="AC139" s="17"/>
      <c r="AD139" s="17"/>
      <c r="AE139" s="17"/>
      <c r="AF139" s="17"/>
      <c r="AG139" s="17"/>
      <c r="AH139" s="17"/>
      <c r="AI139" s="17"/>
      <c r="AJ139" s="17"/>
      <c r="AK139" s="17"/>
      <c r="AL139" s="17"/>
      <c r="AM139" s="17"/>
      <c r="AN139" s="17"/>
    </row>
    <row r="140" spans="1:40">
      <c r="A140" s="19"/>
      <c r="B140" s="19"/>
      <c r="C140" s="878"/>
      <c r="D140" s="19"/>
      <c r="E140" s="122"/>
      <c r="F140" s="122"/>
      <c r="G140" s="122"/>
      <c r="H140" s="122"/>
      <c r="I140" s="124"/>
      <c r="J140" s="124"/>
      <c r="K140" s="124"/>
      <c r="L140" s="124"/>
      <c r="M140" s="124"/>
      <c r="N140" s="124"/>
      <c r="O140" s="124"/>
      <c r="P140" s="124"/>
      <c r="Q140" s="124"/>
      <c r="R140" s="124"/>
      <c r="S140" s="124"/>
      <c r="T140" s="124"/>
      <c r="U140" s="124"/>
      <c r="V140" s="124"/>
      <c r="W140" s="17"/>
      <c r="X140" s="17"/>
      <c r="Y140" s="17"/>
      <c r="Z140" s="17"/>
      <c r="AA140" s="17"/>
      <c r="AB140" s="17"/>
      <c r="AC140" s="17"/>
      <c r="AD140" s="17"/>
      <c r="AE140" s="17"/>
      <c r="AF140" s="17"/>
      <c r="AG140" s="17"/>
      <c r="AH140" s="17"/>
      <c r="AI140" s="17"/>
      <c r="AJ140" s="17"/>
      <c r="AK140" s="17"/>
      <c r="AL140" s="17"/>
      <c r="AM140" s="17"/>
      <c r="AN140" s="17"/>
    </row>
    <row r="141" spans="1:40">
      <c r="A141" s="19"/>
      <c r="B141" s="19"/>
      <c r="C141" s="878"/>
      <c r="D141" s="19"/>
      <c r="E141" s="122"/>
      <c r="F141" s="122"/>
      <c r="G141" s="122"/>
      <c r="H141" s="122"/>
      <c r="I141" s="124"/>
      <c r="J141" s="124"/>
      <c r="K141" s="124"/>
      <c r="L141" s="124"/>
      <c r="M141" s="124"/>
      <c r="N141" s="124"/>
      <c r="O141" s="124"/>
      <c r="P141" s="124"/>
      <c r="Q141" s="124"/>
      <c r="R141" s="124"/>
      <c r="S141" s="124"/>
      <c r="T141" s="124"/>
      <c r="U141" s="124"/>
      <c r="V141" s="124"/>
      <c r="W141" s="17"/>
      <c r="X141" s="17"/>
      <c r="Y141" s="17"/>
      <c r="Z141" s="17"/>
      <c r="AA141" s="17"/>
      <c r="AB141" s="17"/>
      <c r="AC141" s="17"/>
      <c r="AD141" s="17"/>
      <c r="AE141" s="17"/>
      <c r="AF141" s="17"/>
      <c r="AG141" s="17"/>
      <c r="AH141" s="17"/>
      <c r="AI141" s="17"/>
      <c r="AJ141" s="17"/>
      <c r="AK141" s="17"/>
      <c r="AL141" s="17"/>
      <c r="AM141" s="17"/>
      <c r="AN141" s="17"/>
    </row>
    <row r="142" spans="1:40">
      <c r="A142" s="19"/>
      <c r="B142" s="19"/>
      <c r="C142" s="878"/>
      <c r="D142" s="19"/>
      <c r="E142" s="122"/>
      <c r="F142" s="122"/>
      <c r="G142" s="122"/>
      <c r="H142" s="122"/>
      <c r="I142" s="124"/>
      <c r="J142" s="124"/>
      <c r="K142" s="124"/>
      <c r="L142" s="124"/>
      <c r="M142" s="124"/>
      <c r="N142" s="124"/>
      <c r="O142" s="124"/>
      <c r="P142" s="124"/>
      <c r="Q142" s="124"/>
      <c r="R142" s="124"/>
      <c r="S142" s="124"/>
      <c r="T142" s="124"/>
      <c r="U142" s="124"/>
      <c r="V142" s="124"/>
      <c r="W142" s="17"/>
      <c r="X142" s="17"/>
      <c r="Y142" s="17"/>
      <c r="Z142" s="17"/>
      <c r="AA142" s="17"/>
      <c r="AB142" s="17"/>
      <c r="AC142" s="17"/>
      <c r="AD142" s="17"/>
      <c r="AE142" s="17"/>
      <c r="AF142" s="17"/>
      <c r="AG142" s="17"/>
      <c r="AH142" s="17"/>
      <c r="AI142" s="17"/>
      <c r="AJ142" s="17"/>
      <c r="AK142" s="17"/>
      <c r="AL142" s="17"/>
      <c r="AM142" s="17"/>
      <c r="AN142" s="17"/>
    </row>
    <row r="143" spans="1:40">
      <c r="A143" s="19"/>
      <c r="B143" s="19"/>
      <c r="C143" s="878"/>
      <c r="D143" s="19"/>
      <c r="E143" s="122"/>
      <c r="F143" s="122"/>
      <c r="G143" s="122"/>
      <c r="H143" s="122"/>
      <c r="I143" s="124"/>
      <c r="J143" s="124"/>
      <c r="K143" s="124"/>
      <c r="L143" s="124"/>
      <c r="M143" s="124"/>
      <c r="N143" s="124"/>
      <c r="O143" s="124"/>
      <c r="P143" s="124"/>
      <c r="Q143" s="124"/>
      <c r="R143" s="124"/>
      <c r="S143" s="124"/>
      <c r="T143" s="124"/>
      <c r="U143" s="124"/>
      <c r="V143" s="124"/>
      <c r="W143" s="17"/>
      <c r="X143" s="17"/>
      <c r="Y143" s="17"/>
      <c r="Z143" s="17"/>
      <c r="AA143" s="17"/>
      <c r="AB143" s="17"/>
      <c r="AC143" s="17"/>
      <c r="AD143" s="17"/>
      <c r="AE143" s="17"/>
      <c r="AF143" s="17"/>
      <c r="AG143" s="17"/>
      <c r="AH143" s="17"/>
      <c r="AI143" s="17"/>
      <c r="AJ143" s="17"/>
      <c r="AK143" s="17"/>
      <c r="AL143" s="17"/>
      <c r="AM143" s="17"/>
      <c r="AN143" s="17"/>
    </row>
    <row r="144" spans="1:40">
      <c r="A144" s="19"/>
      <c r="B144" s="19"/>
      <c r="C144" s="878"/>
      <c r="D144" s="19"/>
      <c r="E144" s="122"/>
      <c r="F144" s="122"/>
      <c r="G144" s="122"/>
      <c r="H144" s="122"/>
      <c r="I144" s="124"/>
      <c r="J144" s="124"/>
      <c r="K144" s="124"/>
      <c r="L144" s="124"/>
      <c r="M144" s="124"/>
      <c r="N144" s="124"/>
      <c r="O144" s="124"/>
      <c r="P144" s="124"/>
      <c r="Q144" s="124"/>
      <c r="R144" s="124"/>
      <c r="S144" s="124"/>
      <c r="T144" s="124"/>
      <c r="U144" s="124"/>
      <c r="V144" s="124"/>
      <c r="W144" s="17"/>
      <c r="X144" s="17"/>
      <c r="Y144" s="17"/>
      <c r="Z144" s="17"/>
      <c r="AA144" s="17"/>
      <c r="AB144" s="17"/>
      <c r="AC144" s="17"/>
      <c r="AD144" s="17"/>
      <c r="AE144" s="17"/>
      <c r="AF144" s="17"/>
      <c r="AG144" s="17"/>
      <c r="AH144" s="17"/>
      <c r="AI144" s="17"/>
      <c r="AJ144" s="17"/>
      <c r="AK144" s="17"/>
      <c r="AL144" s="17"/>
      <c r="AM144" s="17"/>
      <c r="AN144" s="17"/>
    </row>
    <row r="145" spans="1:40">
      <c r="A145" s="19"/>
      <c r="B145" s="19"/>
      <c r="C145" s="878"/>
      <c r="D145" s="19"/>
      <c r="E145" s="122"/>
      <c r="F145" s="122"/>
      <c r="G145" s="122"/>
      <c r="H145" s="122"/>
      <c r="I145" s="124"/>
      <c r="J145" s="124"/>
      <c r="K145" s="124"/>
      <c r="L145" s="124"/>
      <c r="M145" s="124"/>
      <c r="N145" s="124"/>
      <c r="O145" s="124"/>
      <c r="P145" s="124"/>
      <c r="Q145" s="124"/>
      <c r="R145" s="124"/>
      <c r="S145" s="124"/>
      <c r="T145" s="124"/>
      <c r="U145" s="124"/>
      <c r="V145" s="124"/>
      <c r="W145" s="17"/>
      <c r="X145" s="17"/>
      <c r="Y145" s="17"/>
      <c r="Z145" s="17"/>
      <c r="AA145" s="17"/>
      <c r="AB145" s="17"/>
      <c r="AC145" s="17"/>
      <c r="AD145" s="17"/>
      <c r="AE145" s="17"/>
      <c r="AF145" s="17"/>
      <c r="AG145" s="17"/>
      <c r="AH145" s="17"/>
      <c r="AI145" s="17"/>
      <c r="AJ145" s="17"/>
      <c r="AK145" s="17"/>
      <c r="AL145" s="17"/>
      <c r="AM145" s="17"/>
      <c r="AN145" s="17"/>
    </row>
    <row r="146" spans="1:40">
      <c r="A146" s="19"/>
      <c r="B146" s="19"/>
      <c r="C146" s="878"/>
      <c r="D146" s="19"/>
      <c r="E146" s="122"/>
      <c r="F146" s="122"/>
      <c r="G146" s="122"/>
      <c r="H146" s="122"/>
      <c r="I146" s="124"/>
      <c r="J146" s="124"/>
      <c r="K146" s="124"/>
      <c r="L146" s="124"/>
      <c r="M146" s="124"/>
      <c r="N146" s="124"/>
      <c r="O146" s="124"/>
      <c r="P146" s="124"/>
      <c r="Q146" s="124"/>
      <c r="R146" s="124"/>
      <c r="S146" s="124"/>
      <c r="T146" s="124"/>
      <c r="U146" s="124"/>
      <c r="V146" s="124"/>
      <c r="W146" s="17"/>
      <c r="X146" s="17"/>
      <c r="Y146" s="17"/>
      <c r="Z146" s="17"/>
      <c r="AA146" s="17"/>
      <c r="AB146" s="17"/>
      <c r="AC146" s="17"/>
      <c r="AD146" s="17"/>
      <c r="AE146" s="17"/>
      <c r="AF146" s="17"/>
      <c r="AG146" s="17"/>
      <c r="AH146" s="17"/>
      <c r="AI146" s="17"/>
      <c r="AJ146" s="17"/>
      <c r="AK146" s="17"/>
      <c r="AL146" s="17"/>
      <c r="AM146" s="17"/>
      <c r="AN146" s="17"/>
    </row>
    <row r="147" spans="1:40">
      <c r="A147" s="19"/>
      <c r="B147" s="19"/>
      <c r="C147" s="878"/>
      <c r="D147" s="19"/>
      <c r="E147" s="122"/>
      <c r="F147" s="122"/>
      <c r="G147" s="122"/>
      <c r="H147" s="122"/>
      <c r="I147" s="124"/>
      <c r="J147" s="124"/>
      <c r="K147" s="124"/>
      <c r="L147" s="124"/>
      <c r="M147" s="124"/>
      <c r="N147" s="124"/>
      <c r="O147" s="124"/>
      <c r="P147" s="124"/>
      <c r="Q147" s="124"/>
      <c r="R147" s="124"/>
      <c r="S147" s="124"/>
      <c r="T147" s="124"/>
      <c r="U147" s="124"/>
      <c r="V147" s="124"/>
      <c r="W147" s="17"/>
      <c r="X147" s="17"/>
      <c r="Y147" s="17"/>
      <c r="Z147" s="17"/>
      <c r="AA147" s="17"/>
      <c r="AB147" s="17"/>
      <c r="AC147" s="17"/>
      <c r="AD147" s="17"/>
      <c r="AE147" s="17"/>
      <c r="AF147" s="17"/>
      <c r="AG147" s="17"/>
      <c r="AH147" s="17"/>
      <c r="AI147" s="17"/>
      <c r="AJ147" s="17"/>
      <c r="AK147" s="17"/>
      <c r="AL147" s="17"/>
      <c r="AM147" s="17"/>
      <c r="AN147" s="17"/>
    </row>
    <row r="148" spans="1:40">
      <c r="A148" s="19"/>
      <c r="B148" s="19"/>
      <c r="C148" s="878"/>
      <c r="D148" s="19"/>
      <c r="E148" s="122"/>
      <c r="F148" s="122"/>
      <c r="G148" s="122"/>
      <c r="H148" s="122"/>
      <c r="I148" s="124"/>
      <c r="J148" s="124"/>
      <c r="K148" s="124"/>
      <c r="L148" s="124"/>
      <c r="M148" s="124"/>
      <c r="N148" s="124"/>
      <c r="O148" s="124"/>
      <c r="P148" s="124"/>
      <c r="Q148" s="124"/>
      <c r="R148" s="124"/>
      <c r="S148" s="124"/>
      <c r="T148" s="124"/>
      <c r="U148" s="124"/>
      <c r="V148" s="124"/>
      <c r="W148" s="17"/>
      <c r="X148" s="17"/>
      <c r="Y148" s="17"/>
      <c r="Z148" s="17"/>
      <c r="AA148" s="17"/>
      <c r="AB148" s="17"/>
      <c r="AC148" s="17"/>
      <c r="AD148" s="17"/>
      <c r="AE148" s="17"/>
      <c r="AF148" s="17"/>
      <c r="AG148" s="17"/>
      <c r="AH148" s="17"/>
      <c r="AI148" s="17"/>
      <c r="AJ148" s="17"/>
      <c r="AK148" s="17"/>
      <c r="AL148" s="17"/>
      <c r="AM148" s="17"/>
      <c r="AN148" s="17"/>
    </row>
    <row r="149" spans="1:40">
      <c r="A149" s="19"/>
      <c r="B149" s="19"/>
      <c r="C149" s="878"/>
      <c r="D149" s="19"/>
      <c r="E149" s="122"/>
      <c r="F149" s="122"/>
      <c r="G149" s="122"/>
      <c r="H149" s="122"/>
      <c r="I149" s="124"/>
      <c r="J149" s="124"/>
      <c r="K149" s="124"/>
      <c r="L149" s="124"/>
      <c r="M149" s="124"/>
      <c r="N149" s="124"/>
      <c r="O149" s="124"/>
      <c r="P149" s="124"/>
      <c r="Q149" s="124"/>
      <c r="R149" s="124"/>
      <c r="S149" s="124"/>
      <c r="T149" s="124"/>
      <c r="U149" s="124"/>
      <c r="V149" s="124"/>
      <c r="W149" s="17"/>
      <c r="X149" s="17"/>
      <c r="Y149" s="17"/>
      <c r="Z149" s="17"/>
      <c r="AA149" s="17"/>
      <c r="AB149" s="17"/>
      <c r="AC149" s="17"/>
      <c r="AD149" s="17"/>
      <c r="AE149" s="17"/>
      <c r="AF149" s="17"/>
      <c r="AG149" s="17"/>
      <c r="AH149" s="17"/>
      <c r="AI149" s="17"/>
      <c r="AJ149" s="17"/>
      <c r="AK149" s="17"/>
      <c r="AL149" s="17"/>
      <c r="AM149" s="17"/>
      <c r="AN149" s="17"/>
    </row>
    <row r="150" spans="1:40">
      <c r="A150" s="19"/>
      <c r="B150" s="19"/>
      <c r="C150" s="878"/>
      <c r="D150" s="19"/>
      <c r="E150" s="122"/>
      <c r="F150" s="122"/>
      <c r="G150" s="122"/>
      <c r="H150" s="122"/>
      <c r="I150" s="124"/>
      <c r="J150" s="124"/>
      <c r="K150" s="124"/>
      <c r="L150" s="124"/>
      <c r="M150" s="124"/>
      <c r="N150" s="124"/>
      <c r="O150" s="124"/>
      <c r="P150" s="124"/>
      <c r="Q150" s="124"/>
      <c r="R150" s="124"/>
      <c r="S150" s="124"/>
      <c r="T150" s="124"/>
      <c r="U150" s="124"/>
      <c r="V150" s="124"/>
      <c r="W150" s="17"/>
      <c r="X150" s="17"/>
      <c r="Y150" s="17"/>
      <c r="Z150" s="17"/>
      <c r="AA150" s="17"/>
      <c r="AB150" s="17"/>
      <c r="AC150" s="17"/>
      <c r="AD150" s="17"/>
      <c r="AE150" s="17"/>
      <c r="AF150" s="17"/>
      <c r="AG150" s="17"/>
      <c r="AH150" s="17"/>
      <c r="AI150" s="17"/>
      <c r="AJ150" s="17"/>
      <c r="AK150" s="17"/>
      <c r="AL150" s="17"/>
      <c r="AM150" s="17"/>
      <c r="AN150" s="17"/>
    </row>
    <row r="151" spans="1:40">
      <c r="A151" s="19"/>
      <c r="B151" s="19"/>
      <c r="C151" s="878"/>
      <c r="D151" s="19"/>
      <c r="E151" s="122"/>
      <c r="F151" s="122"/>
      <c r="G151" s="122"/>
      <c r="H151" s="122"/>
      <c r="I151" s="124"/>
      <c r="J151" s="124"/>
      <c r="K151" s="124"/>
      <c r="L151" s="124"/>
      <c r="M151" s="124"/>
      <c r="N151" s="124"/>
      <c r="O151" s="124"/>
      <c r="P151" s="124"/>
      <c r="Q151" s="124"/>
      <c r="R151" s="124"/>
      <c r="S151" s="124"/>
      <c r="T151" s="124"/>
      <c r="U151" s="124"/>
      <c r="V151" s="124"/>
      <c r="W151" s="17"/>
      <c r="X151" s="17"/>
      <c r="Y151" s="17"/>
      <c r="Z151" s="17"/>
      <c r="AA151" s="17"/>
      <c r="AB151" s="17"/>
      <c r="AC151" s="17"/>
      <c r="AD151" s="17"/>
      <c r="AE151" s="17"/>
      <c r="AF151" s="17"/>
      <c r="AG151" s="17"/>
      <c r="AH151" s="17"/>
      <c r="AI151" s="17"/>
      <c r="AJ151" s="17"/>
      <c r="AK151" s="17"/>
      <c r="AL151" s="17"/>
      <c r="AM151" s="17"/>
      <c r="AN151" s="17"/>
    </row>
    <row r="152" spans="1:40">
      <c r="A152" s="19"/>
      <c r="B152" s="19"/>
      <c r="C152" s="878"/>
      <c r="D152" s="19"/>
      <c r="E152" s="122"/>
      <c r="F152" s="122"/>
      <c r="G152" s="122"/>
      <c r="H152" s="122"/>
      <c r="I152" s="124"/>
      <c r="J152" s="124"/>
      <c r="K152" s="124"/>
      <c r="L152" s="124"/>
      <c r="M152" s="124"/>
      <c r="N152" s="124"/>
      <c r="O152" s="124"/>
      <c r="P152" s="124"/>
      <c r="Q152" s="124"/>
      <c r="R152" s="124"/>
      <c r="S152" s="124"/>
      <c r="T152" s="124"/>
      <c r="U152" s="124"/>
      <c r="V152" s="124"/>
      <c r="W152" s="17"/>
      <c r="X152" s="17"/>
      <c r="Y152" s="17"/>
      <c r="Z152" s="17"/>
      <c r="AA152" s="17"/>
      <c r="AB152" s="17"/>
      <c r="AC152" s="17"/>
      <c r="AD152" s="17"/>
      <c r="AE152" s="17"/>
      <c r="AF152" s="17"/>
      <c r="AG152" s="17"/>
      <c r="AH152" s="17"/>
      <c r="AI152" s="17"/>
      <c r="AJ152" s="17"/>
      <c r="AK152" s="17"/>
      <c r="AL152" s="17"/>
      <c r="AM152" s="17"/>
      <c r="AN152" s="17"/>
    </row>
    <row r="153" spans="1:40">
      <c r="A153" s="19"/>
      <c r="B153" s="19"/>
      <c r="C153" s="878"/>
      <c r="D153" s="19"/>
      <c r="E153" s="122"/>
      <c r="F153" s="122"/>
      <c r="G153" s="122"/>
      <c r="H153" s="122"/>
      <c r="I153" s="124"/>
      <c r="J153" s="124"/>
      <c r="K153" s="124"/>
      <c r="L153" s="124"/>
      <c r="M153" s="124"/>
      <c r="N153" s="124"/>
      <c r="O153" s="124"/>
      <c r="P153" s="124"/>
      <c r="Q153" s="124"/>
      <c r="R153" s="124"/>
      <c r="S153" s="124"/>
      <c r="T153" s="124"/>
      <c r="U153" s="124"/>
      <c r="V153" s="124"/>
      <c r="W153" s="17"/>
      <c r="X153" s="17"/>
      <c r="Y153" s="17"/>
      <c r="Z153" s="17"/>
      <c r="AA153" s="17"/>
      <c r="AB153" s="17"/>
      <c r="AC153" s="17"/>
      <c r="AD153" s="17"/>
      <c r="AE153" s="17"/>
      <c r="AF153" s="17"/>
      <c r="AG153" s="17"/>
      <c r="AH153" s="17"/>
      <c r="AI153" s="17"/>
      <c r="AJ153" s="17"/>
      <c r="AK153" s="17"/>
      <c r="AL153" s="17"/>
      <c r="AM153" s="17"/>
      <c r="AN153" s="17"/>
    </row>
    <row r="154" spans="1:40">
      <c r="A154" s="19"/>
      <c r="B154" s="19"/>
      <c r="C154" s="878"/>
      <c r="D154" s="19"/>
      <c r="E154" s="122"/>
      <c r="F154" s="122"/>
      <c r="G154" s="122"/>
      <c r="H154" s="122"/>
      <c r="I154" s="124"/>
      <c r="J154" s="124"/>
      <c r="K154" s="124"/>
      <c r="L154" s="124"/>
      <c r="M154" s="124"/>
      <c r="N154" s="124"/>
      <c r="O154" s="124"/>
      <c r="P154" s="124"/>
      <c r="Q154" s="124"/>
      <c r="R154" s="124"/>
      <c r="S154" s="124"/>
      <c r="T154" s="124"/>
      <c r="U154" s="124"/>
      <c r="V154" s="124"/>
      <c r="W154" s="17"/>
      <c r="X154" s="17"/>
      <c r="Y154" s="17"/>
      <c r="Z154" s="17"/>
      <c r="AA154" s="17"/>
      <c r="AB154" s="17"/>
      <c r="AC154" s="17"/>
      <c r="AD154" s="17"/>
      <c r="AE154" s="17"/>
      <c r="AF154" s="17"/>
      <c r="AG154" s="17"/>
      <c r="AH154" s="17"/>
      <c r="AI154" s="17"/>
      <c r="AJ154" s="17"/>
      <c r="AK154" s="17"/>
      <c r="AL154" s="17"/>
      <c r="AM154" s="17"/>
      <c r="AN154" s="17"/>
    </row>
    <row r="155" spans="1:40">
      <c r="A155" s="19"/>
      <c r="B155" s="19"/>
      <c r="C155" s="878"/>
      <c r="D155" s="19"/>
      <c r="E155" s="122"/>
      <c r="F155" s="122"/>
      <c r="G155" s="122"/>
      <c r="H155" s="122"/>
      <c r="I155" s="124"/>
      <c r="J155" s="124"/>
      <c r="K155" s="124"/>
      <c r="L155" s="124"/>
      <c r="M155" s="124"/>
      <c r="N155" s="124"/>
      <c r="O155" s="124"/>
      <c r="P155" s="124"/>
      <c r="Q155" s="124"/>
      <c r="R155" s="124"/>
      <c r="S155" s="124"/>
      <c r="T155" s="124"/>
      <c r="U155" s="124"/>
      <c r="V155" s="124"/>
      <c r="W155" s="17"/>
      <c r="X155" s="17"/>
      <c r="Y155" s="17"/>
      <c r="Z155" s="17"/>
      <c r="AA155" s="17"/>
      <c r="AB155" s="17"/>
      <c r="AC155" s="17"/>
      <c r="AD155" s="17"/>
      <c r="AE155" s="17"/>
      <c r="AF155" s="17"/>
      <c r="AG155" s="17"/>
      <c r="AH155" s="17"/>
      <c r="AI155" s="17"/>
      <c r="AJ155" s="17"/>
      <c r="AK155" s="17"/>
      <c r="AL155" s="17"/>
      <c r="AM155" s="17"/>
      <c r="AN155" s="17"/>
    </row>
    <row r="156" spans="1:40">
      <c r="A156" s="19"/>
      <c r="B156" s="19"/>
      <c r="C156" s="878"/>
      <c r="D156" s="19"/>
      <c r="E156" s="122"/>
      <c r="F156" s="122"/>
      <c r="G156" s="122"/>
      <c r="H156" s="122"/>
      <c r="I156" s="124"/>
      <c r="J156" s="124"/>
      <c r="K156" s="124"/>
      <c r="L156" s="124"/>
      <c r="M156" s="124"/>
      <c r="N156" s="124"/>
      <c r="O156" s="124"/>
      <c r="P156" s="124"/>
      <c r="Q156" s="124"/>
      <c r="R156" s="124"/>
      <c r="S156" s="124"/>
      <c r="T156" s="124"/>
      <c r="U156" s="124"/>
      <c r="V156" s="124"/>
      <c r="W156" s="17"/>
      <c r="X156" s="17"/>
      <c r="Y156" s="17"/>
      <c r="Z156" s="17"/>
      <c r="AA156" s="17"/>
      <c r="AB156" s="17"/>
      <c r="AC156" s="17"/>
      <c r="AD156" s="17"/>
      <c r="AE156" s="17"/>
      <c r="AF156" s="17"/>
      <c r="AG156" s="17"/>
      <c r="AH156" s="17"/>
      <c r="AI156" s="17"/>
      <c r="AJ156" s="17"/>
      <c r="AK156" s="17"/>
      <c r="AL156" s="17"/>
      <c r="AM156" s="17"/>
      <c r="AN156" s="17"/>
    </row>
    <row r="157" spans="1:40">
      <c r="A157" s="19"/>
      <c r="B157" s="19"/>
      <c r="C157" s="878"/>
      <c r="D157" s="19"/>
      <c r="E157" s="122"/>
      <c r="F157" s="122"/>
      <c r="G157" s="122"/>
      <c r="H157" s="122"/>
      <c r="I157" s="124"/>
      <c r="J157" s="124"/>
      <c r="K157" s="124"/>
      <c r="L157" s="124"/>
      <c r="M157" s="124"/>
      <c r="N157" s="124"/>
      <c r="O157" s="124"/>
      <c r="P157" s="124"/>
      <c r="Q157" s="124"/>
      <c r="R157" s="124"/>
      <c r="S157" s="124"/>
      <c r="T157" s="124"/>
      <c r="U157" s="124"/>
      <c r="V157" s="124"/>
      <c r="W157" s="17"/>
      <c r="X157" s="17"/>
      <c r="Y157" s="17"/>
      <c r="Z157" s="17"/>
      <c r="AA157" s="17"/>
      <c r="AB157" s="17"/>
      <c r="AC157" s="17"/>
      <c r="AD157" s="17"/>
      <c r="AE157" s="17"/>
      <c r="AF157" s="17"/>
      <c r="AG157" s="17"/>
      <c r="AH157" s="17"/>
      <c r="AI157" s="17"/>
      <c r="AJ157" s="17"/>
      <c r="AK157" s="17"/>
      <c r="AL157" s="17"/>
      <c r="AM157" s="17"/>
      <c r="AN157" s="17"/>
    </row>
    <row r="158" spans="1:40">
      <c r="A158" s="19"/>
      <c r="B158" s="19"/>
      <c r="C158" s="878"/>
      <c r="D158" s="19"/>
      <c r="E158" s="122"/>
      <c r="F158" s="122"/>
      <c r="G158" s="122"/>
      <c r="H158" s="122"/>
      <c r="I158" s="124"/>
      <c r="J158" s="124"/>
      <c r="K158" s="124"/>
      <c r="L158" s="124"/>
      <c r="M158" s="124"/>
      <c r="N158" s="124"/>
      <c r="O158" s="124"/>
      <c r="P158" s="124"/>
      <c r="Q158" s="124"/>
      <c r="R158" s="124"/>
      <c r="S158" s="124"/>
      <c r="T158" s="124"/>
      <c r="U158" s="124"/>
      <c r="V158" s="124"/>
      <c r="W158" s="17"/>
      <c r="X158" s="17"/>
      <c r="Y158" s="17"/>
      <c r="Z158" s="17"/>
      <c r="AA158" s="17"/>
      <c r="AB158" s="17"/>
      <c r="AC158" s="17"/>
      <c r="AD158" s="17"/>
      <c r="AE158" s="17"/>
      <c r="AF158" s="17"/>
      <c r="AG158" s="17"/>
      <c r="AH158" s="17"/>
      <c r="AI158" s="17"/>
      <c r="AJ158" s="17"/>
      <c r="AK158" s="17"/>
      <c r="AL158" s="17"/>
      <c r="AM158" s="17"/>
      <c r="AN158" s="17"/>
    </row>
    <row r="159" spans="1:40">
      <c r="A159" s="19"/>
      <c r="B159" s="19"/>
      <c r="C159" s="878"/>
      <c r="D159" s="19"/>
      <c r="E159" s="122"/>
      <c r="F159" s="122"/>
      <c r="G159" s="122"/>
      <c r="H159" s="122"/>
      <c r="I159" s="124"/>
      <c r="J159" s="124"/>
      <c r="K159" s="124"/>
      <c r="L159" s="124"/>
      <c r="M159" s="124"/>
      <c r="N159" s="124"/>
      <c r="O159" s="124"/>
      <c r="P159" s="124"/>
      <c r="Q159" s="124"/>
      <c r="R159" s="124"/>
      <c r="S159" s="124"/>
      <c r="T159" s="124"/>
      <c r="U159" s="124"/>
      <c r="V159" s="124"/>
      <c r="W159" s="17"/>
      <c r="X159" s="17"/>
      <c r="Y159" s="17"/>
      <c r="Z159" s="17"/>
      <c r="AA159" s="17"/>
      <c r="AB159" s="17"/>
      <c r="AC159" s="17"/>
      <c r="AD159" s="17"/>
      <c r="AE159" s="17"/>
      <c r="AF159" s="17"/>
      <c r="AG159" s="17"/>
      <c r="AH159" s="17"/>
      <c r="AI159" s="17"/>
      <c r="AJ159" s="17"/>
      <c r="AK159" s="17"/>
      <c r="AL159" s="17"/>
      <c r="AM159" s="17"/>
      <c r="AN159" s="17"/>
    </row>
    <row r="160" spans="1:40">
      <c r="A160" s="19"/>
      <c r="B160" s="19"/>
      <c r="C160" s="878"/>
      <c r="D160" s="19"/>
      <c r="E160" s="122"/>
      <c r="F160" s="122"/>
      <c r="G160" s="122"/>
      <c r="H160" s="122"/>
      <c r="I160" s="124"/>
      <c r="J160" s="124"/>
      <c r="K160" s="124"/>
      <c r="L160" s="124"/>
      <c r="M160" s="124"/>
      <c r="N160" s="124"/>
      <c r="O160" s="124"/>
      <c r="P160" s="124"/>
      <c r="Q160" s="124"/>
      <c r="R160" s="124"/>
      <c r="S160" s="124"/>
      <c r="T160" s="124"/>
      <c r="U160" s="124"/>
      <c r="V160" s="124"/>
      <c r="W160" s="17"/>
      <c r="X160" s="17"/>
      <c r="Y160" s="17"/>
      <c r="Z160" s="17"/>
      <c r="AA160" s="17"/>
      <c r="AB160" s="17"/>
      <c r="AC160" s="17"/>
      <c r="AD160" s="17"/>
      <c r="AE160" s="17"/>
      <c r="AF160" s="17"/>
      <c r="AG160" s="17"/>
      <c r="AH160" s="17"/>
      <c r="AI160" s="17"/>
      <c r="AJ160" s="17"/>
      <c r="AK160" s="17"/>
      <c r="AL160" s="17"/>
      <c r="AM160" s="17"/>
      <c r="AN160" s="17"/>
    </row>
    <row r="161" spans="1:40">
      <c r="A161" s="19"/>
      <c r="B161" s="19"/>
      <c r="C161" s="878"/>
      <c r="D161" s="19"/>
      <c r="E161" s="122"/>
      <c r="F161" s="122"/>
      <c r="G161" s="122"/>
      <c r="H161" s="122"/>
      <c r="I161" s="124"/>
      <c r="J161" s="124"/>
      <c r="K161" s="124"/>
      <c r="L161" s="124"/>
      <c r="M161" s="124"/>
      <c r="N161" s="124"/>
      <c r="O161" s="124"/>
      <c r="P161" s="124"/>
      <c r="Q161" s="124"/>
      <c r="R161" s="124"/>
      <c r="S161" s="124"/>
      <c r="T161" s="124"/>
      <c r="U161" s="124"/>
      <c r="V161" s="124"/>
      <c r="W161" s="17"/>
      <c r="X161" s="17"/>
      <c r="Y161" s="17"/>
      <c r="Z161" s="17"/>
      <c r="AA161" s="17"/>
      <c r="AB161" s="17"/>
      <c r="AC161" s="17"/>
      <c r="AD161" s="17"/>
      <c r="AE161" s="17"/>
      <c r="AF161" s="17"/>
      <c r="AG161" s="17"/>
      <c r="AH161" s="17"/>
      <c r="AI161" s="17"/>
      <c r="AJ161" s="17"/>
      <c r="AK161" s="17"/>
      <c r="AL161" s="17"/>
      <c r="AM161" s="17"/>
      <c r="AN161" s="17"/>
    </row>
    <row r="162" spans="1:40">
      <c r="A162" s="19"/>
      <c r="B162" s="19"/>
      <c r="C162" s="878"/>
      <c r="D162" s="19"/>
      <c r="E162" s="122"/>
      <c r="F162" s="122"/>
      <c r="G162" s="122"/>
      <c r="H162" s="122"/>
      <c r="I162" s="124"/>
      <c r="J162" s="124"/>
      <c r="K162" s="124"/>
      <c r="L162" s="124"/>
      <c r="M162" s="124"/>
      <c r="N162" s="124"/>
      <c r="O162" s="124"/>
      <c r="P162" s="124"/>
      <c r="Q162" s="124"/>
      <c r="R162" s="124"/>
      <c r="S162" s="124"/>
      <c r="T162" s="124"/>
      <c r="U162" s="124"/>
      <c r="V162" s="124"/>
      <c r="W162" s="17"/>
      <c r="X162" s="17"/>
      <c r="Y162" s="17"/>
      <c r="Z162" s="17"/>
      <c r="AA162" s="17"/>
      <c r="AB162" s="17"/>
      <c r="AC162" s="17"/>
      <c r="AD162" s="17"/>
      <c r="AE162" s="17"/>
      <c r="AF162" s="17"/>
      <c r="AG162" s="17"/>
      <c r="AH162" s="17"/>
      <c r="AI162" s="17"/>
      <c r="AJ162" s="17"/>
      <c r="AK162" s="17"/>
      <c r="AL162" s="17"/>
      <c r="AM162" s="17"/>
      <c r="AN162" s="17"/>
    </row>
    <row r="164" spans="1:40">
      <c r="A164" s="24"/>
    </row>
  </sheetData>
  <conditionalFormatting sqref="C20">
    <cfRule type="dataBar" priority="4">
      <dataBar showValue="0">
        <cfvo type="num" val="0"/>
        <cfvo type="formula" val="$F$18"/>
        <color rgb="FF002060"/>
      </dataBar>
      <extLst>
        <ext xmlns:x14="http://schemas.microsoft.com/office/spreadsheetml/2009/9/main" uri="{B025F937-C7B1-47D3-B67F-A62EFF666E3E}">
          <x14:id>{666A7721-190C-4953-BA0C-0EDF5C2F4CEA}</x14:id>
        </ext>
      </extLst>
    </cfRule>
  </conditionalFormatting>
  <conditionalFormatting sqref="B31:B33 D31:E35">
    <cfRule type="colorScale" priority="3">
      <colorScale>
        <cfvo type="formula" val="$B$31"/>
        <cfvo type="formula" val="($B$32)"/>
        <cfvo type="formula" val="$B$33"/>
        <color rgb="FFFF5050"/>
        <color rgb="FFFFB24B"/>
        <color rgb="FFF8DF4A"/>
      </colorScale>
    </cfRule>
  </conditionalFormatting>
  <conditionalFormatting sqref="H30:H36">
    <cfRule type="dataBar" priority="2">
      <dataBar>
        <cfvo type="num" val="0"/>
        <cfvo type="num" val="100"/>
        <color rgb="FFFFCC00"/>
      </dataBar>
      <extLst>
        <ext xmlns:x14="http://schemas.microsoft.com/office/spreadsheetml/2009/9/main" uri="{B025F937-C7B1-47D3-B67F-A62EFF666E3E}">
          <x14:id>{E00B24B4-F9A6-4E9F-BA54-22E5F1C938E6}</x14:id>
        </ext>
      </extLst>
    </cfRule>
  </conditionalFormatting>
  <conditionalFormatting sqref="B36:B37">
    <cfRule type="dataBar" priority="1">
      <dataBar>
        <cfvo type="num" val="0"/>
        <cfvo type="num" val="100"/>
        <color rgb="FFFFCC00"/>
      </dataBar>
      <extLst>
        <ext xmlns:x14="http://schemas.microsoft.com/office/spreadsheetml/2009/9/main" uri="{B025F937-C7B1-47D3-B67F-A62EFF666E3E}">
          <x14:id>{F82E238B-9F89-4512-8F26-D1906245275B}</x14:id>
        </ext>
      </extLst>
    </cfRule>
  </conditionalFormatting>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5529699" r:id="rId3" name="Button 99">
              <controlPr defaultSize="0" print="0" autoFill="0" autoPict="0" macro="[0]!Tit_Gera">
                <anchor moveWithCells="1" sizeWithCells="1">
                  <from>
                    <xdr:col>1</xdr:col>
                    <xdr:colOff>247650</xdr:colOff>
                    <xdr:row>18</xdr:row>
                    <xdr:rowOff>85725</xdr:rowOff>
                  </from>
                  <to>
                    <xdr:col>2</xdr:col>
                    <xdr:colOff>257175</xdr:colOff>
                    <xdr:row>18</xdr:row>
                    <xdr:rowOff>314325</xdr:rowOff>
                  </to>
                </anchor>
              </controlPr>
            </control>
          </mc:Choice>
        </mc:AlternateContent>
        <mc:AlternateContent xmlns:mc="http://schemas.openxmlformats.org/markup-compatibility/2006">
          <mc:Choice Requires="x14">
            <control shapeId="5529607" r:id="rId4" name="Button 7">
              <controlPr defaultSize="0" print="0" autoFill="0" autoPict="0" macro="[0]!Tit_Copy_pKas">
                <anchor moveWithCells="1" sizeWithCells="1">
                  <from>
                    <xdr:col>9</xdr:col>
                    <xdr:colOff>28575</xdr:colOff>
                    <xdr:row>0</xdr:row>
                    <xdr:rowOff>57150</xdr:rowOff>
                  </from>
                  <to>
                    <xdr:col>9</xdr:col>
                    <xdr:colOff>1019175</xdr:colOff>
                    <xdr:row>2</xdr:row>
                    <xdr:rowOff>85725</xdr:rowOff>
                  </to>
                </anchor>
              </controlPr>
            </control>
          </mc:Choice>
        </mc:AlternateContent>
        <mc:AlternateContent xmlns:mc="http://schemas.openxmlformats.org/markup-compatibility/2006">
          <mc:Choice Requires="x14">
            <control shapeId="5529608" r:id="rId5" name="Drop Down 8">
              <controlPr defaultSize="0" autoLine="0" autoPict="0">
                <anchor moveWithCells="1">
                  <from>
                    <xdr:col>10</xdr:col>
                    <xdr:colOff>0</xdr:colOff>
                    <xdr:row>1</xdr:row>
                    <xdr:rowOff>0</xdr:rowOff>
                  </from>
                  <to>
                    <xdr:col>11</xdr:col>
                    <xdr:colOff>523875</xdr:colOff>
                    <xdr:row>2</xdr:row>
                    <xdr:rowOff>0</xdr:rowOff>
                  </to>
                </anchor>
              </controlPr>
            </control>
          </mc:Choice>
        </mc:AlternateContent>
        <mc:AlternateContent xmlns:mc="http://schemas.openxmlformats.org/markup-compatibility/2006">
          <mc:Choice Requires="x14">
            <control shapeId="5529609" r:id="rId6" name="Drop Down 9">
              <controlPr defaultSize="0" autoLine="0" autoPict="0">
                <anchor moveWithCells="1">
                  <from>
                    <xdr:col>11</xdr:col>
                    <xdr:colOff>9525</xdr:colOff>
                    <xdr:row>1</xdr:row>
                    <xdr:rowOff>0</xdr:rowOff>
                  </from>
                  <to>
                    <xdr:col>12</xdr:col>
                    <xdr:colOff>571500</xdr:colOff>
                    <xdr:row>2</xdr:row>
                    <xdr:rowOff>0</xdr:rowOff>
                  </to>
                </anchor>
              </controlPr>
            </control>
          </mc:Choice>
        </mc:AlternateContent>
        <mc:AlternateContent xmlns:mc="http://schemas.openxmlformats.org/markup-compatibility/2006">
          <mc:Choice Requires="x14">
            <control shapeId="5529610" r:id="rId7" name="Drop Down 10">
              <controlPr defaultSize="0" autoLine="0" autoPict="0">
                <anchor moveWithCells="1">
                  <from>
                    <xdr:col>12</xdr:col>
                    <xdr:colOff>19050</xdr:colOff>
                    <xdr:row>1</xdr:row>
                    <xdr:rowOff>0</xdr:rowOff>
                  </from>
                  <to>
                    <xdr:col>13</xdr:col>
                    <xdr:colOff>561975</xdr:colOff>
                    <xdr:row>2</xdr:row>
                    <xdr:rowOff>0</xdr:rowOff>
                  </to>
                </anchor>
              </controlPr>
            </control>
          </mc:Choice>
        </mc:AlternateContent>
        <mc:AlternateContent xmlns:mc="http://schemas.openxmlformats.org/markup-compatibility/2006">
          <mc:Choice Requires="x14">
            <control shapeId="5529611" r:id="rId8" name="Drop Down 11">
              <controlPr defaultSize="0" autoLine="0" autoPict="0">
                <anchor moveWithCells="1">
                  <from>
                    <xdr:col>13</xdr:col>
                    <xdr:colOff>0</xdr:colOff>
                    <xdr:row>1</xdr:row>
                    <xdr:rowOff>0</xdr:rowOff>
                  </from>
                  <to>
                    <xdr:col>14</xdr:col>
                    <xdr:colOff>571500</xdr:colOff>
                    <xdr:row>2</xdr:row>
                    <xdr:rowOff>0</xdr:rowOff>
                  </to>
                </anchor>
              </controlPr>
            </control>
          </mc:Choice>
        </mc:AlternateContent>
        <mc:AlternateContent xmlns:mc="http://schemas.openxmlformats.org/markup-compatibility/2006">
          <mc:Choice Requires="x14">
            <control shapeId="5529612" r:id="rId9" name="Drop Down 12">
              <controlPr defaultSize="0" autoLine="0" autoPict="0">
                <anchor moveWithCells="1">
                  <from>
                    <xdr:col>14</xdr:col>
                    <xdr:colOff>9525</xdr:colOff>
                    <xdr:row>1</xdr:row>
                    <xdr:rowOff>0</xdr:rowOff>
                  </from>
                  <to>
                    <xdr:col>15</xdr:col>
                    <xdr:colOff>600075</xdr:colOff>
                    <xdr:row>2</xdr:row>
                    <xdr:rowOff>0</xdr:rowOff>
                  </to>
                </anchor>
              </controlPr>
            </control>
          </mc:Choice>
        </mc:AlternateContent>
        <mc:AlternateContent xmlns:mc="http://schemas.openxmlformats.org/markup-compatibility/2006">
          <mc:Choice Requires="x14">
            <control shapeId="5529613" r:id="rId10" name="Drop Down 13">
              <controlPr defaultSize="0" autoLine="0" autoPict="0">
                <anchor moveWithCells="1">
                  <from>
                    <xdr:col>15</xdr:col>
                    <xdr:colOff>9525</xdr:colOff>
                    <xdr:row>1</xdr:row>
                    <xdr:rowOff>0</xdr:rowOff>
                  </from>
                  <to>
                    <xdr:col>16</xdr:col>
                    <xdr:colOff>628650</xdr:colOff>
                    <xdr:row>2</xdr:row>
                    <xdr:rowOff>0</xdr:rowOff>
                  </to>
                </anchor>
              </controlPr>
            </control>
          </mc:Choice>
        </mc:AlternateContent>
        <mc:AlternateContent xmlns:mc="http://schemas.openxmlformats.org/markup-compatibility/2006">
          <mc:Choice Requires="x14">
            <control shapeId="5529614" r:id="rId11" name="Drop Down 14">
              <controlPr defaultSize="0" autoLine="0" autoPict="0">
                <anchor moveWithCells="1">
                  <from>
                    <xdr:col>16</xdr:col>
                    <xdr:colOff>9525</xdr:colOff>
                    <xdr:row>1</xdr:row>
                    <xdr:rowOff>0</xdr:rowOff>
                  </from>
                  <to>
                    <xdr:col>17</xdr:col>
                    <xdr:colOff>247650</xdr:colOff>
                    <xdr:row>2</xdr:row>
                    <xdr:rowOff>0</xdr:rowOff>
                  </to>
                </anchor>
              </controlPr>
            </control>
          </mc:Choice>
        </mc:AlternateContent>
        <mc:AlternateContent xmlns:mc="http://schemas.openxmlformats.org/markup-compatibility/2006">
          <mc:Choice Requires="x14">
            <control shapeId="5529675" r:id="rId12" name="Button 75">
              <controlPr defaultSize="0" print="0" autoFill="0" autoPict="0" macro="[0]!Tit_pH_Init">
                <anchor moveWithCells="1" sizeWithCells="1">
                  <from>
                    <xdr:col>0</xdr:col>
                    <xdr:colOff>85725</xdr:colOff>
                    <xdr:row>21</xdr:row>
                    <xdr:rowOff>66675</xdr:rowOff>
                  </from>
                  <to>
                    <xdr:col>0</xdr:col>
                    <xdr:colOff>400050</xdr:colOff>
                    <xdr:row>25</xdr:row>
                    <xdr:rowOff>104775</xdr:rowOff>
                  </to>
                </anchor>
              </controlPr>
            </control>
          </mc:Choice>
        </mc:AlternateContent>
        <mc:AlternateContent xmlns:mc="http://schemas.openxmlformats.org/markup-compatibility/2006">
          <mc:Choice Requires="x14">
            <control shapeId="5529676" r:id="rId13" name="Button 76">
              <controlPr defaultSize="0" print="0" autoFill="0" autoPict="0" macro="[0]!Tit_dVol_10">
                <anchor moveWithCells="1" sizeWithCells="1">
                  <from>
                    <xdr:col>1</xdr:col>
                    <xdr:colOff>581025</xdr:colOff>
                    <xdr:row>24</xdr:row>
                    <xdr:rowOff>123825</xdr:rowOff>
                  </from>
                  <to>
                    <xdr:col>2</xdr:col>
                    <xdr:colOff>304800</xdr:colOff>
                    <xdr:row>25</xdr:row>
                    <xdr:rowOff>142875</xdr:rowOff>
                  </to>
                </anchor>
              </controlPr>
            </control>
          </mc:Choice>
        </mc:AlternateContent>
        <mc:AlternateContent xmlns:mc="http://schemas.openxmlformats.org/markup-compatibility/2006">
          <mc:Choice Requires="x14">
            <control shapeId="5529677" r:id="rId14" name="Button 77">
              <controlPr defaultSize="0" print="0" autoFill="0" autoPict="0" macro="[0]!Tit_dVol_20">
                <anchor moveWithCells="1" sizeWithCells="1">
                  <from>
                    <xdr:col>1</xdr:col>
                    <xdr:colOff>38100</xdr:colOff>
                    <xdr:row>24</xdr:row>
                    <xdr:rowOff>123825</xdr:rowOff>
                  </from>
                  <to>
                    <xdr:col>1</xdr:col>
                    <xdr:colOff>542925</xdr:colOff>
                    <xdr:row>25</xdr:row>
                    <xdr:rowOff>142875</xdr:rowOff>
                  </to>
                </anchor>
              </controlPr>
            </control>
          </mc:Choice>
        </mc:AlternateContent>
        <mc:AlternateContent xmlns:mc="http://schemas.openxmlformats.org/markup-compatibility/2006">
          <mc:Choice Requires="x14">
            <control shapeId="5529678" r:id="rId15" name="Button 78">
              <controlPr defaultSize="0" print="0" autoFill="0" autoPict="0" macro="[0]!Tit_dVol_50">
                <anchor moveWithCells="1" sizeWithCells="1">
                  <from>
                    <xdr:col>0</xdr:col>
                    <xdr:colOff>457200</xdr:colOff>
                    <xdr:row>24</xdr:row>
                    <xdr:rowOff>123825</xdr:rowOff>
                  </from>
                  <to>
                    <xdr:col>0</xdr:col>
                    <xdr:colOff>962025</xdr:colOff>
                    <xdr:row>25</xdr:row>
                    <xdr:rowOff>142875</xdr:rowOff>
                  </to>
                </anchor>
              </controlPr>
            </control>
          </mc:Choice>
        </mc:AlternateContent>
        <mc:AlternateContent xmlns:mc="http://schemas.openxmlformats.org/markup-compatibility/2006">
          <mc:Choice Requires="x14">
            <control shapeId="5529679" r:id="rId16" name="Button 79">
              <controlPr defaultSize="0" print="0" autoFill="0" autoPict="0" macro="[0]!Tit_dVol_100">
                <anchor moveWithCells="1" sizeWithCells="1">
                  <from>
                    <xdr:col>1</xdr:col>
                    <xdr:colOff>581025</xdr:colOff>
                    <xdr:row>23</xdr:row>
                    <xdr:rowOff>57150</xdr:rowOff>
                  </from>
                  <to>
                    <xdr:col>2</xdr:col>
                    <xdr:colOff>304800</xdr:colOff>
                    <xdr:row>24</xdr:row>
                    <xdr:rowOff>76200</xdr:rowOff>
                  </to>
                </anchor>
              </controlPr>
            </control>
          </mc:Choice>
        </mc:AlternateContent>
        <mc:AlternateContent xmlns:mc="http://schemas.openxmlformats.org/markup-compatibility/2006">
          <mc:Choice Requires="x14">
            <control shapeId="5529680" r:id="rId17" name="Button 80">
              <controlPr defaultSize="0" print="0" autoFill="0" autoPict="0" macro="[0]!Tit_dVol_200">
                <anchor moveWithCells="1" sizeWithCells="1">
                  <from>
                    <xdr:col>1</xdr:col>
                    <xdr:colOff>28575</xdr:colOff>
                    <xdr:row>23</xdr:row>
                    <xdr:rowOff>57150</xdr:rowOff>
                  </from>
                  <to>
                    <xdr:col>1</xdr:col>
                    <xdr:colOff>533400</xdr:colOff>
                    <xdr:row>24</xdr:row>
                    <xdr:rowOff>76200</xdr:rowOff>
                  </to>
                </anchor>
              </controlPr>
            </control>
          </mc:Choice>
        </mc:AlternateContent>
        <mc:AlternateContent xmlns:mc="http://schemas.openxmlformats.org/markup-compatibility/2006">
          <mc:Choice Requires="x14">
            <control shapeId="5529681" r:id="rId18" name="Button 81">
              <controlPr defaultSize="0" print="0" autoFill="0" autoPict="0" macro="[0]!Tit_dVol_500">
                <anchor moveWithCells="1" sizeWithCells="1">
                  <from>
                    <xdr:col>0</xdr:col>
                    <xdr:colOff>457200</xdr:colOff>
                    <xdr:row>23</xdr:row>
                    <xdr:rowOff>57150</xdr:rowOff>
                  </from>
                  <to>
                    <xdr:col>0</xdr:col>
                    <xdr:colOff>962025</xdr:colOff>
                    <xdr:row>24</xdr:row>
                    <xdr:rowOff>76200</xdr:rowOff>
                  </to>
                </anchor>
              </controlPr>
            </control>
          </mc:Choice>
        </mc:AlternateContent>
        <mc:AlternateContent xmlns:mc="http://schemas.openxmlformats.org/markup-compatibility/2006">
          <mc:Choice Requires="x14">
            <control shapeId="5529682" r:id="rId19" name="Button 82">
              <controlPr defaultSize="0" print="0" autoFill="0" autoPict="0" macro="[0]!Tit_dVol_1000">
                <anchor moveWithCells="1" sizeWithCells="1">
                  <from>
                    <xdr:col>1</xdr:col>
                    <xdr:colOff>581025</xdr:colOff>
                    <xdr:row>21</xdr:row>
                    <xdr:rowOff>209550</xdr:rowOff>
                  </from>
                  <to>
                    <xdr:col>2</xdr:col>
                    <xdr:colOff>304800</xdr:colOff>
                    <xdr:row>23</xdr:row>
                    <xdr:rowOff>0</xdr:rowOff>
                  </to>
                </anchor>
              </controlPr>
            </control>
          </mc:Choice>
        </mc:AlternateContent>
        <mc:AlternateContent xmlns:mc="http://schemas.openxmlformats.org/markup-compatibility/2006">
          <mc:Choice Requires="x14">
            <control shapeId="5529683" r:id="rId20" name="Button 83">
              <controlPr defaultSize="0" print="0" autoFill="0" autoPict="0" macro="[0]!Tit_dVol_2000">
                <anchor moveWithCells="1" sizeWithCells="1">
                  <from>
                    <xdr:col>1</xdr:col>
                    <xdr:colOff>28575</xdr:colOff>
                    <xdr:row>21</xdr:row>
                    <xdr:rowOff>209550</xdr:rowOff>
                  </from>
                  <to>
                    <xdr:col>1</xdr:col>
                    <xdr:colOff>533400</xdr:colOff>
                    <xdr:row>23</xdr:row>
                    <xdr:rowOff>0</xdr:rowOff>
                  </to>
                </anchor>
              </controlPr>
            </control>
          </mc:Choice>
        </mc:AlternateContent>
        <mc:AlternateContent xmlns:mc="http://schemas.openxmlformats.org/markup-compatibility/2006">
          <mc:Choice Requires="x14">
            <control shapeId="5529684" r:id="rId21" name="Button 84">
              <controlPr defaultSize="0" print="0" autoFill="0" autoPict="0" macro="[0]!Tit_dVol_5000">
                <anchor moveWithCells="1" sizeWithCells="1">
                  <from>
                    <xdr:col>0</xdr:col>
                    <xdr:colOff>457200</xdr:colOff>
                    <xdr:row>21</xdr:row>
                    <xdr:rowOff>209550</xdr:rowOff>
                  </from>
                  <to>
                    <xdr:col>0</xdr:col>
                    <xdr:colOff>962025</xdr:colOff>
                    <xdr:row>23</xdr:row>
                    <xdr:rowOff>0</xdr:rowOff>
                  </to>
                </anchor>
              </controlPr>
            </control>
          </mc:Choice>
        </mc:AlternateContent>
        <mc:AlternateContent xmlns:mc="http://schemas.openxmlformats.org/markup-compatibility/2006">
          <mc:Choice Requires="x14">
            <control shapeId="5529685" r:id="rId22" name="Button 85">
              <controlPr defaultSize="0" print="0" autoFill="0" autoPict="0" macro="[0]!Tit_reverso">
                <anchor moveWithCells="1" sizeWithCells="1">
                  <from>
                    <xdr:col>2</xdr:col>
                    <xdr:colOff>381000</xdr:colOff>
                    <xdr:row>21</xdr:row>
                    <xdr:rowOff>180975</xdr:rowOff>
                  </from>
                  <to>
                    <xdr:col>2</xdr:col>
                    <xdr:colOff>685800</xdr:colOff>
                    <xdr:row>25</xdr:row>
                    <xdr:rowOff>114300</xdr:rowOff>
                  </to>
                </anchor>
              </controlPr>
            </control>
          </mc:Choice>
        </mc:AlternateContent>
        <mc:AlternateContent xmlns:mc="http://schemas.openxmlformats.org/markup-compatibility/2006">
          <mc:Choice Requires="x14">
            <control shapeId="5529686" r:id="rId23" name="Check Box 86">
              <controlPr defaultSize="0" autoFill="0" autoLine="0" autoPict="0" macro="[0]!Tit_plot_pH">
                <anchor moveWithCells="1">
                  <from>
                    <xdr:col>5</xdr:col>
                    <xdr:colOff>447675</xdr:colOff>
                    <xdr:row>24</xdr:row>
                    <xdr:rowOff>9525</xdr:rowOff>
                  </from>
                  <to>
                    <xdr:col>6</xdr:col>
                    <xdr:colOff>19050</xdr:colOff>
                    <xdr:row>24</xdr:row>
                    <xdr:rowOff>171450</xdr:rowOff>
                  </to>
                </anchor>
              </controlPr>
            </control>
          </mc:Choice>
        </mc:AlternateContent>
        <mc:AlternateContent xmlns:mc="http://schemas.openxmlformats.org/markup-compatibility/2006">
          <mc:Choice Requires="x14">
            <control shapeId="5529687" r:id="rId24" name="Check Box 87">
              <controlPr defaultSize="0" autoFill="0" autoLine="0" autoPict="0" macro="[0]!Tit_show_distri">
                <anchor moveWithCells="1">
                  <from>
                    <xdr:col>5</xdr:col>
                    <xdr:colOff>447675</xdr:colOff>
                    <xdr:row>25</xdr:row>
                    <xdr:rowOff>0</xdr:rowOff>
                  </from>
                  <to>
                    <xdr:col>5</xdr:col>
                    <xdr:colOff>752475</xdr:colOff>
                    <xdr:row>25</xdr:row>
                    <xdr:rowOff>161925</xdr:rowOff>
                  </to>
                </anchor>
              </controlPr>
            </control>
          </mc:Choice>
        </mc:AlternateContent>
        <mc:AlternateContent xmlns:mc="http://schemas.openxmlformats.org/markup-compatibility/2006">
          <mc:Choice Requires="x14">
            <control shapeId="5529701" r:id="rId25" name="Button 101">
              <controlPr defaultSize="0" print="0" autoFill="0" autoPict="0" macro="[0]!Tit_Mostra">
                <anchor moveWithCells="1" sizeWithCells="1">
                  <from>
                    <xdr:col>2</xdr:col>
                    <xdr:colOff>371475</xdr:colOff>
                    <xdr:row>18</xdr:row>
                    <xdr:rowOff>85725</xdr:rowOff>
                  </from>
                  <to>
                    <xdr:col>3</xdr:col>
                    <xdr:colOff>257175</xdr:colOff>
                    <xdr:row>18</xdr:row>
                    <xdr:rowOff>314325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666A7721-190C-4953-BA0C-0EDF5C2F4CEA}">
            <x14:dataBar minLength="0" maxLength="100" negativeBarColorSameAsPositive="1" axisPosition="none">
              <x14:cfvo type="num">
                <xm:f>0</xm:f>
              </x14:cfvo>
              <x14:cfvo type="formula">
                <xm:f>$F$18</xm:f>
              </x14:cfvo>
            </x14:dataBar>
          </x14:cfRule>
          <xm:sqref>C20</xm:sqref>
        </x14:conditionalFormatting>
        <x14:conditionalFormatting xmlns:xm="http://schemas.microsoft.com/office/excel/2006/main">
          <x14:cfRule type="dataBar" id="{E00B24B4-F9A6-4E9F-BA54-22E5F1C938E6}">
            <x14:dataBar minLength="0" maxLength="100" negativeBarColorSameAsPositive="1" axisPosition="none">
              <x14:cfvo type="num">
                <xm:f>0</xm:f>
              </x14:cfvo>
              <x14:cfvo type="num">
                <xm:f>100</xm:f>
              </x14:cfvo>
            </x14:dataBar>
          </x14:cfRule>
          <xm:sqref>H30:H36</xm:sqref>
        </x14:conditionalFormatting>
        <x14:conditionalFormatting xmlns:xm="http://schemas.microsoft.com/office/excel/2006/main">
          <x14:cfRule type="dataBar" id="{F82E238B-9F89-4512-8F26-D1906245275B}">
            <x14:dataBar minLength="0" maxLength="100" negativeBarColorSameAsPositive="1" axisPosition="none">
              <x14:cfvo type="num">
                <xm:f>0</xm:f>
              </x14:cfvo>
              <x14:cfvo type="num">
                <xm:f>100</xm:f>
              </x14:cfvo>
            </x14:dataBar>
          </x14:cfRule>
          <xm:sqref>B36:B37</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8"/>
  <dimension ref="A1:BZ162"/>
  <sheetViews>
    <sheetView tabSelected="1" zoomScale="85" zoomScaleNormal="85" workbookViewId="0">
      <selection activeCell="F21" sqref="F21"/>
    </sheetView>
  </sheetViews>
  <sheetFormatPr defaultRowHeight="12.75"/>
  <cols>
    <col min="1" max="1" width="13.42578125" customWidth="1"/>
    <col min="2" max="8" width="11.7109375" customWidth="1"/>
    <col min="9" max="9" width="16.42578125" customWidth="1"/>
    <col min="10" max="10" width="15.5703125" customWidth="1"/>
    <col min="11" max="20" width="15.7109375" customWidth="1"/>
    <col min="21" max="31" width="12.7109375" customWidth="1"/>
    <col min="32" max="32" width="18" customWidth="1"/>
    <col min="33" max="39" width="12.7109375" customWidth="1"/>
  </cols>
  <sheetData>
    <row r="1" spans="1:78" ht="24" customHeight="1">
      <c r="A1" s="399"/>
      <c r="B1" s="88"/>
      <c r="C1" s="88" t="s">
        <v>639</v>
      </c>
      <c r="D1" s="208"/>
      <c r="E1" s="208"/>
      <c r="F1" s="208"/>
      <c r="G1" s="208"/>
      <c r="H1" s="531" t="s">
        <v>748</v>
      </c>
      <c r="I1" s="208"/>
      <c r="J1" s="319"/>
      <c r="K1" s="353" t="s">
        <v>0</v>
      </c>
      <c r="L1" s="213"/>
      <c r="M1" s="213"/>
      <c r="N1" s="400" t="s">
        <v>642</v>
      </c>
      <c r="O1" s="400"/>
      <c r="P1" s="400"/>
      <c r="Q1" s="213"/>
      <c r="R1" s="213"/>
      <c r="S1" s="213"/>
      <c r="T1" s="216"/>
      <c r="U1" s="748" t="s">
        <v>1</v>
      </c>
      <c r="V1" s="214"/>
      <c r="W1" s="215"/>
      <c r="X1" s="215"/>
      <c r="Y1" s="215"/>
      <c r="Z1" s="101"/>
      <c r="AA1" s="101"/>
      <c r="AB1" s="429" t="s">
        <v>486</v>
      </c>
      <c r="AC1" s="303"/>
      <c r="AD1" s="302"/>
      <c r="AE1" s="304"/>
      <c r="AF1" s="319" t="s">
        <v>684</v>
      </c>
      <c r="AG1" s="213"/>
      <c r="AH1" s="213"/>
      <c r="AI1" s="213"/>
      <c r="AJ1" s="213"/>
      <c r="AK1" s="213"/>
      <c r="AL1" s="213"/>
      <c r="AM1" s="216"/>
      <c r="AN1" s="57"/>
      <c r="AO1" s="57"/>
      <c r="AP1" s="57"/>
      <c r="AQ1" s="57"/>
      <c r="AR1" s="57"/>
      <c r="AS1" s="57"/>
      <c r="AT1" s="57"/>
      <c r="AU1" s="57"/>
      <c r="AV1" s="57"/>
      <c r="AW1" s="57"/>
      <c r="AX1" s="57"/>
      <c r="AY1" s="57"/>
      <c r="AZ1" s="57"/>
      <c r="BA1" s="57"/>
      <c r="BB1" s="57"/>
      <c r="BC1" s="57"/>
      <c r="BD1" s="57"/>
      <c r="BE1" s="57"/>
      <c r="BF1" s="57"/>
      <c r="BG1" s="57"/>
      <c r="BH1" s="57"/>
      <c r="BI1" s="57"/>
      <c r="BJ1" s="57"/>
      <c r="BK1" s="57"/>
      <c r="BL1" s="57"/>
      <c r="BM1" s="57"/>
      <c r="BN1" s="57"/>
      <c r="BO1" s="57"/>
      <c r="BP1" s="57"/>
      <c r="BQ1" s="57"/>
      <c r="BR1" s="57"/>
      <c r="BS1" s="57"/>
      <c r="BT1" s="57"/>
      <c r="BU1" s="57"/>
      <c r="BV1" s="57"/>
      <c r="BW1" s="57"/>
      <c r="BX1" s="57"/>
      <c r="BY1" s="57"/>
      <c r="BZ1" s="57"/>
    </row>
    <row r="2" spans="1:78" ht="18" customHeight="1" thickBot="1">
      <c r="A2" s="719" t="s">
        <v>680</v>
      </c>
      <c r="B2" s="720"/>
      <c r="C2" s="720"/>
      <c r="D2" s="720"/>
      <c r="E2" s="720"/>
      <c r="F2" s="720"/>
      <c r="G2" s="721"/>
      <c r="H2" s="720"/>
      <c r="I2" s="722"/>
      <c r="J2" s="27"/>
      <c r="K2" s="355">
        <v>198</v>
      </c>
      <c r="L2" s="354">
        <v>8</v>
      </c>
      <c r="M2" s="354">
        <v>121</v>
      </c>
      <c r="N2" s="354">
        <v>1</v>
      </c>
      <c r="O2" s="354">
        <v>2</v>
      </c>
      <c r="P2" s="354">
        <v>6</v>
      </c>
      <c r="Q2" s="354">
        <v>3</v>
      </c>
      <c r="R2" s="195"/>
      <c r="S2" s="197" t="s">
        <v>605</v>
      </c>
      <c r="T2" s="751"/>
      <c r="U2" s="101"/>
      <c r="V2" s="195" t="s">
        <v>602</v>
      </c>
      <c r="W2" s="199"/>
      <c r="X2" s="49"/>
      <c r="Y2" s="49"/>
      <c r="Z2" s="196"/>
      <c r="AA2" s="197"/>
      <c r="AB2" s="198"/>
      <c r="AC2" s="195" t="s">
        <v>605</v>
      </c>
      <c r="AD2" s="198"/>
      <c r="AE2" s="200"/>
      <c r="AF2" s="205"/>
      <c r="AG2" s="239" t="s">
        <v>603</v>
      </c>
      <c r="AH2" s="301" t="s">
        <v>686</v>
      </c>
      <c r="AI2" s="49"/>
      <c r="AJ2" s="49"/>
      <c r="AK2" s="196"/>
      <c r="AL2" s="197"/>
      <c r="AM2" s="200"/>
      <c r="AN2" s="26"/>
      <c r="AO2" s="26"/>
      <c r="AP2" s="26"/>
      <c r="AQ2" s="26"/>
      <c r="AR2" s="26"/>
      <c r="AS2" s="26"/>
      <c r="AT2" s="26"/>
      <c r="AU2" s="26"/>
      <c r="AV2" s="26"/>
      <c r="AW2" s="26"/>
      <c r="AX2" s="26"/>
      <c r="AY2" s="26"/>
      <c r="AZ2" s="26"/>
      <c r="BA2" s="26"/>
      <c r="BB2" s="26"/>
      <c r="BC2" s="26"/>
      <c r="BD2" s="26"/>
      <c r="BE2" s="26"/>
      <c r="BF2" s="26"/>
      <c r="BG2" s="26"/>
      <c r="BH2" s="26"/>
      <c r="BI2" s="26"/>
      <c r="BJ2" s="26"/>
      <c r="BK2" s="26"/>
      <c r="BL2" s="26"/>
      <c r="BM2" s="26"/>
      <c r="BN2" s="26"/>
      <c r="BO2" s="26"/>
      <c r="BP2" s="26"/>
      <c r="BQ2" s="26"/>
      <c r="BR2" s="26"/>
      <c r="BS2" s="26"/>
      <c r="BT2" s="26"/>
      <c r="BU2" s="26"/>
      <c r="BV2" s="26"/>
      <c r="BW2" s="26"/>
      <c r="BX2" s="26"/>
      <c r="BY2" s="26"/>
      <c r="BZ2" s="26"/>
    </row>
    <row r="3" spans="1:78" s="135" customFormat="1" ht="29.25" customHeight="1" thickTop="1">
      <c r="A3" s="1020" t="s">
        <v>1014</v>
      </c>
      <c r="B3" s="1309" t="str">
        <f>K3</f>
        <v>Phosphoric acid</v>
      </c>
      <c r="C3" s="1309" t="str">
        <f t="shared" ref="C3:H3" si="0">L3</f>
        <v>Phosphoric acid</v>
      </c>
      <c r="D3" s="1309" t="str">
        <f t="shared" si="0"/>
        <v>Hydrogen peroxide</v>
      </c>
      <c r="E3" s="1309" t="str">
        <f t="shared" si="0"/>
        <v>Acetic acid</v>
      </c>
      <c r="F3" s="1309" t="str">
        <f t="shared" si="0"/>
        <v>Ammonia</v>
      </c>
      <c r="G3" s="1309" t="str">
        <f t="shared" si="0"/>
        <v>HCl</v>
      </c>
      <c r="H3" s="1310" t="str">
        <f t="shared" si="0"/>
        <v>Carbonic acid</v>
      </c>
      <c r="I3" s="560"/>
      <c r="J3" s="362" t="s">
        <v>593</v>
      </c>
      <c r="K3" s="261" t="s">
        <v>125</v>
      </c>
      <c r="L3" s="261" t="s">
        <v>125</v>
      </c>
      <c r="M3" s="261" t="s">
        <v>310</v>
      </c>
      <c r="N3" s="261" t="s">
        <v>127</v>
      </c>
      <c r="O3" s="261" t="s">
        <v>128</v>
      </c>
      <c r="P3" s="261" t="s">
        <v>326</v>
      </c>
      <c r="Q3" s="261" t="s">
        <v>159</v>
      </c>
      <c r="R3" s="267" t="s">
        <v>637</v>
      </c>
      <c r="S3" s="268" t="s">
        <v>638</v>
      </c>
      <c r="T3" s="752" t="s">
        <v>607</v>
      </c>
      <c r="U3" s="749" t="s">
        <v>593</v>
      </c>
      <c r="V3" s="229" t="str">
        <f t="shared" ref="V3:AB4" si="1">IF(K3="","",K3)</f>
        <v>Phosphoric acid</v>
      </c>
      <c r="W3" s="229" t="str">
        <f t="shared" si="1"/>
        <v>Phosphoric acid</v>
      </c>
      <c r="X3" s="229" t="str">
        <f t="shared" si="1"/>
        <v>Hydrogen peroxide</v>
      </c>
      <c r="Y3" s="229" t="str">
        <f t="shared" si="1"/>
        <v>Acetic acid</v>
      </c>
      <c r="Z3" s="229" t="str">
        <f t="shared" si="1"/>
        <v>Ammonia</v>
      </c>
      <c r="AA3" s="229" t="str">
        <f t="shared" si="1"/>
        <v>HCl</v>
      </c>
      <c r="AB3" s="229" t="str">
        <f t="shared" si="1"/>
        <v>Carbonic acid</v>
      </c>
      <c r="AC3" s="192" t="str">
        <f>R3</f>
        <v>Strong ACID</v>
      </c>
      <c r="AD3" s="193" t="str">
        <f>S3</f>
        <v>Strong BASE</v>
      </c>
      <c r="AE3" s="194" t="str">
        <f>T3</f>
        <v>Carbonic ac.</v>
      </c>
      <c r="AF3" s="30" t="s">
        <v>593</v>
      </c>
      <c r="AG3" s="210" t="str">
        <f>IF(VLOOKUP(K$2,Database!$B$22:$N$301,2)="","",VLOOKUP(K$2,Database!$B$22:$N$301,2))</f>
        <v>Phosphoric acid</v>
      </c>
      <c r="AH3" s="210" t="str">
        <f>IF(VLOOKUP(L$2,Database!$B$22:$N$301,2)="","",VLOOKUP(L$2,Database!$B$22:$N$301,2))</f>
        <v>Phosphoric acid</v>
      </c>
      <c r="AI3" s="210" t="str">
        <f>IF(VLOOKUP(M$2,Database!$B$22:$N$301,2)="","",VLOOKUP(M$2,Database!$B$22:$N$301,2))</f>
        <v>Hydrogen peroxide</v>
      </c>
      <c r="AJ3" s="210" t="str">
        <f>IF(VLOOKUP(N$2,Database!$B$22:$N$301,2)="","",VLOOKUP(N$2,Database!$B$22:$N$301,2))</f>
        <v>Acetic acid</v>
      </c>
      <c r="AK3" s="210" t="str">
        <f>IF(VLOOKUP(O$2,Database!$B$22:$N$301,2)="","",VLOOKUP(O$2,Database!$B$22:$N$301,2))</f>
        <v>Ammonia</v>
      </c>
      <c r="AL3" s="210" t="str">
        <f>IF(VLOOKUP(P$2,Database!$B$22:$N$301,2)="","",VLOOKUP(P$2,Database!$B$22:$N$301,2))</f>
        <v>HCl</v>
      </c>
      <c r="AM3" s="231" t="str">
        <f>IF(VLOOKUP(Q$2,Database!$B$22:$N$301,2)="","",VLOOKUP(Q$2,Database!$B$22:$N$301,2))</f>
        <v>Carbonic acid</v>
      </c>
      <c r="AN3" s="134"/>
      <c r="AO3" s="134"/>
      <c r="AP3" s="134"/>
      <c r="AQ3" s="134"/>
      <c r="AR3" s="134"/>
      <c r="AS3" s="134"/>
      <c r="AT3" s="134"/>
      <c r="AU3" s="134"/>
      <c r="AV3" s="134"/>
      <c r="AW3" s="134"/>
      <c r="AX3" s="134"/>
      <c r="AY3" s="134"/>
      <c r="AZ3" s="134"/>
      <c r="BA3" s="134"/>
      <c r="BB3" s="134"/>
      <c r="BC3" s="134"/>
      <c r="BD3" s="134"/>
      <c r="BE3" s="134"/>
      <c r="BF3" s="134"/>
      <c r="BG3" s="134"/>
      <c r="BH3" s="134"/>
      <c r="BI3" s="134"/>
      <c r="BJ3" s="134"/>
      <c r="BK3" s="134"/>
      <c r="BL3" s="134"/>
      <c r="BM3" s="134"/>
      <c r="BN3" s="134"/>
      <c r="BO3" s="134"/>
      <c r="BP3" s="134"/>
      <c r="BQ3" s="134"/>
      <c r="BR3" s="134"/>
      <c r="BS3" s="134"/>
      <c r="BT3" s="134"/>
      <c r="BU3" s="134"/>
      <c r="BV3" s="134"/>
      <c r="BW3" s="134"/>
      <c r="BX3" s="134"/>
      <c r="BY3" s="134"/>
      <c r="BZ3" s="134"/>
    </row>
    <row r="4" spans="1:78" ht="15" customHeight="1" thickBot="1">
      <c r="A4" s="1294" t="s">
        <v>332</v>
      </c>
      <c r="B4" s="1311"/>
      <c r="C4" s="1380"/>
      <c r="D4" s="1380"/>
      <c r="E4" s="1380"/>
      <c r="F4" s="1314"/>
      <c r="G4" s="1380"/>
      <c r="H4" s="1381"/>
      <c r="I4" s="560"/>
      <c r="J4" s="943" t="s">
        <v>594</v>
      </c>
      <c r="K4" s="1237">
        <v>-3</v>
      </c>
      <c r="L4" s="1237">
        <v>-3</v>
      </c>
      <c r="M4" s="1237">
        <v>-1</v>
      </c>
      <c r="N4" s="1237">
        <v>-1</v>
      </c>
      <c r="O4" s="1237">
        <v>0</v>
      </c>
      <c r="P4" s="1237">
        <v>-1</v>
      </c>
      <c r="Q4" s="1237">
        <v>-2</v>
      </c>
      <c r="R4" s="1238">
        <v>-1</v>
      </c>
      <c r="S4" s="1239">
        <v>-1</v>
      </c>
      <c r="T4" s="1240">
        <v>-2</v>
      </c>
      <c r="U4" s="750" t="s">
        <v>594</v>
      </c>
      <c r="V4" s="688">
        <f t="shared" si="1"/>
        <v>-3</v>
      </c>
      <c r="W4" s="368">
        <f t="shared" ref="W4:AB4" si="2">IF(L4="","",L4)</f>
        <v>-3</v>
      </c>
      <c r="X4" s="368">
        <f t="shared" si="2"/>
        <v>-1</v>
      </c>
      <c r="Y4" s="368">
        <f t="shared" si="2"/>
        <v>-1</v>
      </c>
      <c r="Z4" s="368">
        <f t="shared" si="2"/>
        <v>0</v>
      </c>
      <c r="AA4" s="368">
        <f t="shared" si="2"/>
        <v>-1</v>
      </c>
      <c r="AB4" s="368">
        <f t="shared" si="2"/>
        <v>-2</v>
      </c>
      <c r="AC4" s="368">
        <f t="shared" ref="AC4" si="3">IF(R4="","",R4)</f>
        <v>-1</v>
      </c>
      <c r="AD4" s="368">
        <f t="shared" ref="AD4" si="4">IF(S4="","",S4)</f>
        <v>-1</v>
      </c>
      <c r="AE4" s="368">
        <f t="shared" ref="AE4" si="5">IF(T4="","",T4)</f>
        <v>-2</v>
      </c>
      <c r="AF4" s="220" t="s">
        <v>604</v>
      </c>
      <c r="AG4" s="233">
        <f>IF(VLOOKUP(K$2,Database!$B$22:$N$301,3)="","",VLOOKUP(K$2,Database!$B$22:$N$301,3))</f>
        <v>-3</v>
      </c>
      <c r="AH4" s="233">
        <f>IF(VLOOKUP(L$2,Database!$B$22:$N$301,3)="","",VLOOKUP(L$2,Database!$B$22:$N$301,3))</f>
        <v>-3</v>
      </c>
      <c r="AI4" s="233">
        <f>IF(VLOOKUP(M$2,Database!$B$22:$N$301,3)="","",VLOOKUP(M$2,Database!$B$22:$N$301,3))</f>
        <v>-1</v>
      </c>
      <c r="AJ4" s="233">
        <f>IF(VLOOKUP(N$2,Database!$B$22:$N$301,3)="","",VLOOKUP(N$2,Database!$B$22:$N$301,3))</f>
        <v>-1</v>
      </c>
      <c r="AK4" s="233">
        <f>IF(VLOOKUP(O$2,Database!$B$22:$N$301,3)="","",VLOOKUP(O$2,Database!$B$22:$N$301,3))</f>
        <v>0</v>
      </c>
      <c r="AL4" s="233">
        <f>IF(VLOOKUP(P$2,Database!$B$22:$N$301,3)="","",VLOOKUP(P$2,Database!$B$22:$N$301,3))</f>
        <v>-1</v>
      </c>
      <c r="AM4" s="240">
        <f>IF(VLOOKUP(Q$2,Database!$B$22:$N$301,3)="","",VLOOKUP(Q$2,Database!$B$22:$N$301,3))</f>
        <v>-2</v>
      </c>
      <c r="AN4" s="29"/>
      <c r="AO4" s="29"/>
      <c r="AP4" s="29"/>
      <c r="AQ4" s="29"/>
      <c r="AR4" s="29"/>
      <c r="AS4" s="29"/>
      <c r="AT4" s="29"/>
      <c r="AU4" s="29"/>
      <c r="AV4" s="29"/>
      <c r="AW4" s="29"/>
      <c r="AX4" s="29"/>
      <c r="AY4" s="29"/>
      <c r="AZ4" s="29"/>
      <c r="BA4" s="29"/>
      <c r="BB4" s="29"/>
      <c r="BC4" s="29"/>
      <c r="BD4" s="29"/>
      <c r="BE4" s="29"/>
      <c r="BF4" s="29"/>
      <c r="BG4" s="29"/>
      <c r="BH4" s="29"/>
      <c r="BI4" s="29"/>
      <c r="BJ4" s="29"/>
      <c r="BK4" s="29"/>
      <c r="BL4" s="29"/>
      <c r="BM4" s="29"/>
      <c r="BN4" s="29"/>
      <c r="BO4" s="29"/>
      <c r="BP4" s="29"/>
      <c r="BQ4" s="29"/>
      <c r="BR4" s="29"/>
      <c r="BS4" s="29"/>
      <c r="BT4" s="29"/>
      <c r="BU4" s="29"/>
      <c r="BV4" s="29"/>
      <c r="BW4" s="29"/>
      <c r="BX4" s="29"/>
      <c r="BY4" s="29"/>
      <c r="BZ4" s="29"/>
    </row>
    <row r="5" spans="1:78" ht="15" customHeight="1" thickBot="1">
      <c r="A5" s="1295" t="s">
        <v>333</v>
      </c>
      <c r="B5" s="788">
        <v>0.01</v>
      </c>
      <c r="C5" s="789"/>
      <c r="D5" s="1313">
        <v>1.47</v>
      </c>
      <c r="E5" s="1313"/>
      <c r="F5" s="789"/>
      <c r="G5" s="1313"/>
      <c r="H5" s="790"/>
      <c r="I5" s="560"/>
      <c r="J5" s="190" t="s">
        <v>631</v>
      </c>
      <c r="K5" s="256">
        <v>2.1480000000000001</v>
      </c>
      <c r="L5" s="256">
        <v>2.1480000000000001</v>
      </c>
      <c r="M5" s="256">
        <v>11.65</v>
      </c>
      <c r="N5" s="256">
        <v>4.7569999999999997</v>
      </c>
      <c r="O5" s="256">
        <v>9.2439999999999998</v>
      </c>
      <c r="P5" s="256">
        <v>-7</v>
      </c>
      <c r="Q5" s="256">
        <v>6.3520000000000003</v>
      </c>
      <c r="R5" s="1231">
        <v>-6</v>
      </c>
      <c r="S5" s="1137">
        <v>15.744999999999999</v>
      </c>
      <c r="T5" s="1232">
        <v>6.3520000000000003</v>
      </c>
      <c r="U5" s="35" t="s">
        <v>487</v>
      </c>
      <c r="V5" s="1252">
        <f t="shared" ref="V5:AB5" si="6">IF(K5="","",IF(K6="",10^K5,(IF(K7="",10^K6,(IF(K8="",10^K7,(IF(K9="",10^K8,(IF(K10="",10^K9,10^K10))))))))))</f>
        <v>2238721138568.3457</v>
      </c>
      <c r="W5" s="106">
        <f t="shared" si="6"/>
        <v>2238721138568.3457</v>
      </c>
      <c r="X5" s="106">
        <f t="shared" si="6"/>
        <v>446683592150.96417</v>
      </c>
      <c r="Y5" s="106">
        <f t="shared" si="6"/>
        <v>57147.863667186728</v>
      </c>
      <c r="Z5" s="106">
        <f t="shared" si="6"/>
        <v>1753880501.8417609</v>
      </c>
      <c r="AA5" s="106">
        <f t="shared" si="6"/>
        <v>9.9999999999999995E-8</v>
      </c>
      <c r="AB5" s="103">
        <f t="shared" si="6"/>
        <v>21330449131.465843</v>
      </c>
      <c r="AC5" s="70">
        <f>IF(R5="","",IF(R6="",10^R5,10^R6))</f>
        <v>9.9999999999999995E-7</v>
      </c>
      <c r="AD5" s="201">
        <f>IF(S5="","",IF(S6="",10^S5,10^S6))</f>
        <v>5559042572704029</v>
      </c>
      <c r="AE5" s="109">
        <f>IF(T5="","",IF(T6="",10^T5,10^T6))</f>
        <v>21330449131.465843</v>
      </c>
      <c r="AF5" s="189" t="s">
        <v>581</v>
      </c>
      <c r="AG5" s="241">
        <f>IF(VLOOKUP(K$2,Database!$B$22:$N$301,4)="","",VLOOKUP(K$2,Database!$B$22:$N$301,4))</f>
        <v>2.1480000000000001</v>
      </c>
      <c r="AH5" s="363">
        <f>IF(VLOOKUP(L$2,Database!$B$22:$N$301,4)="","",VLOOKUP(L$2,Database!$B$22:$N$301,4))</f>
        <v>2.1480000000000001</v>
      </c>
      <c r="AI5" s="363">
        <f>IF(VLOOKUP(M$2,Database!$B$22:$N$301,4)="","",VLOOKUP(M$2,Database!$B$22:$N$301,4))</f>
        <v>11.65</v>
      </c>
      <c r="AJ5" s="363">
        <f>IF(VLOOKUP(N$2,Database!$B$22:$N$301,4)="","",VLOOKUP(N$2,Database!$B$22:$N$301,4))</f>
        <v>4.7569999999999997</v>
      </c>
      <c r="AK5" s="363">
        <f>IF(VLOOKUP(O$2,Database!$B$22:$N$301,4)="","",VLOOKUP(O$2,Database!$B$22:$N$301,4))</f>
        <v>9.2439999999999998</v>
      </c>
      <c r="AL5" s="363">
        <f>IF(VLOOKUP(P$2,Database!$B$22:$N$301,4)="","",VLOOKUP(P$2,Database!$B$22:$N$301,4))</f>
        <v>-7</v>
      </c>
      <c r="AM5" s="364">
        <f>IF(VLOOKUP(Q$2,Database!$B$22:$N$301,4)="","",VLOOKUP(Q$2,Database!$B$22:$N$301,4))</f>
        <v>6.3520000000000003</v>
      </c>
      <c r="AN5" s="29"/>
      <c r="AO5" s="29"/>
      <c r="AP5" s="29"/>
      <c r="AQ5" s="29"/>
      <c r="AR5" s="29"/>
      <c r="AS5" s="29"/>
      <c r="AT5" s="29"/>
      <c r="AU5" s="29"/>
      <c r="AV5" s="29"/>
      <c r="AW5" s="29"/>
      <c r="AX5" s="29"/>
      <c r="AY5" s="29"/>
      <c r="AZ5" s="29"/>
      <c r="BA5" s="29"/>
      <c r="BB5" s="29"/>
      <c r="BC5" s="29"/>
      <c r="BD5" s="29"/>
      <c r="BE5" s="29"/>
      <c r="BF5" s="29"/>
      <c r="BG5" s="29"/>
      <c r="BH5" s="29"/>
      <c r="BI5" s="29"/>
      <c r="BJ5" s="29"/>
      <c r="BK5" s="29"/>
      <c r="BL5" s="29"/>
      <c r="BM5" s="29"/>
      <c r="BN5" s="29"/>
      <c r="BO5" s="29"/>
      <c r="BP5" s="29"/>
      <c r="BQ5" s="29"/>
      <c r="BR5" s="29"/>
      <c r="BS5" s="29"/>
      <c r="BT5" s="29"/>
      <c r="BU5" s="29"/>
      <c r="BV5" s="29"/>
      <c r="BW5" s="29"/>
      <c r="BX5" s="29"/>
      <c r="BY5" s="29"/>
      <c r="BZ5" s="29"/>
    </row>
    <row r="6" spans="1:78" ht="15" customHeight="1" thickBot="1">
      <c r="A6" s="1295" t="s">
        <v>878</v>
      </c>
      <c r="B6" s="788"/>
      <c r="C6" s="789">
        <v>1.8E-3</v>
      </c>
      <c r="D6" s="791"/>
      <c r="E6" s="791"/>
      <c r="F6" s="791"/>
      <c r="G6" s="791"/>
      <c r="H6" s="1315"/>
      <c r="I6" s="560"/>
      <c r="J6" s="190" t="s">
        <v>632</v>
      </c>
      <c r="K6" s="256">
        <v>7.1989999999999998</v>
      </c>
      <c r="L6" s="256">
        <v>7.1989999999999998</v>
      </c>
      <c r="M6" s="256" t="s">
        <v>588</v>
      </c>
      <c r="N6" s="256" t="s">
        <v>588</v>
      </c>
      <c r="O6" s="256" t="s">
        <v>588</v>
      </c>
      <c r="P6" s="256" t="s">
        <v>588</v>
      </c>
      <c r="Q6" s="256">
        <v>10.329000000000001</v>
      </c>
      <c r="R6" s="1233"/>
      <c r="S6" s="1234"/>
      <c r="T6" s="1235">
        <v>10.329000000000001</v>
      </c>
      <c r="U6" s="35" t="s">
        <v>489</v>
      </c>
      <c r="V6" s="105">
        <f t="shared" ref="V6:AB6" si="7">IF(K6="","",IF(K7="",V5*10^K5,(IF(K8="",V5*10^K6,(IF(K9="",V5*10^K7,(IF(K10="",V5*10^K8,V5*10^K9))))))))</f>
        <v>3.539973410834362E+19</v>
      </c>
      <c r="W6" s="106">
        <f t="shared" si="7"/>
        <v>3.539973410834362E+19</v>
      </c>
      <c r="X6" s="106" t="str">
        <f t="shared" si="7"/>
        <v/>
      </c>
      <c r="Y6" s="106" t="str">
        <f t="shared" si="7"/>
        <v/>
      </c>
      <c r="Z6" s="106" t="str">
        <f t="shared" si="7"/>
        <v/>
      </c>
      <c r="AA6" s="106" t="str">
        <f t="shared" si="7"/>
        <v/>
      </c>
      <c r="AB6" s="107">
        <f t="shared" si="7"/>
        <v>4.7973344863669224E+16</v>
      </c>
      <c r="AC6" s="70" t="str">
        <f>IF(R6="","",AC5*10^R5)</f>
        <v/>
      </c>
      <c r="AD6" s="70" t="str">
        <f>IF(S6="","",AD5*10^S5)</f>
        <v/>
      </c>
      <c r="AE6" s="109">
        <f>IF(T6="","",AE5*10^T5)</f>
        <v>4.7973344863669224E+16</v>
      </c>
      <c r="AF6" s="190" t="s">
        <v>582</v>
      </c>
      <c r="AG6" s="234">
        <f>IF(VLOOKUP(K$2,Database!$B$22:$N$301,5)="","",VLOOKUP(K$2,Database!$B$22:$N$301,5))</f>
        <v>7.1989999999999998</v>
      </c>
      <c r="AH6" s="235">
        <f>IF(VLOOKUP(L$2,Database!$B$22:$N$301,5)="","",VLOOKUP(L$2,Database!$B$22:$N$301,5))</f>
        <v>7.1989999999999998</v>
      </c>
      <c r="AI6" s="235" t="str">
        <f>IF(VLOOKUP(M$2,Database!$B$22:$N$301,5)="","",VLOOKUP(M$2,Database!$B$22:$N$301,5))</f>
        <v/>
      </c>
      <c r="AJ6" s="235" t="str">
        <f>IF(VLOOKUP(N$2,Database!$B$22:$N$301,5)="","",VLOOKUP(N$2,Database!$B$22:$N$301,5))</f>
        <v/>
      </c>
      <c r="AK6" s="235" t="str">
        <f>IF(VLOOKUP(O$2,Database!$B$22:$N$301,5)="","",VLOOKUP(O$2,Database!$B$22:$N$301,5))</f>
        <v/>
      </c>
      <c r="AL6" s="235" t="str">
        <f>IF(VLOOKUP(P$2,Database!$B$22:$N$301,5)="","",VLOOKUP(P$2,Database!$B$22:$N$301,5))</f>
        <v/>
      </c>
      <c r="AM6" s="236">
        <f>IF(VLOOKUP(Q$2,Database!$B$22:$N$301,5)="","",VLOOKUP(Q$2,Database!$B$22:$N$301,5))</f>
        <v>10.329000000000001</v>
      </c>
      <c r="AN6" s="29"/>
      <c r="AO6" s="29"/>
      <c r="AP6" s="29"/>
      <c r="AQ6" s="29"/>
      <c r="AR6" s="29"/>
      <c r="AS6" s="29"/>
      <c r="AT6" s="29"/>
      <c r="AU6" s="29"/>
      <c r="AV6" s="29"/>
      <c r="AW6" s="29"/>
      <c r="AX6" s="29"/>
      <c r="AY6" s="29"/>
      <c r="AZ6" s="29"/>
      <c r="BA6" s="29"/>
      <c r="BB6" s="29"/>
      <c r="BC6" s="29"/>
      <c r="BD6" s="29"/>
      <c r="BE6" s="29"/>
      <c r="BF6" s="29"/>
      <c r="BG6" s="29"/>
      <c r="BH6" s="29"/>
      <c r="BI6" s="29"/>
      <c r="BJ6" s="29"/>
      <c r="BK6" s="29"/>
      <c r="BL6" s="29"/>
      <c r="BM6" s="29"/>
      <c r="BN6" s="29"/>
      <c r="BO6" s="29"/>
      <c r="BP6" s="29"/>
      <c r="BQ6" s="29"/>
      <c r="BR6" s="29"/>
      <c r="BS6" s="29"/>
      <c r="BT6" s="29"/>
      <c r="BU6" s="29"/>
      <c r="BV6" s="29"/>
      <c r="BW6" s="29"/>
      <c r="BX6" s="29"/>
      <c r="BY6" s="29"/>
      <c r="BZ6" s="29"/>
    </row>
    <row r="7" spans="1:78" ht="15" customHeight="1" thickBot="1">
      <c r="A7" s="1295" t="s">
        <v>879</v>
      </c>
      <c r="B7" s="1312"/>
      <c r="C7" s="1313">
        <v>0</v>
      </c>
      <c r="D7" s="791"/>
      <c r="E7" s="791"/>
      <c r="F7" s="791"/>
      <c r="G7" s="791"/>
      <c r="H7" s="792"/>
      <c r="I7" s="560"/>
      <c r="J7" s="190" t="s">
        <v>633</v>
      </c>
      <c r="K7" s="256">
        <v>12.35</v>
      </c>
      <c r="L7" s="256">
        <v>12.35</v>
      </c>
      <c r="M7" s="256" t="s">
        <v>588</v>
      </c>
      <c r="N7" s="256" t="s">
        <v>588</v>
      </c>
      <c r="O7" s="256" t="s">
        <v>588</v>
      </c>
      <c r="P7" s="256" t="s">
        <v>588</v>
      </c>
      <c r="Q7" s="258" t="s">
        <v>588</v>
      </c>
      <c r="R7" s="1241"/>
      <c r="S7" s="1242"/>
      <c r="T7" s="1243"/>
      <c r="U7" s="104" t="s">
        <v>491</v>
      </c>
      <c r="V7" s="105">
        <f t="shared" ref="V7:AB7" si="8">IF(K7="","",IF(K8="",V6*10^K5,(IF(K9="",V6*10^K6,(IF(K10="",V6*10^K7,V6*10^K8))))))</f>
        <v>4.9773708497893867E+21</v>
      </c>
      <c r="W7" s="106">
        <f t="shared" si="8"/>
        <v>4.9773708497893867E+21</v>
      </c>
      <c r="X7" s="106" t="str">
        <f t="shared" si="8"/>
        <v/>
      </c>
      <c r="Y7" s="106" t="str">
        <f t="shared" si="8"/>
        <v/>
      </c>
      <c r="Z7" s="106" t="str">
        <f t="shared" si="8"/>
        <v/>
      </c>
      <c r="AA7" s="106" t="str">
        <f t="shared" si="8"/>
        <v/>
      </c>
      <c r="AB7" s="107" t="str">
        <f t="shared" si="8"/>
        <v/>
      </c>
      <c r="AC7" s="106"/>
      <c r="AD7" s="106"/>
      <c r="AE7" s="109"/>
      <c r="AF7" s="190" t="s">
        <v>583</v>
      </c>
      <c r="AG7" s="234">
        <f>IF(VLOOKUP(K$2,Database!$B$22:$N$301,6)="","",VLOOKUP(K$2,Database!$B$22:$N$301,6))</f>
        <v>12.35</v>
      </c>
      <c r="AH7" s="235">
        <f>IF(VLOOKUP(L$2,Database!$B$22:$N$301,6)="","",VLOOKUP(L$2,Database!$B$22:$N$301,6))</f>
        <v>12.35</v>
      </c>
      <c r="AI7" s="235" t="str">
        <f>IF(VLOOKUP(M$2,Database!$B$22:$N$301,6)="","",VLOOKUP(M$2,Database!$B$22:$N$301,6))</f>
        <v/>
      </c>
      <c r="AJ7" s="235" t="str">
        <f>IF(VLOOKUP(N$2,Database!$B$22:$N$301,6)="","",VLOOKUP(N$2,Database!$B$22:$N$301,6))</f>
        <v/>
      </c>
      <c r="AK7" s="235" t="str">
        <f>IF(VLOOKUP(O$2,Database!$B$22:$N$301,6)="","",VLOOKUP(O$2,Database!$B$22:$N$301,6))</f>
        <v/>
      </c>
      <c r="AL7" s="235" t="str">
        <f>IF(VLOOKUP(P$2,Database!$B$22:$N$301,6)="","",VLOOKUP(P$2,Database!$B$22:$N$301,6))</f>
        <v/>
      </c>
      <c r="AM7" s="236" t="str">
        <f>IF(VLOOKUP(Q$2,Database!$B$22:$N$301,6)="","",VLOOKUP(Q$2,Database!$B$22:$N$301,6))</f>
        <v/>
      </c>
      <c r="AN7" s="29"/>
      <c r="AO7" s="29"/>
      <c r="AP7" s="29"/>
      <c r="AQ7" s="29"/>
      <c r="AR7" s="29"/>
      <c r="AS7" s="29"/>
      <c r="AT7" s="29"/>
      <c r="AU7" s="29"/>
      <c r="AV7" s="29"/>
      <c r="AW7" s="29"/>
      <c r="AX7" s="29"/>
      <c r="AY7" s="29"/>
      <c r="AZ7" s="29"/>
      <c r="BA7" s="29"/>
      <c r="BB7" s="29"/>
      <c r="BC7" s="29"/>
      <c r="BD7" s="29"/>
      <c r="BE7" s="29"/>
      <c r="BF7" s="29"/>
      <c r="BG7" s="29"/>
      <c r="BH7" s="29"/>
      <c r="BI7" s="29"/>
      <c r="BJ7" s="29"/>
      <c r="BK7" s="29"/>
      <c r="BL7" s="29"/>
      <c r="BM7" s="29"/>
      <c r="BN7" s="29"/>
      <c r="BO7" s="29"/>
      <c r="BP7" s="29"/>
      <c r="BQ7" s="29"/>
      <c r="BR7" s="29"/>
      <c r="BS7" s="29"/>
      <c r="BT7" s="29"/>
      <c r="BU7" s="29"/>
      <c r="BV7" s="29"/>
      <c r="BW7" s="29"/>
      <c r="BX7" s="29"/>
      <c r="BY7" s="29"/>
      <c r="BZ7" s="29"/>
    </row>
    <row r="8" spans="1:78" ht="15" customHeight="1">
      <c r="A8" s="1295" t="s">
        <v>880</v>
      </c>
      <c r="B8" s="1378"/>
      <c r="C8" s="791"/>
      <c r="D8" s="791"/>
      <c r="E8" s="793"/>
      <c r="F8" s="793"/>
      <c r="G8" s="793"/>
      <c r="H8" s="792"/>
      <c r="I8" s="560"/>
      <c r="J8" s="190" t="s">
        <v>634</v>
      </c>
      <c r="K8" s="256" t="s">
        <v>588</v>
      </c>
      <c r="L8" s="256" t="s">
        <v>588</v>
      </c>
      <c r="M8" s="256" t="s">
        <v>588</v>
      </c>
      <c r="N8" s="256" t="s">
        <v>588</v>
      </c>
      <c r="O8" s="256" t="s">
        <v>588</v>
      </c>
      <c r="P8" s="256" t="s">
        <v>588</v>
      </c>
      <c r="Q8" s="258" t="s">
        <v>588</v>
      </c>
      <c r="R8" s="746"/>
      <c r="S8" s="746"/>
      <c r="T8" s="753"/>
      <c r="U8" s="104" t="s">
        <v>493</v>
      </c>
      <c r="V8" s="105" t="str">
        <f t="shared" ref="V8:AB8" si="9">IF(K8="","",IF(K9="",V7*10^K5,(IF(K10="",V7*10^K6,V7*10^K7))))</f>
        <v/>
      </c>
      <c r="W8" s="106" t="str">
        <f t="shared" si="9"/>
        <v/>
      </c>
      <c r="X8" s="106" t="str">
        <f t="shared" si="9"/>
        <v/>
      </c>
      <c r="Y8" s="106" t="str">
        <f t="shared" si="9"/>
        <v/>
      </c>
      <c r="Z8" s="106" t="str">
        <f t="shared" si="9"/>
        <v/>
      </c>
      <c r="AA8" s="106" t="str">
        <f t="shared" si="9"/>
        <v/>
      </c>
      <c r="AB8" s="107" t="str">
        <f t="shared" si="9"/>
        <v/>
      </c>
      <c r="AC8" s="106"/>
      <c r="AD8" s="106"/>
      <c r="AE8" s="108"/>
      <c r="AF8" s="190" t="s">
        <v>584</v>
      </c>
      <c r="AG8" s="234" t="str">
        <f>IF(VLOOKUP(K$2,Database!$B$22:$N$301,7)="","",VLOOKUP(K$2,Database!$B$22:$N$301,7))</f>
        <v/>
      </c>
      <c r="AH8" s="235" t="str">
        <f>IF(VLOOKUP(L$2,Database!$B$22:$N$301,7)="","",VLOOKUP(L$2,Database!$B$22:$N$301,7))</f>
        <v/>
      </c>
      <c r="AI8" s="235" t="str">
        <f>IF(VLOOKUP(M$2,Database!$B$22:$N$301,7)="","",VLOOKUP(M$2,Database!$B$22:$N$301,7))</f>
        <v/>
      </c>
      <c r="AJ8" s="235" t="str">
        <f>IF(VLOOKUP(N$2,Database!$B$22:$N$301,7)="","",VLOOKUP(N$2,Database!$B$22:$N$301,7))</f>
        <v/>
      </c>
      <c r="AK8" s="235" t="str">
        <f>IF(VLOOKUP(O$2,Database!$B$22:$N$301,7)="","",VLOOKUP(O$2,Database!$B$22:$N$301,7))</f>
        <v/>
      </c>
      <c r="AL8" s="235" t="str">
        <f>IF(VLOOKUP(P$2,Database!$B$22:$N$301,7)="","",VLOOKUP(P$2,Database!$B$22:$N$301,7))</f>
        <v/>
      </c>
      <c r="AM8" s="236" t="str">
        <f>IF(VLOOKUP(Q$2,Database!$B$22:$N$301,7)="","",VLOOKUP(Q$2,Database!$B$22:$N$301,7))</f>
        <v/>
      </c>
      <c r="AN8" s="29"/>
      <c r="AO8" s="29"/>
      <c r="AP8" s="29"/>
      <c r="AQ8" s="29"/>
      <c r="AR8" s="29"/>
      <c r="AS8" s="29"/>
      <c r="AT8" s="29"/>
      <c r="AU8" s="29"/>
      <c r="AV8" s="29"/>
      <c r="AW8" s="29"/>
      <c r="AX8" s="29"/>
      <c r="AY8" s="29"/>
      <c r="AZ8" s="29"/>
      <c r="BA8" s="29"/>
      <c r="BB8" s="29"/>
      <c r="BC8" s="29"/>
      <c r="BD8" s="29"/>
      <c r="BE8" s="29"/>
      <c r="BF8" s="29"/>
      <c r="BG8" s="29"/>
      <c r="BH8" s="29"/>
      <c r="BI8" s="29"/>
      <c r="BJ8" s="29"/>
      <c r="BK8" s="29"/>
      <c r="BL8" s="29"/>
      <c r="BM8" s="29"/>
      <c r="BN8" s="29"/>
      <c r="BO8" s="29"/>
      <c r="BP8" s="29"/>
      <c r="BQ8" s="29"/>
      <c r="BR8" s="29"/>
      <c r="BS8" s="29"/>
      <c r="BT8" s="29"/>
      <c r="BU8" s="29"/>
      <c r="BV8" s="29"/>
      <c r="BW8" s="29"/>
      <c r="BX8" s="29"/>
      <c r="BY8" s="29"/>
      <c r="BZ8" s="29"/>
    </row>
    <row r="9" spans="1:78" ht="15" customHeight="1">
      <c r="A9" s="1295" t="s">
        <v>881</v>
      </c>
      <c r="B9" s="1378"/>
      <c r="C9" s="791"/>
      <c r="D9" s="791"/>
      <c r="E9" s="793"/>
      <c r="F9" s="793"/>
      <c r="G9" s="793"/>
      <c r="H9" s="792"/>
      <c r="I9" s="1284" t="s">
        <v>348</v>
      </c>
      <c r="J9" s="190" t="s">
        <v>635</v>
      </c>
      <c r="K9" s="256" t="s">
        <v>588</v>
      </c>
      <c r="L9" s="256" t="s">
        <v>588</v>
      </c>
      <c r="M9" s="256" t="s">
        <v>588</v>
      </c>
      <c r="N9" s="256" t="s">
        <v>588</v>
      </c>
      <c r="O9" s="256" t="s">
        <v>588</v>
      </c>
      <c r="P9" s="256" t="s">
        <v>588</v>
      </c>
      <c r="Q9" s="258" t="s">
        <v>588</v>
      </c>
      <c r="R9" s="746"/>
      <c r="S9" s="746"/>
      <c r="T9" s="753"/>
      <c r="U9" s="104" t="s">
        <v>495</v>
      </c>
      <c r="V9" s="105" t="str">
        <f t="shared" ref="V9:AB9" si="10">IF(K9="","",IF(K10="",V8*10^K5,V8*10^K6))</f>
        <v/>
      </c>
      <c r="W9" s="106" t="str">
        <f t="shared" si="10"/>
        <v/>
      </c>
      <c r="X9" s="106" t="str">
        <f t="shared" si="10"/>
        <v/>
      </c>
      <c r="Y9" s="106" t="str">
        <f t="shared" si="10"/>
        <v/>
      </c>
      <c r="Z9" s="106" t="str">
        <f t="shared" si="10"/>
        <v/>
      </c>
      <c r="AA9" s="106" t="str">
        <f t="shared" si="10"/>
        <v/>
      </c>
      <c r="AB9" s="107" t="str">
        <f t="shared" si="10"/>
        <v/>
      </c>
      <c r="AC9" s="106"/>
      <c r="AD9" s="106"/>
      <c r="AE9" s="108"/>
      <c r="AF9" s="190" t="s">
        <v>585</v>
      </c>
      <c r="AG9" s="234" t="str">
        <f>IF(VLOOKUP(K$2,Database!$B$22:$N$301,8)="","",VLOOKUP(K$2,Database!$B$22:$N$301,8))</f>
        <v/>
      </c>
      <c r="AH9" s="235" t="str">
        <f>IF(VLOOKUP(L$2,Database!$B$22:$N$301,8)="","",VLOOKUP(L$2,Database!$B$22:$N$301,8))</f>
        <v/>
      </c>
      <c r="AI9" s="235" t="str">
        <f>IF(VLOOKUP(M$2,Database!$B$22:$N$301,8)="","",VLOOKUP(M$2,Database!$B$22:$N$301,8))</f>
        <v/>
      </c>
      <c r="AJ9" s="235" t="str">
        <f>IF(VLOOKUP(N$2,Database!$B$22:$N$301,8)="","",VLOOKUP(N$2,Database!$B$22:$N$301,8))</f>
        <v/>
      </c>
      <c r="AK9" s="235" t="str">
        <f>IF(VLOOKUP(O$2,Database!$B$22:$N$301,8)="","",VLOOKUP(O$2,Database!$B$22:$N$301,8))</f>
        <v/>
      </c>
      <c r="AL9" s="235" t="str">
        <f>IF(VLOOKUP(P$2,Database!$B$22:$N$301,8)="","",VLOOKUP(P$2,Database!$B$22:$N$301,8))</f>
        <v/>
      </c>
      <c r="AM9" s="236" t="str">
        <f>IF(VLOOKUP(Q$2,Database!$B$22:$N$301,8)="","",VLOOKUP(Q$2,Database!$B$22:$N$301,8))</f>
        <v/>
      </c>
      <c r="AN9" s="29"/>
      <c r="AO9" s="29"/>
      <c r="AP9" s="29"/>
      <c r="AQ9" s="29"/>
      <c r="AR9" s="29"/>
      <c r="AS9" s="29"/>
      <c r="AT9" s="29"/>
      <c r="AU9" s="29"/>
      <c r="AV9" s="29"/>
      <c r="AW9" s="29"/>
      <c r="AX9" s="29"/>
      <c r="AY9" s="29"/>
      <c r="AZ9" s="29"/>
      <c r="BA9" s="29"/>
      <c r="BB9" s="29"/>
      <c r="BC9" s="29"/>
      <c r="BD9" s="29"/>
      <c r="BE9" s="29"/>
      <c r="BF9" s="29"/>
      <c r="BG9" s="29"/>
      <c r="BH9" s="29"/>
      <c r="BI9" s="29"/>
      <c r="BJ9" s="29"/>
      <c r="BK9" s="29"/>
      <c r="BL9" s="29"/>
      <c r="BM9" s="29"/>
      <c r="BN9" s="29"/>
      <c r="BO9" s="29"/>
      <c r="BP9" s="29"/>
      <c r="BQ9" s="29"/>
      <c r="BR9" s="29"/>
      <c r="BS9" s="29"/>
      <c r="BT9" s="29"/>
      <c r="BU9" s="29"/>
      <c r="BV9" s="29"/>
      <c r="BW9" s="29"/>
      <c r="BX9" s="29"/>
      <c r="BY9" s="29"/>
      <c r="BZ9" s="29"/>
    </row>
    <row r="10" spans="1:78" ht="15" customHeight="1" thickBot="1">
      <c r="A10" s="1295" t="s">
        <v>882</v>
      </c>
      <c r="B10" s="1379"/>
      <c r="C10" s="1307"/>
      <c r="D10" s="1307"/>
      <c r="E10" s="1307"/>
      <c r="F10" s="1307"/>
      <c r="G10" s="1307"/>
      <c r="H10" s="1308"/>
      <c r="I10" s="1297" t="s">
        <v>345</v>
      </c>
      <c r="J10" s="1130" t="s">
        <v>636</v>
      </c>
      <c r="K10" s="256" t="s">
        <v>588</v>
      </c>
      <c r="L10" s="256" t="s">
        <v>588</v>
      </c>
      <c r="M10" s="256" t="s">
        <v>588</v>
      </c>
      <c r="N10" s="256" t="s">
        <v>588</v>
      </c>
      <c r="O10" s="256" t="s">
        <v>588</v>
      </c>
      <c r="P10" s="256" t="s">
        <v>588</v>
      </c>
      <c r="Q10" s="258" t="s">
        <v>588</v>
      </c>
      <c r="R10" s="746"/>
      <c r="S10" s="746"/>
      <c r="T10" s="753"/>
      <c r="U10" s="1249" t="s">
        <v>497</v>
      </c>
      <c r="V10" s="188" t="str">
        <f t="shared" ref="V10:AB10" si="11">IF(K10="","",V9*10^K5)</f>
        <v/>
      </c>
      <c r="W10" s="106" t="str">
        <f t="shared" si="11"/>
        <v/>
      </c>
      <c r="X10" s="106" t="str">
        <f t="shared" si="11"/>
        <v/>
      </c>
      <c r="Y10" s="106" t="str">
        <f t="shared" si="11"/>
        <v/>
      </c>
      <c r="Z10" s="106" t="str">
        <f t="shared" si="11"/>
        <v/>
      </c>
      <c r="AA10" s="106" t="str">
        <f t="shared" si="11"/>
        <v/>
      </c>
      <c r="AB10" s="107" t="str">
        <f t="shared" si="11"/>
        <v/>
      </c>
      <c r="AC10" s="106"/>
      <c r="AD10" s="106"/>
      <c r="AE10" s="108"/>
      <c r="AF10" s="191" t="s">
        <v>586</v>
      </c>
      <c r="AG10" s="234" t="str">
        <f>IF(VLOOKUP(K$2,Database!$B$22:$N$301,9)="","",VLOOKUP(K$2,Database!$B$22:$N$301,9))</f>
        <v/>
      </c>
      <c r="AH10" s="235" t="str">
        <f>IF(VLOOKUP(L$2,Database!$B$22:$N$301,9)="","",VLOOKUP(L$2,Database!$B$22:$N$301,9))</f>
        <v/>
      </c>
      <c r="AI10" s="235" t="str">
        <f>IF(VLOOKUP(M$2,Database!$B$22:$N$301,9)="","",VLOOKUP(M$2,Database!$B$22:$N$301,9))</f>
        <v/>
      </c>
      <c r="AJ10" s="235" t="str">
        <f>IF(VLOOKUP(N$2,Database!$B$22:$N$301,9)="","",VLOOKUP(N$2,Database!$B$22:$N$301,9))</f>
        <v/>
      </c>
      <c r="AK10" s="235" t="str">
        <f>IF(VLOOKUP(O$2,Database!$B$22:$N$301,9)="","",VLOOKUP(O$2,Database!$B$22:$N$301,9))</f>
        <v/>
      </c>
      <c r="AL10" s="235" t="str">
        <f>IF(VLOOKUP(P$2,Database!$B$22:$N$301,9)="","",VLOOKUP(P$2,Database!$B$22:$N$301,9))</f>
        <v/>
      </c>
      <c r="AM10" s="236" t="str">
        <f>IF(VLOOKUP(Q$2,Database!$B$22:$N$301,9)="","",VLOOKUP(Q$2,Database!$B$22:$N$301,9))</f>
        <v/>
      </c>
      <c r="AN10" s="29"/>
      <c r="AO10" s="29"/>
      <c r="AP10" s="29"/>
      <c r="AQ10" s="29"/>
      <c r="AR10" s="29"/>
      <c r="AS10" s="29"/>
      <c r="AT10" s="29"/>
      <c r="AU10" s="29"/>
      <c r="AV10" s="29"/>
      <c r="AW10" s="29"/>
      <c r="AX10" s="29"/>
      <c r="AY10" s="29"/>
      <c r="AZ10" s="29"/>
      <c r="BA10" s="29"/>
      <c r="BB10" s="29"/>
      <c r="BC10" s="29"/>
      <c r="BD10" s="29"/>
      <c r="BE10" s="29"/>
      <c r="BF10" s="29"/>
      <c r="BG10" s="29"/>
      <c r="BH10" s="29"/>
      <c r="BI10" s="29"/>
      <c r="BJ10" s="29"/>
      <c r="BK10" s="29"/>
      <c r="BL10" s="29"/>
      <c r="BM10" s="29"/>
      <c r="BN10" s="29"/>
      <c r="BO10" s="29"/>
      <c r="BP10" s="29"/>
      <c r="BQ10" s="29"/>
      <c r="BR10" s="29"/>
      <c r="BS10" s="29"/>
      <c r="BT10" s="29"/>
      <c r="BU10" s="29"/>
      <c r="BV10" s="29"/>
      <c r="BW10" s="29"/>
      <c r="BX10" s="29"/>
      <c r="BY10" s="29"/>
      <c r="BZ10" s="29"/>
    </row>
    <row r="11" spans="1:78" ht="15" customHeight="1" thickTop="1" thickBot="1">
      <c r="A11" s="794" t="s">
        <v>883</v>
      </c>
      <c r="B11" s="799">
        <f>SUM(B4:B10)</f>
        <v>0.01</v>
      </c>
      <c r="C11" s="800">
        <f t="shared" ref="C11:H11" si="12">SUM(C4:C10)</f>
        <v>1.8E-3</v>
      </c>
      <c r="D11" s="800">
        <f t="shared" si="12"/>
        <v>1.47</v>
      </c>
      <c r="E11" s="800">
        <f t="shared" si="12"/>
        <v>0</v>
      </c>
      <c r="F11" s="800">
        <f t="shared" si="12"/>
        <v>0</v>
      </c>
      <c r="G11" s="800">
        <f t="shared" si="12"/>
        <v>0</v>
      </c>
      <c r="H11" s="801">
        <f t="shared" si="12"/>
        <v>0</v>
      </c>
      <c r="I11" s="797">
        <f>SUM(B11:H11)</f>
        <v>1.4818</v>
      </c>
      <c r="J11" s="115" t="s">
        <v>335</v>
      </c>
      <c r="K11" s="1244">
        <v>13.997</v>
      </c>
      <c r="L11" s="1245"/>
      <c r="M11" s="1246"/>
      <c r="N11" s="1246"/>
      <c r="O11" s="1246"/>
      <c r="P11" s="1247"/>
      <c r="Q11" s="1248"/>
      <c r="R11" s="1236"/>
      <c r="S11" s="747"/>
      <c r="T11" s="754"/>
      <c r="U11" s="1250" t="s">
        <v>336</v>
      </c>
      <c r="V11" s="1251">
        <f>10^-K11</f>
        <v>1.0069316688518014E-14</v>
      </c>
      <c r="W11" s="370"/>
      <c r="X11" s="370"/>
      <c r="Y11" s="370"/>
      <c r="Z11" s="370"/>
      <c r="AA11" s="370"/>
      <c r="AB11" s="370"/>
      <c r="AC11" s="370"/>
      <c r="AD11" s="370"/>
      <c r="AE11" s="370"/>
      <c r="AF11" s="369"/>
      <c r="AG11" s="371"/>
      <c r="AH11" s="371"/>
      <c r="AI11" s="371"/>
      <c r="AJ11" s="371"/>
      <c r="AK11" s="371"/>
      <c r="AL11" s="371"/>
      <c r="AM11" s="371"/>
      <c r="AN11" s="29"/>
      <c r="AO11" s="29"/>
      <c r="AP11" s="29"/>
      <c r="AQ11" s="29"/>
      <c r="AR11" s="29"/>
      <c r="AS11" s="29"/>
      <c r="AT11" s="29"/>
      <c r="AU11" s="29"/>
      <c r="AV11" s="29"/>
      <c r="AW11" s="29"/>
      <c r="AX11" s="29"/>
      <c r="AY11" s="29"/>
      <c r="AZ11" s="29"/>
      <c r="BA11" s="29"/>
      <c r="BB11" s="29"/>
      <c r="BC11" s="29"/>
      <c r="BD11" s="29"/>
      <c r="BE11" s="29"/>
      <c r="BF11" s="29"/>
      <c r="BG11" s="29"/>
      <c r="BH11" s="29"/>
      <c r="BI11" s="29"/>
      <c r="BJ11" s="29"/>
      <c r="BK11" s="29"/>
      <c r="BL11" s="29"/>
      <c r="BM11" s="29"/>
      <c r="BN11" s="29"/>
      <c r="BO11" s="29"/>
      <c r="BP11" s="29"/>
      <c r="BQ11" s="29"/>
      <c r="BR11" s="29"/>
      <c r="BS11" s="29"/>
      <c r="BT11" s="29"/>
      <c r="BU11" s="29"/>
      <c r="BV11" s="29"/>
      <c r="BW11" s="29"/>
      <c r="BX11" s="29"/>
      <c r="BY11" s="29"/>
      <c r="BZ11" s="29"/>
    </row>
    <row r="12" spans="1:78" ht="15" customHeight="1" thickTop="1">
      <c r="A12" s="798" t="s">
        <v>884</v>
      </c>
      <c r="B12" s="799">
        <f>B5+2*B6+3*B7+4*B8+5*B9+6*B10</f>
        <v>0.01</v>
      </c>
      <c r="C12" s="800">
        <f t="shared" ref="C12:H12" si="13">C5+2*C6+3*C7+4*C8+5*C9+6*C10</f>
        <v>3.5999999999999999E-3</v>
      </c>
      <c r="D12" s="800">
        <f t="shared" si="13"/>
        <v>1.47</v>
      </c>
      <c r="E12" s="800">
        <f t="shared" si="13"/>
        <v>0</v>
      </c>
      <c r="F12" s="800">
        <f t="shared" si="13"/>
        <v>0</v>
      </c>
      <c r="G12" s="800">
        <f t="shared" si="13"/>
        <v>0</v>
      </c>
      <c r="H12" s="801">
        <f t="shared" si="13"/>
        <v>0</v>
      </c>
      <c r="I12" s="802">
        <f>SUM(B12:H12)</f>
        <v>1.4836</v>
      </c>
      <c r="J12" s="926"/>
      <c r="K12" s="369"/>
      <c r="L12" s="369"/>
      <c r="M12" s="369"/>
      <c r="N12" s="369"/>
      <c r="O12" s="369"/>
      <c r="P12" s="369"/>
      <c r="Q12" s="29"/>
      <c r="R12" s="29"/>
      <c r="S12" s="29"/>
      <c r="T12" s="29"/>
      <c r="U12" s="29"/>
      <c r="V12" s="29"/>
      <c r="W12" s="29"/>
      <c r="X12" s="29"/>
      <c r="Y12" s="29"/>
      <c r="Z12" s="29"/>
      <c r="AA12" s="29"/>
      <c r="AB12" s="29"/>
      <c r="AC12" s="29"/>
      <c r="AD12" s="29"/>
      <c r="AE12" s="29"/>
      <c r="AF12" s="29"/>
      <c r="AG12" s="29"/>
      <c r="AH12" s="29"/>
      <c r="AI12" s="29"/>
      <c r="AJ12" s="29"/>
      <c r="AK12" s="29"/>
      <c r="AL12" s="29"/>
      <c r="AM12" s="29"/>
      <c r="AN12" s="29"/>
      <c r="AO12" s="29"/>
      <c r="AP12" s="29"/>
      <c r="AQ12" s="29"/>
      <c r="AR12" s="29"/>
      <c r="AS12" s="29"/>
      <c r="AT12" s="29"/>
      <c r="AU12" s="29"/>
      <c r="AV12" s="29"/>
      <c r="AW12" s="29"/>
      <c r="AX12" s="29"/>
      <c r="AY12" s="29"/>
      <c r="AZ12" s="29"/>
      <c r="BA12" s="29"/>
      <c r="BB12" s="29"/>
      <c r="BC12" s="29"/>
      <c r="BD12" s="29"/>
      <c r="BE12" s="29"/>
      <c r="BF12" s="29"/>
      <c r="BG12" s="29"/>
      <c r="BH12" s="29"/>
      <c r="BI12" s="29"/>
      <c r="BJ12" s="29"/>
      <c r="BK12" s="29"/>
      <c r="BL12" s="29"/>
      <c r="BM12" s="29"/>
      <c r="BN12" s="29"/>
      <c r="BO12" s="29"/>
      <c r="BP12" s="29"/>
      <c r="BQ12" s="29"/>
      <c r="BR12" s="29"/>
      <c r="BS12" s="29"/>
      <c r="BT12" s="29"/>
      <c r="BU12" s="29"/>
      <c r="BV12" s="29"/>
      <c r="BW12" s="29"/>
      <c r="BX12" s="29"/>
      <c r="BY12" s="29"/>
      <c r="BZ12" s="29"/>
    </row>
    <row r="13" spans="1:78" ht="15" customHeight="1" thickBot="1">
      <c r="A13" s="803" t="s">
        <v>885</v>
      </c>
      <c r="B13" s="804">
        <f>K4*B4+(K4+1)*B5+(K4+2)*B6+(K4+3)*B7+(K4+4)*B8+(K4+5)*B9+(K4+6)*B10</f>
        <v>-0.02</v>
      </c>
      <c r="C13" s="805">
        <f t="shared" ref="C13:H13" si="14">L4*C4+(L4+1)*C5+(L4+2)*C6+(L4+3)*C7+(L4+4)*C8+(L4+5)*C9+(L4+6)*C10</f>
        <v>-1.8E-3</v>
      </c>
      <c r="D13" s="805">
        <f t="shared" si="14"/>
        <v>0</v>
      </c>
      <c r="E13" s="805">
        <f t="shared" si="14"/>
        <v>0</v>
      </c>
      <c r="F13" s="800">
        <f t="shared" si="14"/>
        <v>0</v>
      </c>
      <c r="G13" s="800">
        <f t="shared" si="14"/>
        <v>0</v>
      </c>
      <c r="H13" s="801">
        <f t="shared" si="14"/>
        <v>0</v>
      </c>
      <c r="I13" s="804">
        <f>SUM(B13:H13)</f>
        <v>-2.18E-2</v>
      </c>
      <c r="J13" s="927"/>
      <c r="K13" s="207"/>
      <c r="L13" s="207"/>
      <c r="M13" s="207"/>
      <c r="N13" s="207"/>
      <c r="O13" s="207"/>
      <c r="P13" s="207"/>
      <c r="Q13" s="26"/>
      <c r="R13" s="29"/>
      <c r="S13" s="29"/>
      <c r="T13" s="29"/>
      <c r="U13" s="29"/>
      <c r="V13" s="29"/>
      <c r="W13" s="29"/>
      <c r="X13" s="29"/>
      <c r="Y13" s="29"/>
      <c r="Z13" s="29"/>
      <c r="AA13" s="29"/>
      <c r="AB13" s="29"/>
      <c r="AC13" s="29"/>
      <c r="AD13" s="29"/>
      <c r="AE13" s="29"/>
      <c r="AF13" s="29"/>
      <c r="AG13" s="29"/>
      <c r="AH13" s="29"/>
      <c r="AI13" s="29"/>
      <c r="AJ13" s="29"/>
      <c r="AK13" s="29"/>
      <c r="AL13" s="29"/>
      <c r="AM13" s="29"/>
      <c r="AN13" s="29"/>
      <c r="AO13" s="29"/>
      <c r="AP13" s="29"/>
      <c r="AQ13" s="29"/>
      <c r="AR13" s="29"/>
      <c r="AS13" s="29"/>
      <c r="AT13" s="29"/>
      <c r="AU13" s="29"/>
      <c r="AV13" s="29"/>
      <c r="AW13" s="29"/>
      <c r="AX13" s="29"/>
      <c r="AY13" s="29"/>
      <c r="AZ13" s="29"/>
      <c r="BA13" s="29"/>
      <c r="BB13" s="29"/>
      <c r="BC13" s="29"/>
      <c r="BD13" s="29"/>
      <c r="BE13" s="29"/>
      <c r="BF13" s="29"/>
      <c r="BG13" s="29"/>
      <c r="BH13" s="29"/>
      <c r="BI13" s="29"/>
      <c r="BJ13" s="29"/>
      <c r="BK13" s="29"/>
      <c r="BL13" s="29"/>
      <c r="BM13" s="29"/>
      <c r="BN13" s="29"/>
      <c r="BO13" s="29"/>
      <c r="BP13" s="29"/>
      <c r="BQ13" s="29"/>
      <c r="BR13" s="29"/>
      <c r="BS13" s="29"/>
      <c r="BT13" s="29"/>
      <c r="BU13" s="29"/>
      <c r="BV13" s="29"/>
      <c r="BW13" s="29"/>
      <c r="BX13" s="29"/>
      <c r="BY13" s="29"/>
      <c r="BZ13" s="29"/>
    </row>
    <row r="14" spans="1:78" ht="15" customHeight="1" thickTop="1" thickBot="1">
      <c r="A14" s="766" t="s">
        <v>1015</v>
      </c>
      <c r="B14" s="1002" t="str">
        <f>R3</f>
        <v>Strong ACID</v>
      </c>
      <c r="C14" s="1002" t="str">
        <f>S3</f>
        <v>Strong BASE</v>
      </c>
      <c r="D14" s="1003" t="str">
        <f>T3</f>
        <v>Carbonic ac.</v>
      </c>
      <c r="E14" s="1132" t="s">
        <v>348</v>
      </c>
      <c r="F14" s="806"/>
      <c r="G14" s="1042" t="s">
        <v>1021</v>
      </c>
      <c r="H14" s="807"/>
      <c r="I14" s="1056" t="s">
        <v>970</v>
      </c>
      <c r="J14" s="1053"/>
      <c r="K14" s="1054" t="str">
        <f>IF(K17&lt;&gt;K16, "error: K16&gt;&lt;K17","")</f>
        <v/>
      </c>
      <c r="L14" s="1055" t="str">
        <f>IF(K20&lt;&gt;K19, "error: K19&gt;&lt;K20","")</f>
        <v/>
      </c>
      <c r="M14" s="1351" t="s">
        <v>971</v>
      </c>
      <c r="N14" s="85"/>
      <c r="O14" s="767" t="s">
        <v>596</v>
      </c>
      <c r="P14" s="768"/>
      <c r="Q14" s="26"/>
      <c r="R14" s="29"/>
      <c r="S14" s="29"/>
      <c r="T14" s="29"/>
      <c r="U14" s="29"/>
      <c r="V14" s="29"/>
      <c r="W14" s="29"/>
      <c r="X14" s="29"/>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c r="BM14" s="29"/>
      <c r="BN14" s="29"/>
      <c r="BO14" s="29"/>
      <c r="BP14" s="29"/>
      <c r="BQ14" s="29"/>
      <c r="BR14" s="29"/>
      <c r="BS14" s="29"/>
      <c r="BT14" s="29"/>
      <c r="BU14" s="29"/>
      <c r="BV14" s="29"/>
      <c r="BW14" s="29"/>
      <c r="BX14" s="29"/>
      <c r="BY14" s="29"/>
      <c r="BZ14" s="29"/>
    </row>
    <row r="15" spans="1:78" ht="15" customHeight="1" thickTop="1">
      <c r="A15" s="769" t="s">
        <v>332</v>
      </c>
      <c r="B15" s="770"/>
      <c r="C15" s="771">
        <v>1</v>
      </c>
      <c r="D15" s="772"/>
      <c r="E15" s="1133" t="s">
        <v>1099</v>
      </c>
      <c r="F15" s="808" t="s">
        <v>1018</v>
      </c>
      <c r="G15" s="808" t="s">
        <v>608</v>
      </c>
      <c r="H15" s="808" t="s">
        <v>602</v>
      </c>
      <c r="I15" s="1052" t="s">
        <v>982</v>
      </c>
      <c r="J15" s="815" t="s">
        <v>875</v>
      </c>
      <c r="K15" s="816" t="s">
        <v>985</v>
      </c>
      <c r="L15" s="1353" t="s">
        <v>877</v>
      </c>
      <c r="M15" s="1351" t="s">
        <v>972</v>
      </c>
      <c r="N15" s="113"/>
      <c r="O15" s="773" t="s">
        <v>597</v>
      </c>
      <c r="P15" s="297"/>
      <c r="Q15" s="26"/>
      <c r="R15" s="29"/>
      <c r="S15" s="29"/>
      <c r="T15" s="29"/>
      <c r="U15" s="29"/>
      <c r="V15" s="29"/>
      <c r="W15" s="29"/>
      <c r="X15" s="29"/>
      <c r="Y15" s="112"/>
      <c r="Z15" s="29"/>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29"/>
      <c r="AY15" s="29"/>
      <c r="AZ15" s="29"/>
      <c r="BA15" s="29"/>
      <c r="BB15" s="29"/>
      <c r="BC15" s="29"/>
      <c r="BD15" s="29"/>
      <c r="BE15" s="29"/>
      <c r="BF15" s="29"/>
      <c r="BG15" s="29"/>
      <c r="BH15" s="29"/>
      <c r="BI15" s="29"/>
      <c r="BJ15" s="29"/>
      <c r="BK15" s="29"/>
      <c r="BL15" s="29"/>
      <c r="BM15" s="29"/>
      <c r="BN15" s="29"/>
      <c r="BO15" s="29"/>
      <c r="BP15" s="29"/>
      <c r="BQ15" s="29"/>
      <c r="BR15" s="29"/>
      <c r="BS15" s="29"/>
      <c r="BT15" s="29"/>
      <c r="BU15" s="29"/>
      <c r="BV15" s="29"/>
      <c r="BW15" s="29"/>
      <c r="BX15" s="29"/>
      <c r="BY15" s="29"/>
      <c r="BZ15" s="29"/>
    </row>
    <row r="16" spans="1:78" ht="15" customHeight="1">
      <c r="A16" s="769" t="s">
        <v>333</v>
      </c>
      <c r="B16" s="846"/>
      <c r="C16" s="774"/>
      <c r="D16" s="775"/>
      <c r="E16" s="733"/>
      <c r="F16" s="809" t="s">
        <v>610</v>
      </c>
      <c r="G16" s="810" t="s">
        <v>984</v>
      </c>
      <c r="H16" s="811" t="s">
        <v>650</v>
      </c>
      <c r="I16" s="817" t="s">
        <v>873</v>
      </c>
      <c r="J16" s="818">
        <f>IF(I13&lt;0,-I13,0)</f>
        <v>2.18E-2</v>
      </c>
      <c r="K16" s="819">
        <v>0</v>
      </c>
      <c r="L16" s="1354">
        <f>J16+K16</f>
        <v>2.18E-2</v>
      </c>
      <c r="M16" s="1352" t="s">
        <v>313</v>
      </c>
      <c r="N16" s="776">
        <v>0</v>
      </c>
      <c r="O16" s="292" t="s">
        <v>506</v>
      </c>
      <c r="P16" s="293">
        <v>0.50900000000000001</v>
      </c>
      <c r="Q16" s="26"/>
      <c r="R16" s="29"/>
      <c r="S16" s="29"/>
      <c r="T16" s="29"/>
      <c r="U16" s="29"/>
      <c r="V16" s="29"/>
      <c r="W16" s="29"/>
      <c r="X16" s="29"/>
      <c r="Y16" s="112"/>
      <c r="Z16" s="29"/>
      <c r="AA16" s="29"/>
      <c r="AB16" s="29"/>
      <c r="AC16" s="29"/>
      <c r="AD16" s="29"/>
      <c r="AE16" s="29"/>
      <c r="AF16" s="29"/>
      <c r="AG16" s="29"/>
      <c r="AH16" s="29"/>
      <c r="AI16" s="29"/>
      <c r="AJ16" s="29"/>
      <c r="AK16" s="29"/>
      <c r="AL16" s="29"/>
      <c r="AM16" s="29"/>
      <c r="AN16" s="29"/>
      <c r="AO16" s="29"/>
      <c r="AP16" s="29"/>
      <c r="AQ16" s="29"/>
      <c r="AR16" s="29"/>
      <c r="AS16" s="29"/>
      <c r="AT16" s="29"/>
      <c r="AU16" s="29"/>
      <c r="AV16" s="29"/>
      <c r="AW16" s="29"/>
      <c r="AX16" s="29"/>
      <c r="AY16" s="29"/>
      <c r="AZ16" s="29"/>
      <c r="BA16" s="29"/>
      <c r="BB16" s="29"/>
      <c r="BC16" s="29"/>
      <c r="BD16" s="29"/>
      <c r="BE16" s="29"/>
      <c r="BF16" s="29"/>
      <c r="BG16" s="29"/>
      <c r="BH16" s="29"/>
      <c r="BI16" s="29"/>
      <c r="BJ16" s="29"/>
      <c r="BK16" s="29"/>
      <c r="BL16" s="29"/>
      <c r="BM16" s="29"/>
      <c r="BN16" s="29"/>
      <c r="BO16" s="29"/>
      <c r="BP16" s="29"/>
      <c r="BQ16" s="29"/>
      <c r="BR16" s="29"/>
      <c r="BS16" s="29"/>
      <c r="BT16" s="29"/>
      <c r="BU16" s="29"/>
      <c r="BV16" s="29"/>
      <c r="BW16" s="29"/>
      <c r="BX16" s="29"/>
      <c r="BY16" s="29"/>
      <c r="BZ16" s="29"/>
    </row>
    <row r="17" spans="1:78" ht="15" customHeight="1" thickBot="1">
      <c r="A17" s="769" t="s">
        <v>866</v>
      </c>
      <c r="B17" s="777"/>
      <c r="C17" s="777"/>
      <c r="D17" s="778"/>
      <c r="E17" s="744" t="s">
        <v>345</v>
      </c>
      <c r="F17" s="812">
        <v>2</v>
      </c>
      <c r="G17" s="813">
        <v>0</v>
      </c>
      <c r="H17" s="814">
        <f>F17+G17</f>
        <v>2</v>
      </c>
      <c r="I17" s="820" t="s">
        <v>874</v>
      </c>
      <c r="J17" s="821">
        <f>IF(I13&gt;0,I13,0)</f>
        <v>0</v>
      </c>
      <c r="K17" s="822">
        <v>0</v>
      </c>
      <c r="L17" s="1355">
        <f>J17+K17</f>
        <v>0</v>
      </c>
      <c r="M17" s="1179" t="s">
        <v>314</v>
      </c>
      <c r="N17" s="779">
        <v>0</v>
      </c>
      <c r="O17" s="53" t="s">
        <v>507</v>
      </c>
      <c r="P17" s="54">
        <v>0.3</v>
      </c>
      <c r="Q17" s="26"/>
      <c r="R17" s="29"/>
      <c r="S17" s="29"/>
      <c r="T17" s="29"/>
      <c r="U17" s="29"/>
      <c r="V17" s="29"/>
      <c r="W17" s="29"/>
      <c r="X17" s="29"/>
      <c r="Y17" s="112"/>
      <c r="Z17" s="29"/>
      <c r="AA17" s="29"/>
      <c r="AB17" s="29"/>
      <c r="AC17" s="29"/>
      <c r="AD17" s="29"/>
      <c r="AE17" s="29"/>
      <c r="AF17" s="29"/>
      <c r="AG17" s="29"/>
      <c r="AH17" s="29"/>
      <c r="AI17" s="29"/>
      <c r="AJ17" s="29"/>
      <c r="AK17" s="29"/>
      <c r="AL17" s="29"/>
      <c r="AM17" s="29"/>
      <c r="AN17" s="29"/>
      <c r="AO17" s="29"/>
      <c r="AP17" s="29"/>
      <c r="AQ17" s="29"/>
      <c r="AR17" s="29"/>
      <c r="AS17" s="29"/>
      <c r="AT17" s="29"/>
      <c r="AU17" s="29"/>
      <c r="AV17" s="29"/>
      <c r="AW17" s="29"/>
      <c r="AX17" s="29"/>
      <c r="AY17" s="29"/>
      <c r="AZ17" s="29"/>
      <c r="BA17" s="29"/>
      <c r="BB17" s="29"/>
      <c r="BC17" s="29"/>
      <c r="BD17" s="29"/>
      <c r="BE17" s="29"/>
      <c r="BF17" s="29"/>
      <c r="BG17" s="29"/>
      <c r="BH17" s="29"/>
      <c r="BI17" s="29"/>
      <c r="BJ17" s="29"/>
      <c r="BK17" s="29"/>
      <c r="BL17" s="29"/>
      <c r="BM17" s="29"/>
      <c r="BN17" s="29"/>
      <c r="BO17" s="29"/>
      <c r="BP17" s="29"/>
      <c r="BQ17" s="29"/>
      <c r="BR17" s="29"/>
      <c r="BS17" s="29"/>
      <c r="BT17" s="29"/>
      <c r="BU17" s="29"/>
      <c r="BV17" s="29"/>
      <c r="BW17" s="29"/>
      <c r="BX17" s="29"/>
      <c r="BY17" s="29"/>
      <c r="BZ17" s="29"/>
    </row>
    <row r="18" spans="1:78" ht="15" customHeight="1" thickTop="1">
      <c r="A18" s="780" t="s">
        <v>867</v>
      </c>
      <c r="B18" s="735">
        <f>SUM(B15:B17)</f>
        <v>0</v>
      </c>
      <c r="C18" s="735">
        <f>SUM(C15:C17)</f>
        <v>1</v>
      </c>
      <c r="D18" s="781">
        <f>SUM(D15:D17)</f>
        <v>0</v>
      </c>
      <c r="E18" s="782">
        <f>SUM(B18:D18)</f>
        <v>1</v>
      </c>
      <c r="F18" s="723"/>
      <c r="G18" s="1034" t="s">
        <v>1023</v>
      </c>
      <c r="H18" s="740"/>
      <c r="I18" s="757" t="s">
        <v>969</v>
      </c>
      <c r="J18" s="758" t="s">
        <v>875</v>
      </c>
      <c r="K18" s="759" t="s">
        <v>876</v>
      </c>
      <c r="L18" s="1356" t="s">
        <v>877</v>
      </c>
      <c r="M18" s="29"/>
      <c r="N18" s="29"/>
      <c r="O18" s="29"/>
      <c r="P18" s="29"/>
      <c r="Q18" s="26"/>
      <c r="R18" s="29"/>
      <c r="S18" s="29"/>
      <c r="T18" s="29"/>
      <c r="U18" s="29"/>
      <c r="V18" s="29"/>
      <c r="W18" s="29"/>
      <c r="X18" s="29"/>
      <c r="Y18" s="112"/>
      <c r="Z18" s="29"/>
      <c r="AA18" s="29"/>
      <c r="AB18" s="29"/>
      <c r="AC18" s="29"/>
      <c r="AD18" s="29"/>
      <c r="AE18" s="29"/>
      <c r="AF18" s="29"/>
      <c r="AG18" s="29"/>
      <c r="AH18" s="29"/>
      <c r="AI18" s="29"/>
      <c r="AJ18" s="29"/>
      <c r="AK18" s="29"/>
      <c r="AL18" s="29"/>
      <c r="AM18" s="29"/>
      <c r="AN18" s="29"/>
      <c r="AO18" s="29"/>
      <c r="AP18" s="29"/>
      <c r="AQ18" s="29"/>
      <c r="AR18" s="29"/>
      <c r="AS18" s="29"/>
      <c r="AT18" s="29"/>
      <c r="AU18" s="29"/>
      <c r="AV18" s="29"/>
      <c r="AW18" s="29"/>
      <c r="AX18" s="29"/>
      <c r="AY18" s="29"/>
      <c r="AZ18" s="29"/>
      <c r="BA18" s="29"/>
      <c r="BB18" s="29"/>
      <c r="BC18" s="29"/>
      <c r="BD18" s="29"/>
      <c r="BE18" s="29"/>
      <c r="BF18" s="29"/>
      <c r="BG18" s="29"/>
      <c r="BH18" s="29"/>
      <c r="BI18" s="29"/>
      <c r="BJ18" s="29"/>
      <c r="BK18" s="29"/>
      <c r="BL18" s="29"/>
      <c r="BM18" s="29"/>
      <c r="BN18" s="29"/>
      <c r="BO18" s="29"/>
      <c r="BP18" s="29"/>
      <c r="BQ18" s="29"/>
      <c r="BR18" s="29"/>
      <c r="BS18" s="29"/>
      <c r="BT18" s="29"/>
      <c r="BU18" s="29"/>
      <c r="BV18" s="29"/>
      <c r="BW18" s="29"/>
      <c r="BX18" s="29"/>
      <c r="BY18" s="29"/>
      <c r="BZ18" s="29"/>
    </row>
    <row r="19" spans="1:78" ht="15.75" customHeight="1">
      <c r="A19" s="780" t="s">
        <v>868</v>
      </c>
      <c r="B19" s="735">
        <f>B16+2*B17</f>
        <v>0</v>
      </c>
      <c r="C19" s="735">
        <f>C16+2*C17</f>
        <v>0</v>
      </c>
      <c r="D19" s="783">
        <f>D16+2*D17</f>
        <v>0</v>
      </c>
      <c r="E19" s="784">
        <f>SUM(B19:D19)</f>
        <v>0</v>
      </c>
      <c r="F19" s="1049" t="s">
        <v>865</v>
      </c>
      <c r="G19" s="1050" t="s">
        <v>981</v>
      </c>
      <c r="H19" s="1051"/>
      <c r="I19" s="760" t="s">
        <v>873</v>
      </c>
      <c r="J19" s="761">
        <f>IF(E20&lt;0,-E20,0)</f>
        <v>1</v>
      </c>
      <c r="K19" s="762">
        <v>0</v>
      </c>
      <c r="L19" s="1357">
        <f>J19+K19</f>
        <v>1</v>
      </c>
      <c r="M19" s="1375" t="s">
        <v>1175</v>
      </c>
      <c r="N19" s="26"/>
      <c r="O19" s="26"/>
      <c r="P19" s="26"/>
      <c r="Q19" s="26"/>
      <c r="R19" s="29"/>
      <c r="S19" s="29"/>
      <c r="T19" s="29"/>
      <c r="U19" s="29"/>
      <c r="V19" s="29"/>
      <c r="W19" s="29"/>
      <c r="X19" s="29"/>
      <c r="Y19" s="112"/>
      <c r="Z19" s="26"/>
      <c r="AA19" s="26"/>
      <c r="AB19" s="26"/>
      <c r="AC19" s="26"/>
      <c r="AD19" s="26"/>
      <c r="AE19" s="26"/>
      <c r="AF19" s="26"/>
      <c r="AG19" s="26"/>
      <c r="AH19" s="26"/>
      <c r="AI19" s="26"/>
      <c r="AJ19" s="26"/>
      <c r="AK19" s="26"/>
      <c r="AL19" s="26"/>
      <c r="AM19" s="26"/>
      <c r="AN19" s="26"/>
      <c r="AO19" s="26"/>
      <c r="AP19" s="26"/>
      <c r="AQ19" s="26"/>
      <c r="AR19" s="26"/>
      <c r="AS19" s="26"/>
      <c r="AT19" s="26"/>
      <c r="AU19" s="26"/>
      <c r="AV19" s="26"/>
      <c r="AW19" s="26"/>
      <c r="AX19" s="26"/>
      <c r="AY19" s="26"/>
      <c r="AZ19" s="26"/>
      <c r="BA19" s="26"/>
      <c r="BB19" s="26"/>
      <c r="BC19" s="26"/>
      <c r="BD19" s="26"/>
      <c r="BE19" s="26"/>
      <c r="BF19" s="26"/>
      <c r="BG19" s="26"/>
      <c r="BH19" s="26"/>
      <c r="BI19" s="26"/>
      <c r="BJ19" s="26"/>
      <c r="BK19" s="26"/>
      <c r="BL19" s="26"/>
      <c r="BM19" s="26"/>
      <c r="BN19" s="26"/>
      <c r="BO19" s="26"/>
      <c r="BP19" s="26"/>
      <c r="BQ19" s="26"/>
      <c r="BR19" s="26"/>
      <c r="BS19" s="26"/>
      <c r="BT19" s="26"/>
      <c r="BU19" s="26"/>
      <c r="BV19" s="26"/>
      <c r="BW19" s="26"/>
      <c r="BX19" s="26"/>
      <c r="BY19" s="26"/>
      <c r="BZ19" s="26"/>
    </row>
    <row r="20" spans="1:78" ht="18" customHeight="1" thickBot="1">
      <c r="A20" s="755" t="s">
        <v>872</v>
      </c>
      <c r="B20" s="738">
        <f>R4*B15+(R4+1)*B16+(R4+2)*B17</f>
        <v>0</v>
      </c>
      <c r="C20" s="738">
        <f>S4*C15+(S4+1)*C16+(S4+2)*C17</f>
        <v>-1</v>
      </c>
      <c r="D20" s="756">
        <f>T4*D15+(T4+1)*D16+(T4+2)*D17</f>
        <v>0</v>
      </c>
      <c r="E20" s="738">
        <f>SUM(B20:D20)</f>
        <v>-1</v>
      </c>
      <c r="F20" s="785">
        <v>0.25</v>
      </c>
      <c r="G20" s="786">
        <v>15</v>
      </c>
      <c r="H20" s="741" t="s">
        <v>864</v>
      </c>
      <c r="I20" s="763" t="s">
        <v>874</v>
      </c>
      <c r="J20" s="764">
        <f>IF(E20&gt;0,E20,0)</f>
        <v>0</v>
      </c>
      <c r="K20" s="765">
        <v>0</v>
      </c>
      <c r="L20" s="1358">
        <f>J20+K20</f>
        <v>0</v>
      </c>
      <c r="M20" s="1375"/>
      <c r="N20" s="26"/>
      <c r="O20" s="26"/>
      <c r="P20" s="26"/>
      <c r="Q20" s="26"/>
      <c r="R20" s="29"/>
      <c r="S20" s="29"/>
      <c r="T20" s="29"/>
      <c r="U20" s="29"/>
      <c r="V20" s="29"/>
      <c r="W20" s="29"/>
      <c r="X20" s="29"/>
      <c r="Y20" s="112"/>
      <c r="Z20" s="26"/>
      <c r="AA20" s="26"/>
      <c r="AB20" s="26"/>
      <c r="AC20" s="26"/>
      <c r="AD20" s="26"/>
      <c r="AE20" s="26"/>
      <c r="AF20" s="26"/>
      <c r="AG20" s="26"/>
      <c r="AH20" s="26"/>
      <c r="AI20" s="26"/>
      <c r="AJ20" s="26"/>
      <c r="AK20" s="26"/>
      <c r="AL20" s="26"/>
      <c r="AM20" s="26"/>
      <c r="AN20" s="26"/>
      <c r="AO20" s="26"/>
      <c r="AP20" s="26"/>
      <c r="AQ20" s="26"/>
      <c r="AR20" s="26"/>
      <c r="AS20" s="26"/>
      <c r="AT20" s="26"/>
      <c r="AU20" s="26"/>
      <c r="AV20" s="26"/>
      <c r="AW20" s="26"/>
      <c r="AX20" s="26"/>
      <c r="AY20" s="26"/>
      <c r="AZ20" s="26"/>
      <c r="BA20" s="26"/>
      <c r="BB20" s="26"/>
      <c r="BC20" s="26"/>
      <c r="BD20" s="26"/>
      <c r="BE20" s="26"/>
      <c r="BF20" s="26"/>
      <c r="BG20" s="26"/>
      <c r="BH20" s="26"/>
      <c r="BI20" s="26"/>
      <c r="BJ20" s="26"/>
      <c r="BK20" s="26"/>
      <c r="BL20" s="26"/>
      <c r="BM20" s="26"/>
      <c r="BN20" s="26"/>
      <c r="BO20" s="26"/>
      <c r="BP20" s="26"/>
      <c r="BQ20" s="26"/>
      <c r="BR20" s="26"/>
      <c r="BS20" s="26"/>
      <c r="BT20" s="26"/>
      <c r="BU20" s="26"/>
      <c r="BV20" s="26"/>
      <c r="BW20" s="26"/>
      <c r="BX20" s="26"/>
      <c r="BY20" s="26"/>
      <c r="BZ20" s="26"/>
    </row>
    <row r="21" spans="1:78" ht="20.100000000000001" customHeight="1" thickTop="1">
      <c r="A21" s="787">
        <v>2</v>
      </c>
      <c r="B21" s="26"/>
      <c r="C21" s="26"/>
      <c r="D21" s="26"/>
      <c r="E21" s="26"/>
      <c r="F21" s="26"/>
      <c r="G21" s="26"/>
      <c r="H21" s="26"/>
      <c r="I21" s="26"/>
      <c r="J21" s="26"/>
      <c r="K21" s="26"/>
      <c r="L21" s="26"/>
      <c r="M21" s="26"/>
      <c r="N21" s="26"/>
      <c r="O21" s="26"/>
      <c r="P21" s="26"/>
      <c r="Q21" s="26"/>
      <c r="R21" s="29"/>
      <c r="S21" s="29"/>
      <c r="T21" s="29"/>
      <c r="U21" s="29"/>
      <c r="V21" s="29"/>
      <c r="W21" s="29"/>
      <c r="X21" s="29"/>
      <c r="Y21" s="112"/>
      <c r="Z21" s="26"/>
      <c r="AA21" s="26"/>
      <c r="AB21" s="26"/>
      <c r="AC21" s="26"/>
      <c r="AD21" s="26"/>
      <c r="AE21" s="26"/>
      <c r="AF21" s="26"/>
      <c r="AG21" s="26"/>
      <c r="AH21" s="26"/>
      <c r="AI21" s="26"/>
      <c r="AJ21" s="26"/>
      <c r="AK21" s="26"/>
      <c r="AL21" s="26"/>
      <c r="AM21" s="26"/>
      <c r="AN21" s="26"/>
      <c r="AO21" s="26"/>
      <c r="AP21" s="26"/>
      <c r="AQ21" s="26"/>
      <c r="AR21" s="26"/>
      <c r="AS21" s="26"/>
      <c r="AT21" s="26"/>
      <c r="AU21" s="26"/>
      <c r="AV21" s="26"/>
      <c r="AW21" s="26"/>
      <c r="AX21" s="26"/>
      <c r="AY21" s="26"/>
      <c r="AZ21" s="26"/>
      <c r="BA21" s="26"/>
      <c r="BB21" s="26"/>
      <c r="BC21" s="26"/>
      <c r="BD21" s="26"/>
      <c r="BE21" s="26"/>
      <c r="BF21" s="26"/>
      <c r="BG21" s="26"/>
      <c r="BH21" s="26"/>
      <c r="BI21" s="26"/>
      <c r="BJ21" s="26"/>
      <c r="BK21" s="26"/>
      <c r="BL21" s="26"/>
      <c r="BM21" s="26"/>
      <c r="BN21" s="26"/>
      <c r="BO21" s="26"/>
      <c r="BP21" s="26"/>
      <c r="BQ21" s="26"/>
      <c r="BR21" s="26"/>
      <c r="BS21" s="26"/>
      <c r="BT21" s="26"/>
      <c r="BU21" s="26"/>
      <c r="BV21" s="26"/>
      <c r="BW21" s="26"/>
      <c r="BX21" s="26"/>
      <c r="BY21" s="26"/>
      <c r="BZ21" s="26"/>
    </row>
    <row r="22" spans="1:78" ht="20.100000000000001" customHeight="1">
      <c r="A22" s="94" t="s">
        <v>349</v>
      </c>
      <c r="B22" s="26"/>
      <c r="C22" s="26"/>
      <c r="D22" s="26"/>
      <c r="E22" s="26"/>
      <c r="F22" s="26"/>
      <c r="G22" s="26"/>
      <c r="H22" s="26"/>
      <c r="I22" s="26"/>
      <c r="J22" s="26"/>
      <c r="K22" s="26"/>
      <c r="L22" s="26"/>
      <c r="M22" s="26"/>
      <c r="N22" s="1127"/>
      <c r="O22" s="1128" t="s">
        <v>598</v>
      </c>
      <c r="P22" s="1129"/>
      <c r="Q22" s="26"/>
      <c r="R22" s="29"/>
      <c r="S22" s="29"/>
      <c r="T22" s="29"/>
      <c r="U22" s="29"/>
      <c r="V22" s="29"/>
      <c r="W22" s="29"/>
      <c r="X22" s="29"/>
      <c r="Y22" s="112"/>
      <c r="Z22" s="26"/>
      <c r="AA22" s="26"/>
      <c r="AB22" s="26"/>
      <c r="AC22" s="26"/>
      <c r="AD22" s="26"/>
      <c r="AE22" s="26"/>
      <c r="AF22" s="26"/>
      <c r="AG22" s="26"/>
      <c r="AH22" s="26"/>
      <c r="AI22" s="26"/>
      <c r="AJ22" s="26"/>
      <c r="AK22" s="26"/>
      <c r="AL22" s="26"/>
      <c r="AM22" s="26"/>
      <c r="AN22" s="26"/>
      <c r="AO22" s="26"/>
      <c r="AP22" s="26"/>
      <c r="AQ22" s="26"/>
      <c r="AR22" s="26"/>
      <c r="AS22" s="26"/>
      <c r="AT22" s="26"/>
      <c r="AU22" s="26"/>
      <c r="AV22" s="26"/>
      <c r="AW22" s="26"/>
      <c r="AX22" s="26"/>
      <c r="AY22" s="26"/>
      <c r="AZ22" s="26"/>
      <c r="BA22" s="26"/>
      <c r="BB22" s="26"/>
      <c r="BC22" s="26"/>
      <c r="BD22" s="26"/>
      <c r="BE22" s="26"/>
      <c r="BF22" s="26"/>
      <c r="BG22" s="26"/>
      <c r="BH22" s="26"/>
      <c r="BI22" s="26"/>
      <c r="BJ22" s="26"/>
      <c r="BK22" s="26"/>
      <c r="BL22" s="26"/>
      <c r="BM22" s="26"/>
      <c r="BN22" s="26"/>
      <c r="BO22" s="26"/>
      <c r="BP22" s="26"/>
      <c r="BQ22" s="26"/>
      <c r="BR22" s="26"/>
      <c r="BS22" s="26"/>
      <c r="BT22" s="26"/>
      <c r="BU22" s="26"/>
      <c r="BV22" s="26"/>
      <c r="BW22" s="26"/>
      <c r="BX22" s="26"/>
      <c r="BY22" s="26"/>
      <c r="BZ22" s="26"/>
    </row>
    <row r="23" spans="1:78" ht="20.100000000000001" customHeight="1">
      <c r="A23" s="2"/>
      <c r="B23" s="26"/>
      <c r="C23" s="26"/>
      <c r="D23" s="26"/>
      <c r="E23" s="26"/>
      <c r="F23" s="26"/>
      <c r="G23" s="26"/>
      <c r="H23" s="26"/>
      <c r="I23" s="26"/>
      <c r="J23" s="26"/>
      <c r="K23" s="26"/>
      <c r="L23" s="26"/>
      <c r="M23" s="26"/>
      <c r="N23" s="298"/>
      <c r="O23" s="313" t="s">
        <v>599</v>
      </c>
      <c r="P23" s="343"/>
      <c r="Q23" s="26"/>
      <c r="R23" s="26"/>
      <c r="S23" s="26"/>
      <c r="T23" s="26"/>
      <c r="U23" s="26"/>
      <c r="V23" s="26"/>
      <c r="W23" s="26"/>
      <c r="X23" s="29"/>
      <c r="Y23" s="112"/>
      <c r="Z23" s="26"/>
      <c r="AA23" s="26"/>
      <c r="AB23" s="26"/>
      <c r="AC23" s="26"/>
      <c r="AD23" s="26"/>
      <c r="AE23" s="26"/>
      <c r="AF23" s="26"/>
      <c r="AG23" s="26"/>
      <c r="AH23" s="26"/>
      <c r="AI23" s="26"/>
      <c r="AJ23" s="26"/>
      <c r="AK23" s="26"/>
      <c r="AL23" s="26"/>
      <c r="AM23" s="26"/>
      <c r="AN23" s="26"/>
      <c r="AO23" s="26"/>
      <c r="AP23" s="26"/>
      <c r="AQ23" s="26"/>
      <c r="AR23" s="26"/>
      <c r="AS23" s="26"/>
      <c r="AT23" s="26"/>
      <c r="AU23" s="26"/>
      <c r="AV23" s="26"/>
      <c r="AW23" s="26"/>
      <c r="AX23" s="26"/>
      <c r="AY23" s="26"/>
      <c r="AZ23" s="26"/>
      <c r="BA23" s="26"/>
      <c r="BB23" s="26"/>
      <c r="BC23" s="26"/>
      <c r="BD23" s="26"/>
      <c r="BE23" s="26"/>
      <c r="BF23" s="26"/>
      <c r="BG23" s="26"/>
      <c r="BH23" s="26"/>
      <c r="BI23" s="26"/>
      <c r="BJ23" s="26"/>
      <c r="BK23" s="26"/>
      <c r="BL23" s="26"/>
      <c r="BM23" s="26"/>
      <c r="BN23" s="26"/>
      <c r="BO23" s="26"/>
      <c r="BP23" s="26"/>
      <c r="BQ23" s="26"/>
      <c r="BR23" s="26"/>
      <c r="BS23" s="26"/>
      <c r="BT23" s="26"/>
      <c r="BU23" s="26"/>
      <c r="BV23" s="26"/>
      <c r="BW23" s="26"/>
      <c r="BX23" s="26"/>
      <c r="BY23" s="26"/>
      <c r="BZ23" s="26"/>
    </row>
    <row r="24" spans="1:78" ht="20.100000000000001" customHeight="1">
      <c r="A24" s="2"/>
      <c r="B24" s="9"/>
      <c r="C24" s="80"/>
      <c r="D24" s="26"/>
      <c r="E24" s="26"/>
      <c r="F24" s="26"/>
      <c r="G24" s="26"/>
      <c r="H24" s="26"/>
      <c r="I24" s="26"/>
      <c r="J24" s="26"/>
      <c r="K24" s="26"/>
      <c r="L24" s="26"/>
      <c r="M24" s="26"/>
      <c r="N24" s="299"/>
      <c r="O24" s="299" t="s">
        <v>600</v>
      </c>
      <c r="P24" s="300"/>
      <c r="Q24" s="26"/>
      <c r="R24" s="26"/>
      <c r="S24" s="26"/>
      <c r="T24" s="26"/>
      <c r="U24" s="26"/>
      <c r="V24" s="26"/>
      <c r="W24" s="26"/>
      <c r="X24" s="29"/>
      <c r="Y24" s="112"/>
      <c r="Z24" s="26"/>
      <c r="AA24" s="26"/>
      <c r="AB24" s="26"/>
      <c r="AC24" s="26"/>
      <c r="AD24" s="26"/>
      <c r="AE24" s="26"/>
      <c r="AF24" s="26"/>
      <c r="AG24" s="26"/>
      <c r="AH24" s="26"/>
      <c r="AI24" s="26"/>
      <c r="AJ24" s="26"/>
      <c r="AK24" s="26"/>
      <c r="AL24" s="26"/>
      <c r="AM24" s="26"/>
      <c r="AN24" s="26"/>
      <c r="AO24" s="26"/>
      <c r="AP24" s="26"/>
      <c r="AQ24" s="26"/>
      <c r="AR24" s="26"/>
      <c r="AS24" s="26"/>
      <c r="AT24" s="26"/>
      <c r="AU24" s="26"/>
      <c r="AV24" s="26"/>
      <c r="AW24" s="26"/>
      <c r="AX24" s="26"/>
      <c r="AY24" s="26"/>
      <c r="AZ24" s="26"/>
      <c r="BA24" s="26"/>
      <c r="BB24" s="26"/>
      <c r="BC24" s="26"/>
      <c r="BD24" s="26"/>
      <c r="BE24" s="26"/>
      <c r="BF24" s="26"/>
      <c r="BG24" s="26"/>
      <c r="BH24" s="26"/>
      <c r="BI24" s="26"/>
      <c r="BJ24" s="26"/>
      <c r="BK24" s="26"/>
      <c r="BL24" s="26"/>
      <c r="BM24" s="26"/>
      <c r="BN24" s="26"/>
      <c r="BO24" s="26"/>
      <c r="BP24" s="26"/>
      <c r="BQ24" s="26"/>
      <c r="BR24" s="26"/>
      <c r="BS24" s="26"/>
      <c r="BT24" s="26"/>
      <c r="BU24" s="26"/>
      <c r="BV24" s="26"/>
      <c r="BW24" s="26"/>
      <c r="BX24" s="26"/>
      <c r="BY24" s="26"/>
      <c r="BZ24" s="26"/>
    </row>
    <row r="25" spans="1:78" ht="20.100000000000001" customHeight="1">
      <c r="A25" s="2"/>
      <c r="B25" s="9"/>
      <c r="C25" s="80"/>
      <c r="D25" s="26"/>
      <c r="E25" s="26"/>
      <c r="F25" s="26"/>
      <c r="G25" s="26"/>
      <c r="H25" s="26"/>
      <c r="I25" s="26"/>
      <c r="J25" s="26"/>
      <c r="K25" s="26"/>
      <c r="L25" s="26"/>
      <c r="M25" s="26"/>
      <c r="N25" s="314"/>
      <c r="O25" s="314" t="s">
        <v>601</v>
      </c>
      <c r="P25" s="315"/>
      <c r="Q25" s="26"/>
      <c r="R25" s="26"/>
      <c r="S25" s="26"/>
      <c r="T25" s="26"/>
      <c r="U25" s="26"/>
      <c r="V25" s="26"/>
      <c r="W25" s="26"/>
      <c r="X25" s="29"/>
      <c r="Y25" s="112"/>
      <c r="Z25" s="26"/>
      <c r="AA25" s="26"/>
      <c r="AB25" s="26"/>
      <c r="AC25" s="26"/>
      <c r="AD25" s="26"/>
      <c r="AE25" s="26"/>
      <c r="AF25" s="26"/>
      <c r="AG25" s="26"/>
      <c r="AH25" s="26"/>
      <c r="AI25" s="26"/>
      <c r="AJ25" s="26"/>
      <c r="AK25" s="26"/>
      <c r="AL25" s="26"/>
      <c r="AM25" s="26"/>
      <c r="AN25" s="26"/>
      <c r="AO25" s="26"/>
      <c r="AP25" s="26"/>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6"/>
      <c r="BO25" s="26"/>
      <c r="BP25" s="26"/>
      <c r="BQ25" s="26"/>
      <c r="BR25" s="26"/>
      <c r="BS25" s="26"/>
      <c r="BT25" s="26"/>
      <c r="BU25" s="26"/>
      <c r="BV25" s="26"/>
      <c r="BW25" s="26"/>
      <c r="BX25" s="26"/>
      <c r="BY25" s="26"/>
      <c r="BZ25" s="26"/>
    </row>
    <row r="26" spans="1:78" ht="20.100000000000001" customHeight="1">
      <c r="A26" s="2"/>
      <c r="B26" s="9"/>
      <c r="C26" s="80"/>
      <c r="D26" s="26"/>
      <c r="E26" s="26"/>
      <c r="F26" s="26"/>
      <c r="G26" s="26"/>
      <c r="H26" s="26"/>
      <c r="I26" s="26"/>
      <c r="J26" s="26"/>
      <c r="K26" s="26"/>
      <c r="L26" s="26"/>
      <c r="M26" s="26"/>
      <c r="N26" s="726" t="s">
        <v>613</v>
      </c>
      <c r="O26" s="727"/>
      <c r="P26" s="26"/>
      <c r="Q26" s="94"/>
      <c r="R26" s="26"/>
      <c r="S26" s="26"/>
      <c r="T26" s="26"/>
      <c r="U26" s="26"/>
      <c r="V26" s="26"/>
      <c r="W26" s="26"/>
      <c r="X26" s="29"/>
      <c r="Y26" s="112"/>
      <c r="Z26" s="26"/>
      <c r="AA26" s="26"/>
      <c r="AB26" s="26"/>
      <c r="AC26" s="26"/>
      <c r="AD26" s="26"/>
      <c r="AE26" s="26"/>
      <c r="AF26" s="26"/>
      <c r="AG26" s="26"/>
      <c r="AH26" s="26"/>
      <c r="AI26" s="26"/>
      <c r="AJ26" s="26"/>
      <c r="AK26" s="26"/>
      <c r="AL26" s="26"/>
      <c r="AM26" s="26"/>
      <c r="AN26" s="26"/>
      <c r="AO26" s="26"/>
      <c r="AP26" s="26"/>
      <c r="AQ26" s="26"/>
      <c r="AR26" s="26"/>
      <c r="AS26" s="26"/>
      <c r="AT26" s="26"/>
      <c r="AU26" s="26"/>
      <c r="AV26" s="26"/>
      <c r="AW26" s="26"/>
      <c r="AX26" s="26"/>
      <c r="AY26" s="26"/>
      <c r="AZ26" s="26"/>
      <c r="BA26" s="26"/>
      <c r="BB26" s="26"/>
      <c r="BC26" s="26"/>
      <c r="BD26" s="26"/>
      <c r="BE26" s="26"/>
      <c r="BF26" s="26"/>
      <c r="BG26" s="26"/>
      <c r="BH26" s="26"/>
      <c r="BI26" s="26"/>
      <c r="BJ26" s="26"/>
      <c r="BK26" s="26"/>
      <c r="BL26" s="26"/>
      <c r="BM26" s="26"/>
      <c r="BN26" s="26"/>
      <c r="BO26" s="26"/>
      <c r="BP26" s="26"/>
      <c r="BQ26" s="26"/>
      <c r="BR26" s="26"/>
      <c r="BS26" s="26"/>
      <c r="BT26" s="26"/>
      <c r="BU26" s="26"/>
      <c r="BV26" s="26"/>
      <c r="BW26" s="26"/>
      <c r="BX26" s="26"/>
      <c r="BY26" s="26"/>
      <c r="BZ26" s="26"/>
    </row>
    <row r="27" spans="1:78" ht="20.100000000000001" customHeight="1">
      <c r="A27" s="2"/>
      <c r="B27" s="26"/>
      <c r="C27" s="26"/>
      <c r="D27" s="26"/>
      <c r="E27" s="26"/>
      <c r="F27" s="26"/>
      <c r="G27" s="26"/>
      <c r="H27" s="26"/>
      <c r="I27" s="26"/>
      <c r="J27" s="26"/>
      <c r="K27" s="26"/>
      <c r="L27" s="26"/>
      <c r="M27" s="26"/>
      <c r="N27" s="726" t="s">
        <v>614</v>
      </c>
      <c r="O27" s="727"/>
      <c r="P27" s="26"/>
      <c r="Q27" s="94"/>
      <c r="R27" s="26"/>
      <c r="S27" s="26"/>
      <c r="T27" s="26"/>
      <c r="U27" s="26"/>
      <c r="V27" s="26"/>
      <c r="W27" s="26"/>
      <c r="X27" s="29"/>
      <c r="Y27" s="112"/>
      <c r="Z27" s="26"/>
      <c r="AA27" s="26"/>
      <c r="AB27" s="26"/>
      <c r="AC27" s="26"/>
      <c r="AD27" s="26"/>
      <c r="AE27" s="26"/>
      <c r="AF27" s="26"/>
      <c r="AG27" s="26"/>
      <c r="AH27" s="26"/>
      <c r="AI27" s="26"/>
      <c r="AJ27" s="26"/>
      <c r="AK27" s="26"/>
      <c r="AL27" s="26"/>
      <c r="AM27" s="26"/>
      <c r="AN27" s="26"/>
      <c r="AO27" s="26"/>
      <c r="AP27" s="26"/>
      <c r="AQ27" s="26"/>
      <c r="AR27" s="26"/>
      <c r="AS27" s="26"/>
      <c r="AT27" s="26"/>
      <c r="AU27" s="26"/>
      <c r="AV27" s="26"/>
      <c r="AW27" s="26"/>
      <c r="AX27" s="26"/>
      <c r="AY27" s="26"/>
      <c r="AZ27" s="26"/>
      <c r="BA27" s="26"/>
      <c r="BB27" s="26"/>
      <c r="BC27" s="26"/>
      <c r="BD27" s="26"/>
      <c r="BE27" s="26"/>
      <c r="BF27" s="26"/>
      <c r="BG27" s="26"/>
      <c r="BH27" s="26"/>
      <c r="BI27" s="26"/>
      <c r="BJ27" s="26"/>
      <c r="BK27" s="26"/>
      <c r="BL27" s="26"/>
      <c r="BM27" s="26"/>
      <c r="BN27" s="26"/>
      <c r="BO27" s="26"/>
      <c r="BP27" s="26"/>
      <c r="BQ27" s="26"/>
      <c r="BR27" s="26"/>
      <c r="BS27" s="26"/>
      <c r="BT27" s="26"/>
      <c r="BU27" s="26"/>
      <c r="BV27" s="26"/>
      <c r="BW27" s="26"/>
      <c r="BX27" s="26"/>
      <c r="BY27" s="26"/>
      <c r="BZ27" s="26"/>
    </row>
    <row r="28" spans="1:78" ht="20.100000000000001" customHeight="1">
      <c r="A28" s="2"/>
      <c r="B28" s="9"/>
      <c r="C28" s="26"/>
      <c r="D28" s="26"/>
      <c r="E28" s="26"/>
      <c r="F28" s="26"/>
      <c r="G28" s="26"/>
      <c r="H28" s="26"/>
      <c r="I28" s="26"/>
      <c r="J28" s="26"/>
      <c r="K28" s="26"/>
      <c r="L28" s="26"/>
      <c r="M28" s="26"/>
      <c r="N28" s="729" t="s">
        <v>615</v>
      </c>
      <c r="O28" s="730"/>
      <c r="P28" s="26"/>
      <c r="Q28" s="94"/>
      <c r="R28" s="26"/>
      <c r="S28" s="26"/>
      <c r="T28" s="26"/>
      <c r="U28" s="26"/>
      <c r="V28" s="26"/>
      <c r="W28" s="26"/>
      <c r="X28" s="29"/>
      <c r="Y28" s="112"/>
      <c r="Z28" s="26"/>
      <c r="AA28" s="26"/>
      <c r="AB28" s="26"/>
      <c r="AC28" s="26"/>
      <c r="AD28" s="26"/>
      <c r="AE28" s="26"/>
      <c r="AF28" s="26"/>
      <c r="AG28" s="26"/>
      <c r="AH28" s="26"/>
      <c r="AI28" s="26"/>
      <c r="AJ28" s="26"/>
      <c r="AK28" s="26"/>
      <c r="AL28" s="26"/>
      <c r="AM28" s="26"/>
      <c r="AN28" s="26"/>
      <c r="AO28" s="26"/>
      <c r="AP28" s="26"/>
      <c r="AQ28" s="26"/>
      <c r="AR28" s="26"/>
      <c r="AS28" s="26"/>
      <c r="AT28" s="26"/>
      <c r="AU28" s="26"/>
      <c r="AV28" s="26"/>
      <c r="AW28" s="26"/>
      <c r="AX28" s="26"/>
      <c r="AY28" s="26"/>
      <c r="AZ28" s="26"/>
      <c r="BA28" s="26"/>
      <c r="BB28" s="26"/>
      <c r="BC28" s="26"/>
      <c r="BD28" s="26"/>
      <c r="BE28" s="26"/>
      <c r="BF28" s="26"/>
      <c r="BG28" s="26"/>
      <c r="BH28" s="26"/>
      <c r="BI28" s="26"/>
      <c r="BJ28" s="26"/>
      <c r="BK28" s="26"/>
      <c r="BL28" s="26"/>
      <c r="BM28" s="26"/>
      <c r="BN28" s="26"/>
      <c r="BO28" s="26"/>
      <c r="BP28" s="26"/>
      <c r="BQ28" s="26"/>
      <c r="BR28" s="26"/>
      <c r="BS28" s="26"/>
      <c r="BT28" s="26"/>
      <c r="BU28" s="26"/>
      <c r="BV28" s="26"/>
      <c r="BW28" s="26"/>
      <c r="BX28" s="26"/>
      <c r="BY28" s="26"/>
      <c r="BZ28" s="26"/>
    </row>
    <row r="29" spans="1:78" ht="20.100000000000001" customHeight="1">
      <c r="A29" s="2"/>
      <c r="B29" s="9"/>
      <c r="C29" s="26"/>
      <c r="D29" s="26"/>
      <c r="E29" s="26"/>
      <c r="F29" s="26"/>
      <c r="G29" s="26"/>
      <c r="H29" s="26"/>
      <c r="I29" s="26"/>
      <c r="J29" s="26"/>
      <c r="K29" s="26"/>
      <c r="L29" s="26"/>
      <c r="M29" s="26"/>
      <c r="N29" s="726" t="s">
        <v>616</v>
      </c>
      <c r="O29" s="727"/>
      <c r="P29" s="26"/>
      <c r="Q29" s="94"/>
      <c r="R29" s="26"/>
      <c r="S29" s="26"/>
      <c r="T29" s="26"/>
      <c r="U29" s="26"/>
      <c r="V29" s="26"/>
      <c r="W29" s="26"/>
      <c r="X29" s="29"/>
      <c r="Y29" s="112"/>
      <c r="Z29" s="26"/>
      <c r="AA29" s="26"/>
      <c r="AB29" s="26"/>
      <c r="AC29" s="26"/>
      <c r="AD29" s="26"/>
      <c r="AE29" s="26"/>
      <c r="AF29" s="26"/>
      <c r="AG29" s="26"/>
      <c r="AH29" s="26"/>
      <c r="AI29" s="26"/>
      <c r="AJ29" s="26"/>
      <c r="AK29" s="26"/>
      <c r="AL29" s="26"/>
      <c r="AM29" s="26"/>
      <c r="AN29" s="26"/>
      <c r="AO29" s="26"/>
      <c r="AP29" s="26"/>
      <c r="AQ29" s="26"/>
      <c r="AR29" s="26"/>
      <c r="AS29" s="26"/>
      <c r="AT29" s="26"/>
      <c r="AU29" s="26"/>
      <c r="AV29" s="26"/>
      <c r="AW29" s="26"/>
      <c r="AX29" s="26"/>
      <c r="AY29" s="26"/>
      <c r="AZ29" s="26"/>
      <c r="BA29" s="26"/>
      <c r="BB29" s="26"/>
      <c r="BC29" s="26"/>
      <c r="BD29" s="26"/>
      <c r="BE29" s="26"/>
      <c r="BF29" s="26"/>
      <c r="BG29" s="26"/>
      <c r="BH29" s="26"/>
      <c r="BI29" s="26"/>
      <c r="BJ29" s="26"/>
      <c r="BK29" s="26"/>
      <c r="BL29" s="26"/>
      <c r="BM29" s="26"/>
      <c r="BN29" s="26"/>
      <c r="BO29" s="26"/>
      <c r="BP29" s="26"/>
      <c r="BQ29" s="26"/>
      <c r="BR29" s="26"/>
      <c r="BS29" s="26"/>
      <c r="BT29" s="26"/>
      <c r="BU29" s="26"/>
      <c r="BV29" s="26"/>
      <c r="BW29" s="26"/>
      <c r="BX29" s="26"/>
      <c r="BY29" s="26"/>
      <c r="BZ29" s="26"/>
    </row>
    <row r="30" spans="1:78" ht="20.100000000000001" customHeight="1">
      <c r="A30" s="9"/>
      <c r="B30" s="9"/>
      <c r="C30" s="26"/>
      <c r="D30" s="26"/>
      <c r="E30" s="26"/>
      <c r="F30" s="26"/>
      <c r="G30" s="26"/>
      <c r="H30" s="26"/>
      <c r="I30" s="26"/>
      <c r="J30" s="26"/>
      <c r="K30" s="26"/>
      <c r="L30" s="26"/>
      <c r="M30" s="26"/>
      <c r="N30" s="726" t="s">
        <v>617</v>
      </c>
      <c r="O30" s="727"/>
      <c r="P30" s="26"/>
      <c r="Q30" s="94"/>
      <c r="R30" s="26"/>
      <c r="S30" s="26"/>
      <c r="T30" s="26"/>
      <c r="U30" s="26"/>
      <c r="V30" s="26"/>
      <c r="W30" s="26"/>
      <c r="X30" s="29"/>
      <c r="Y30" s="112"/>
      <c r="Z30" s="26"/>
      <c r="AA30" s="26"/>
      <c r="AB30" s="26"/>
      <c r="AC30" s="26"/>
      <c r="AD30" s="26"/>
      <c r="AE30" s="26"/>
      <c r="AF30" s="26"/>
      <c r="AG30" s="26"/>
      <c r="AH30" s="26"/>
      <c r="AI30" s="26"/>
      <c r="AJ30" s="26"/>
      <c r="AK30" s="26"/>
      <c r="AL30" s="26"/>
      <c r="AM30" s="26"/>
      <c r="AN30" s="26"/>
      <c r="AO30" s="26"/>
      <c r="AP30" s="26"/>
      <c r="AQ30" s="26"/>
      <c r="AR30" s="26"/>
      <c r="AS30" s="26"/>
      <c r="AT30" s="26"/>
      <c r="AU30" s="26"/>
      <c r="AV30" s="26"/>
      <c r="AW30" s="26"/>
      <c r="AX30" s="26"/>
      <c r="AY30" s="26"/>
      <c r="AZ30" s="26"/>
      <c r="BA30" s="26"/>
      <c r="BB30" s="26"/>
      <c r="BC30" s="26"/>
      <c r="BD30" s="26"/>
      <c r="BE30" s="26"/>
      <c r="BF30" s="26"/>
      <c r="BG30" s="26"/>
      <c r="BH30" s="26"/>
      <c r="BI30" s="26"/>
      <c r="BJ30" s="26"/>
      <c r="BK30" s="26"/>
      <c r="BL30" s="26"/>
      <c r="BM30" s="26"/>
      <c r="BN30" s="26"/>
      <c r="BO30" s="26"/>
      <c r="BP30" s="26"/>
      <c r="BQ30" s="26"/>
      <c r="BR30" s="26"/>
      <c r="BS30" s="26"/>
      <c r="BT30" s="26"/>
      <c r="BU30" s="26"/>
      <c r="BV30" s="26"/>
      <c r="BW30" s="26"/>
      <c r="BX30" s="26"/>
      <c r="BY30" s="26"/>
      <c r="BZ30" s="26"/>
    </row>
    <row r="31" spans="1:78" ht="20.100000000000001" customHeight="1">
      <c r="A31" s="118"/>
      <c r="B31" s="119"/>
      <c r="C31" s="26"/>
      <c r="D31" s="26"/>
      <c r="E31" s="26"/>
      <c r="F31" s="26"/>
      <c r="G31" s="26"/>
      <c r="H31" s="26"/>
      <c r="I31" s="26"/>
      <c r="J31" s="26"/>
      <c r="K31" s="26"/>
      <c r="L31" s="26"/>
      <c r="M31" s="26"/>
      <c r="N31" s="26"/>
      <c r="O31" s="26"/>
      <c r="P31" s="26"/>
      <c r="Q31" s="94"/>
      <c r="R31" s="2"/>
      <c r="S31" s="2"/>
      <c r="T31" s="2"/>
      <c r="U31" s="2"/>
      <c r="V31" s="26"/>
      <c r="W31" s="26"/>
      <c r="X31" s="29"/>
      <c r="Y31" s="112"/>
      <c r="Z31" s="26"/>
      <c r="AA31" s="26"/>
      <c r="AB31" s="26"/>
      <c r="AC31" s="26"/>
      <c r="AD31" s="26"/>
      <c r="AE31" s="26"/>
      <c r="AF31" s="26"/>
      <c r="AG31" s="26"/>
      <c r="AH31" s="26"/>
      <c r="AI31" s="26"/>
      <c r="AJ31" s="26"/>
      <c r="AK31" s="26"/>
      <c r="AL31" s="26"/>
      <c r="AM31" s="26"/>
      <c r="AN31" s="26"/>
      <c r="AO31" s="26"/>
      <c r="AP31" s="26"/>
      <c r="AQ31" s="26"/>
      <c r="AR31" s="26"/>
      <c r="AS31" s="26"/>
      <c r="AT31" s="26"/>
      <c r="AU31" s="26"/>
      <c r="AV31" s="26"/>
      <c r="AW31" s="26"/>
      <c r="AX31" s="26"/>
      <c r="AY31" s="26"/>
      <c r="AZ31" s="26"/>
      <c r="BA31" s="26"/>
      <c r="BB31" s="26"/>
      <c r="BC31" s="26"/>
      <c r="BD31" s="26"/>
      <c r="BE31" s="26"/>
      <c r="BF31" s="26"/>
      <c r="BG31" s="26"/>
      <c r="BH31" s="26"/>
      <c r="BI31" s="26"/>
      <c r="BJ31" s="26"/>
      <c r="BK31" s="26"/>
      <c r="BL31" s="26"/>
      <c r="BM31" s="26"/>
      <c r="BN31" s="26"/>
      <c r="BO31" s="26"/>
      <c r="BP31" s="26"/>
      <c r="BQ31" s="26"/>
      <c r="BR31" s="26"/>
      <c r="BS31" s="26"/>
      <c r="BT31" s="26"/>
      <c r="BU31" s="26"/>
      <c r="BV31" s="26"/>
      <c r="BW31" s="26"/>
      <c r="BX31" s="26"/>
      <c r="BY31" s="26"/>
      <c r="BZ31" s="26"/>
    </row>
    <row r="32" spans="1:78" ht="20.100000000000001" customHeight="1">
      <c r="A32" s="118"/>
      <c r="B32" s="119"/>
      <c r="C32" s="26"/>
      <c r="D32" s="26"/>
      <c r="E32" s="26"/>
      <c r="F32" s="26"/>
      <c r="G32" s="26"/>
      <c r="H32" s="26"/>
      <c r="I32" s="26"/>
      <c r="J32" s="26"/>
      <c r="K32" s="26"/>
      <c r="L32" s="26"/>
      <c r="M32" s="26"/>
      <c r="N32" s="26"/>
      <c r="O32" s="26"/>
      <c r="P32" s="26"/>
      <c r="Q32" s="26"/>
      <c r="R32" s="2"/>
      <c r="S32" s="2"/>
      <c r="T32" s="2"/>
      <c r="U32" s="2"/>
      <c r="V32" s="26"/>
      <c r="W32" s="26"/>
      <c r="X32" s="29"/>
      <c r="Y32" s="112"/>
      <c r="Z32" s="26"/>
      <c r="AA32" s="26"/>
      <c r="AB32" s="26"/>
      <c r="AC32" s="26"/>
      <c r="AD32" s="26"/>
      <c r="AE32" s="26"/>
      <c r="AF32" s="26"/>
      <c r="AG32" s="26"/>
      <c r="AH32" s="26"/>
      <c r="AI32" s="26"/>
      <c r="AJ32" s="26"/>
      <c r="AK32" s="26"/>
      <c r="AL32" s="26"/>
      <c r="AM32" s="26"/>
      <c r="AN32" s="26"/>
      <c r="AO32" s="26"/>
      <c r="AP32" s="26"/>
      <c r="AQ32" s="26"/>
      <c r="AR32" s="26"/>
      <c r="AS32" s="26"/>
      <c r="AT32" s="26"/>
      <c r="AU32" s="26"/>
      <c r="AV32" s="26"/>
      <c r="AW32" s="26"/>
      <c r="AX32" s="26"/>
      <c r="AY32" s="26"/>
      <c r="AZ32" s="26"/>
      <c r="BA32" s="26"/>
      <c r="BB32" s="26"/>
      <c r="BC32" s="26"/>
      <c r="BD32" s="26"/>
      <c r="BE32" s="26"/>
      <c r="BF32" s="26"/>
      <c r="BG32" s="26"/>
      <c r="BH32" s="26"/>
      <c r="BI32" s="26"/>
      <c r="BJ32" s="26"/>
      <c r="BK32" s="26"/>
      <c r="BL32" s="26"/>
      <c r="BM32" s="26"/>
      <c r="BN32" s="26"/>
      <c r="BO32" s="26"/>
      <c r="BP32" s="26"/>
      <c r="BQ32" s="26"/>
      <c r="BR32" s="26"/>
      <c r="BS32" s="26"/>
      <c r="BT32" s="26"/>
      <c r="BU32" s="26"/>
      <c r="BV32" s="26"/>
      <c r="BW32" s="26"/>
      <c r="BX32" s="26"/>
      <c r="BY32" s="26"/>
      <c r="BZ32" s="26"/>
    </row>
    <row r="33" spans="1:78" ht="20.100000000000001" customHeight="1">
      <c r="A33" s="118"/>
      <c r="B33" s="119"/>
      <c r="C33" s="26"/>
      <c r="D33" s="26"/>
      <c r="E33" s="26"/>
      <c r="F33" s="26"/>
      <c r="G33" s="26"/>
      <c r="H33" s="26"/>
      <c r="I33" s="26"/>
      <c r="J33" s="26"/>
      <c r="K33" s="26"/>
      <c r="L33" s="26"/>
      <c r="M33" s="26"/>
      <c r="N33" s="26"/>
      <c r="O33" s="26"/>
      <c r="P33" s="26"/>
      <c r="Q33" s="26"/>
      <c r="R33" s="2"/>
      <c r="S33" s="2"/>
      <c r="T33" s="2"/>
      <c r="U33" s="2"/>
      <c r="V33" s="26"/>
      <c r="W33" s="26"/>
      <c r="X33" s="29"/>
      <c r="Y33" s="112"/>
      <c r="Z33" s="26"/>
      <c r="AA33" s="26"/>
      <c r="AB33" s="26"/>
      <c r="AC33" s="26"/>
      <c r="AD33" s="26"/>
      <c r="AE33" s="26"/>
      <c r="AF33" s="26"/>
      <c r="AG33" s="26"/>
      <c r="AH33" s="26"/>
      <c r="AI33" s="26"/>
      <c r="AJ33" s="26"/>
      <c r="AK33" s="26"/>
      <c r="AL33" s="26"/>
      <c r="AM33" s="26"/>
      <c r="AN33" s="26"/>
      <c r="AO33" s="26"/>
      <c r="AP33" s="26"/>
      <c r="AQ33" s="26"/>
      <c r="AR33" s="26"/>
      <c r="AS33" s="26"/>
      <c r="AT33" s="26"/>
      <c r="AU33" s="26"/>
      <c r="AV33" s="26"/>
      <c r="AW33" s="26"/>
      <c r="AX33" s="26"/>
      <c r="AY33" s="26"/>
      <c r="AZ33" s="26"/>
      <c r="BA33" s="26"/>
      <c r="BB33" s="26"/>
      <c r="BC33" s="26"/>
      <c r="BD33" s="26"/>
      <c r="BE33" s="26"/>
      <c r="BF33" s="26"/>
      <c r="BG33" s="26"/>
      <c r="BH33" s="26"/>
      <c r="BI33" s="26"/>
      <c r="BJ33" s="26"/>
      <c r="BK33" s="26"/>
      <c r="BL33" s="26"/>
      <c r="BM33" s="26"/>
      <c r="BN33" s="26"/>
      <c r="BO33" s="26"/>
      <c r="BP33" s="26"/>
      <c r="BQ33" s="26"/>
      <c r="BR33" s="26"/>
      <c r="BS33" s="26"/>
      <c r="BT33" s="26"/>
      <c r="BU33" s="26"/>
      <c r="BV33" s="26"/>
      <c r="BW33" s="26"/>
      <c r="BX33" s="26"/>
      <c r="BY33" s="26"/>
      <c r="BZ33" s="26"/>
    </row>
    <row r="34" spans="1:78" ht="20.100000000000001" customHeight="1">
      <c r="A34" s="26"/>
      <c r="B34" s="26"/>
      <c r="C34" s="26"/>
      <c r="D34" s="26"/>
      <c r="E34" s="26"/>
      <c r="F34" s="26"/>
      <c r="G34" s="26"/>
      <c r="H34" s="26"/>
      <c r="I34" s="26"/>
      <c r="J34" s="26"/>
      <c r="K34" s="26"/>
      <c r="L34" s="26"/>
      <c r="M34" s="26"/>
      <c r="N34" s="26"/>
      <c r="O34" s="26"/>
      <c r="P34" s="26"/>
      <c r="Q34" s="26"/>
      <c r="R34" s="2"/>
      <c r="S34" s="2"/>
      <c r="T34" s="2"/>
      <c r="U34" s="2"/>
      <c r="V34" s="26"/>
      <c r="W34" s="26"/>
      <c r="X34" s="29"/>
      <c r="Y34" s="112"/>
      <c r="Z34" s="26"/>
      <c r="AA34" s="26"/>
      <c r="AB34" s="26"/>
      <c r="AC34" s="26"/>
      <c r="AD34" s="26"/>
      <c r="AE34" s="26"/>
      <c r="AF34" s="26"/>
      <c r="AG34" s="26"/>
      <c r="AH34" s="26"/>
      <c r="AI34" s="26"/>
      <c r="AJ34" s="26"/>
      <c r="AK34" s="26"/>
      <c r="AL34" s="26"/>
      <c r="AM34" s="26"/>
      <c r="AN34" s="26"/>
      <c r="AO34" s="26"/>
      <c r="AP34" s="26"/>
      <c r="AQ34" s="26"/>
      <c r="AR34" s="26"/>
      <c r="AS34" s="26"/>
      <c r="AT34" s="26"/>
      <c r="AU34" s="26"/>
      <c r="AV34" s="26"/>
      <c r="AW34" s="26"/>
      <c r="AX34" s="26"/>
      <c r="AY34" s="26"/>
      <c r="AZ34" s="26"/>
      <c r="BA34" s="26"/>
      <c r="BB34" s="26"/>
      <c r="BC34" s="26"/>
      <c r="BD34" s="26"/>
      <c r="BE34" s="26"/>
      <c r="BF34" s="26"/>
      <c r="BG34" s="26"/>
      <c r="BH34" s="26"/>
      <c r="BI34" s="26"/>
      <c r="BJ34" s="26"/>
      <c r="BK34" s="26"/>
      <c r="BL34" s="26"/>
      <c r="BM34" s="26"/>
      <c r="BN34" s="26"/>
      <c r="BO34" s="26"/>
      <c r="BP34" s="26"/>
      <c r="BQ34" s="26"/>
      <c r="BR34" s="26"/>
      <c r="BS34" s="26"/>
      <c r="BT34" s="26"/>
      <c r="BU34" s="26"/>
      <c r="BV34" s="26"/>
      <c r="BW34" s="26"/>
      <c r="BX34" s="26"/>
      <c r="BY34" s="26"/>
      <c r="BZ34" s="26"/>
    </row>
    <row r="35" spans="1:78" ht="20.100000000000001" customHeight="1">
      <c r="A35" s="26"/>
      <c r="B35" s="26"/>
      <c r="C35" s="26"/>
      <c r="D35" s="26"/>
      <c r="E35" s="26"/>
      <c r="F35" s="26"/>
      <c r="G35" s="26"/>
      <c r="H35" s="26"/>
      <c r="I35" s="26"/>
      <c r="J35" s="26"/>
      <c r="K35" s="26"/>
      <c r="L35" s="26"/>
      <c r="M35" s="26"/>
      <c r="N35" s="26"/>
      <c r="O35" s="26"/>
      <c r="P35" s="26"/>
      <c r="Q35" s="26"/>
      <c r="R35" s="2"/>
      <c r="S35" s="2"/>
      <c r="T35" s="2"/>
      <c r="U35" s="2"/>
      <c r="V35" s="26"/>
      <c r="W35" s="26"/>
      <c r="X35" s="29"/>
      <c r="Y35" s="112"/>
      <c r="Z35" s="26"/>
      <c r="AA35" s="26"/>
      <c r="AB35" s="26"/>
      <c r="AC35" s="26"/>
      <c r="AD35" s="26"/>
      <c r="AE35" s="26"/>
      <c r="AF35" s="26"/>
      <c r="AG35" s="26"/>
      <c r="AH35" s="26"/>
      <c r="AI35" s="26"/>
      <c r="AJ35" s="26"/>
      <c r="AK35" s="26"/>
      <c r="AL35" s="26"/>
      <c r="AM35" s="26"/>
      <c r="AN35" s="26"/>
      <c r="AO35" s="26"/>
      <c r="AP35" s="26"/>
      <c r="AQ35" s="26"/>
      <c r="AR35" s="26"/>
      <c r="AS35" s="26"/>
      <c r="AT35" s="26"/>
      <c r="AU35" s="26"/>
      <c r="AV35" s="26"/>
      <c r="AW35" s="26"/>
      <c r="AX35" s="26"/>
      <c r="AY35" s="26"/>
      <c r="AZ35" s="26"/>
      <c r="BA35" s="26"/>
      <c r="BB35" s="26"/>
      <c r="BC35" s="26"/>
      <c r="BD35" s="26"/>
      <c r="BE35" s="26"/>
      <c r="BF35" s="26"/>
      <c r="BG35" s="26"/>
      <c r="BH35" s="26"/>
      <c r="BI35" s="26"/>
      <c r="BJ35" s="26"/>
      <c r="BK35" s="26"/>
      <c r="BL35" s="26"/>
      <c r="BM35" s="26"/>
      <c r="BN35" s="26"/>
      <c r="BO35" s="26"/>
      <c r="BP35" s="26"/>
      <c r="BQ35" s="26"/>
      <c r="BR35" s="26"/>
      <c r="BS35" s="26"/>
      <c r="BT35" s="26"/>
      <c r="BU35" s="26"/>
      <c r="BV35" s="26"/>
      <c r="BW35" s="26"/>
      <c r="BX35" s="26"/>
      <c r="BY35" s="26"/>
      <c r="BZ35" s="26"/>
    </row>
    <row r="36" spans="1:78" ht="20.100000000000001" customHeight="1">
      <c r="A36" s="26"/>
      <c r="B36" s="26"/>
      <c r="C36" s="26"/>
      <c r="D36" s="26"/>
      <c r="E36" s="26"/>
      <c r="F36" s="26"/>
      <c r="G36" s="26"/>
      <c r="H36" s="26"/>
      <c r="I36" s="26"/>
      <c r="J36" s="26"/>
      <c r="K36" s="26"/>
      <c r="L36" s="26"/>
      <c r="M36" s="26"/>
      <c r="N36" s="26"/>
      <c r="O36" s="26"/>
      <c r="P36" s="26"/>
      <c r="Q36" s="26"/>
      <c r="R36" s="2"/>
      <c r="S36" s="2"/>
      <c r="T36" s="2"/>
      <c r="U36" s="2"/>
      <c r="V36" s="26"/>
      <c r="W36" s="26"/>
      <c r="X36" s="29"/>
      <c r="Y36" s="112"/>
      <c r="Z36" s="26"/>
      <c r="AA36" s="26"/>
      <c r="AB36" s="26"/>
      <c r="AC36" s="26"/>
      <c r="AD36" s="26"/>
      <c r="AE36" s="26"/>
      <c r="AF36" s="26"/>
      <c r="AG36" s="26"/>
      <c r="AH36" s="26"/>
      <c r="AI36" s="26"/>
      <c r="AJ36" s="26"/>
      <c r="AK36" s="26"/>
      <c r="AL36" s="26"/>
      <c r="AM36" s="26"/>
      <c r="AN36" s="26"/>
      <c r="AO36" s="26"/>
      <c r="AP36" s="26"/>
      <c r="AQ36" s="26"/>
      <c r="AR36" s="26"/>
      <c r="AS36" s="26"/>
      <c r="AT36" s="26"/>
      <c r="AU36" s="26"/>
      <c r="AV36" s="26"/>
      <c r="AW36" s="26"/>
      <c r="AX36" s="26"/>
      <c r="AY36" s="26"/>
      <c r="AZ36" s="26"/>
      <c r="BA36" s="26"/>
      <c r="BB36" s="26"/>
      <c r="BC36" s="26"/>
      <c r="BD36" s="26"/>
      <c r="BE36" s="26"/>
      <c r="BF36" s="26"/>
      <c r="BG36" s="26"/>
      <c r="BH36" s="26"/>
      <c r="BI36" s="26"/>
      <c r="BJ36" s="26"/>
      <c r="BK36" s="26"/>
      <c r="BL36" s="26"/>
      <c r="BM36" s="26"/>
      <c r="BN36" s="26"/>
      <c r="BO36" s="26"/>
      <c r="BP36" s="26"/>
      <c r="BQ36" s="26"/>
      <c r="BR36" s="26"/>
      <c r="BS36" s="26"/>
      <c r="BT36" s="26"/>
      <c r="BU36" s="26"/>
      <c r="BV36" s="26"/>
      <c r="BW36" s="26"/>
      <c r="BX36" s="26"/>
      <c r="BY36" s="26"/>
      <c r="BZ36" s="26"/>
    </row>
    <row r="37" spans="1:78" ht="20.100000000000001" customHeight="1">
      <c r="A37" s="26"/>
      <c r="B37" s="26"/>
      <c r="C37" s="26"/>
      <c r="D37" s="26"/>
      <c r="E37" s="26"/>
      <c r="F37" s="26"/>
      <c r="G37" s="26"/>
      <c r="H37" s="26"/>
      <c r="I37" s="26"/>
      <c r="J37" s="26"/>
      <c r="K37" s="26"/>
      <c r="L37" s="26"/>
      <c r="M37" s="26"/>
      <c r="N37" s="26"/>
      <c r="O37" s="26"/>
      <c r="P37" s="26"/>
      <c r="Q37" s="26"/>
      <c r="R37" s="2"/>
      <c r="S37" s="2"/>
      <c r="T37" s="2"/>
      <c r="U37" s="2"/>
      <c r="V37" s="26"/>
      <c r="W37" s="26"/>
      <c r="X37" s="29"/>
      <c r="Y37" s="112"/>
      <c r="Z37" s="26"/>
      <c r="AA37" s="26"/>
      <c r="AB37" s="26"/>
      <c r="AC37" s="26"/>
      <c r="AD37" s="26"/>
      <c r="AE37" s="26"/>
      <c r="AF37" s="26"/>
      <c r="AG37" s="26"/>
      <c r="AH37" s="26"/>
      <c r="AI37" s="26"/>
      <c r="AJ37" s="26"/>
      <c r="AK37" s="26"/>
      <c r="AL37" s="26"/>
      <c r="AM37" s="26"/>
      <c r="AN37" s="26"/>
      <c r="AO37" s="26"/>
      <c r="AP37" s="26"/>
      <c r="AQ37" s="26"/>
      <c r="AR37" s="26"/>
      <c r="AS37" s="26"/>
      <c r="AT37" s="26"/>
      <c r="AU37" s="26"/>
      <c r="AV37" s="26"/>
      <c r="AW37" s="1316" t="s">
        <v>1105</v>
      </c>
      <c r="AX37" s="1317"/>
      <c r="AY37" s="1316" t="s">
        <v>1105</v>
      </c>
      <c r="AZ37" s="1317"/>
      <c r="BA37" s="26"/>
      <c r="BB37" s="26"/>
      <c r="BC37" s="26"/>
      <c r="BD37" s="26"/>
      <c r="BE37" s="26"/>
      <c r="BF37" s="26"/>
      <c r="BG37" s="26"/>
      <c r="BH37" s="26"/>
      <c r="BI37" s="26"/>
      <c r="BJ37" s="26"/>
      <c r="BK37" s="26"/>
      <c r="BL37" s="26"/>
      <c r="BM37" s="26"/>
      <c r="BN37" s="26"/>
      <c r="BO37" s="26"/>
      <c r="BP37" s="26"/>
      <c r="BQ37" s="26"/>
      <c r="BR37" s="26"/>
      <c r="BS37" s="26"/>
      <c r="BT37" s="26"/>
      <c r="BU37" s="26"/>
      <c r="BV37" s="26"/>
      <c r="BW37" s="26"/>
      <c r="BX37" s="26"/>
      <c r="BY37" s="26"/>
      <c r="BZ37" s="26"/>
    </row>
    <row r="38" spans="1:78" ht="20.100000000000001" customHeight="1">
      <c r="A38" s="26"/>
      <c r="B38" s="26"/>
      <c r="C38" s="26"/>
      <c r="D38" s="26"/>
      <c r="E38" s="26"/>
      <c r="F38" s="26"/>
      <c r="G38" s="26"/>
      <c r="H38" s="26"/>
      <c r="I38" s="26"/>
      <c r="J38" s="26"/>
      <c r="K38" s="26"/>
      <c r="L38" s="26"/>
      <c r="M38" s="26"/>
      <c r="N38" s="26"/>
      <c r="O38" s="26"/>
      <c r="P38" s="26"/>
      <c r="Q38" s="26"/>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1318" t="s">
        <v>1106</v>
      </c>
      <c r="AX38" s="1319"/>
      <c r="AY38" s="1318" t="s">
        <v>1141</v>
      </c>
      <c r="AZ38" s="1319"/>
      <c r="BA38" s="1120" t="s">
        <v>1087</v>
      </c>
      <c r="BB38" s="100"/>
      <c r="BC38" s="100"/>
      <c r="BD38" s="100"/>
      <c r="BE38" s="100"/>
      <c r="BF38" s="100"/>
      <c r="BG38" s="100"/>
      <c r="BH38" s="100"/>
      <c r="BI38" s="100"/>
      <c r="BJ38" s="100"/>
      <c r="BK38" s="100"/>
      <c r="BL38" s="100"/>
      <c r="BM38" s="100"/>
      <c r="BN38" s="100"/>
      <c r="BO38" s="100"/>
      <c r="BP38" s="100"/>
      <c r="BQ38" s="100"/>
      <c r="BR38" s="100"/>
      <c r="BS38" s="100"/>
      <c r="BT38" s="100"/>
      <c r="BU38" s="100"/>
      <c r="BV38" s="100"/>
      <c r="BW38" s="100"/>
      <c r="BX38" s="100"/>
      <c r="BY38" s="100"/>
      <c r="BZ38" s="99"/>
    </row>
    <row r="39" spans="1:78" ht="15.95" customHeight="1">
      <c r="A39" s="120" t="s">
        <v>618</v>
      </c>
      <c r="B39" s="120" t="str">
        <f>IF(A21=2,"pH", "'pH'")</f>
        <v>pH</v>
      </c>
      <c r="C39" s="120" t="s">
        <v>618</v>
      </c>
      <c r="D39" s="120" t="str">
        <f>IF(A21=2,"pH", "'pH'")</f>
        <v>pH</v>
      </c>
      <c r="E39" s="120" t="s">
        <v>578</v>
      </c>
      <c r="F39" s="120" t="s">
        <v>33</v>
      </c>
      <c r="G39" s="120" t="s">
        <v>779</v>
      </c>
      <c r="H39" s="120" t="s">
        <v>780</v>
      </c>
      <c r="I39" s="120" t="s">
        <v>337</v>
      </c>
      <c r="J39" s="120" t="s">
        <v>338</v>
      </c>
      <c r="K39" s="120" t="s">
        <v>339</v>
      </c>
      <c r="L39" s="120" t="s">
        <v>340</v>
      </c>
      <c r="M39" s="120" t="s">
        <v>341</v>
      </c>
      <c r="N39" s="120" t="s">
        <v>342</v>
      </c>
      <c r="O39" s="120" t="s">
        <v>344</v>
      </c>
      <c r="P39" s="120" t="s">
        <v>624</v>
      </c>
      <c r="Q39" s="120" t="s">
        <v>625</v>
      </c>
      <c r="R39" s="120" t="s">
        <v>626</v>
      </c>
      <c r="S39" s="877" t="s">
        <v>988</v>
      </c>
      <c r="T39" s="120"/>
      <c r="U39" s="120"/>
      <c r="V39" s="120"/>
      <c r="W39" s="120"/>
      <c r="X39" s="120"/>
      <c r="Y39" s="120"/>
      <c r="Z39" s="120"/>
      <c r="AA39" s="120"/>
      <c r="AB39" s="120"/>
      <c r="AC39" s="120"/>
      <c r="AD39" s="120"/>
      <c r="AE39" s="120"/>
      <c r="AF39" s="120"/>
      <c r="AG39" s="120"/>
      <c r="AH39" s="120"/>
      <c r="AI39" s="120"/>
      <c r="AJ39" s="120"/>
      <c r="AK39" s="120"/>
      <c r="AL39" s="120"/>
      <c r="AM39" s="120"/>
      <c r="AN39" s="120"/>
      <c r="AO39" s="120"/>
      <c r="AP39" s="120"/>
      <c r="AQ39" s="120"/>
      <c r="AR39" s="120"/>
      <c r="AS39" s="120"/>
      <c r="AT39" s="120"/>
      <c r="AU39" s="120"/>
      <c r="AV39" s="120"/>
      <c r="AW39" s="1320" t="s">
        <v>439</v>
      </c>
      <c r="AX39" s="1320" t="s">
        <v>331</v>
      </c>
      <c r="AY39" s="1320" t="s">
        <v>439</v>
      </c>
      <c r="AZ39" s="1320" t="s">
        <v>331</v>
      </c>
      <c r="BA39" s="120" t="s">
        <v>439</v>
      </c>
      <c r="BB39" s="120" t="s">
        <v>331</v>
      </c>
      <c r="BC39" s="120" t="s">
        <v>439</v>
      </c>
      <c r="BD39" s="120" t="s">
        <v>331</v>
      </c>
      <c r="BE39" s="120" t="s">
        <v>439</v>
      </c>
      <c r="BF39" s="120" t="s">
        <v>331</v>
      </c>
      <c r="BG39" s="120" t="s">
        <v>439</v>
      </c>
      <c r="BH39" s="120" t="s">
        <v>331</v>
      </c>
      <c r="BI39" s="120" t="s">
        <v>439</v>
      </c>
      <c r="BJ39" s="120" t="s">
        <v>331</v>
      </c>
      <c r="BK39" s="120" t="s">
        <v>439</v>
      </c>
      <c r="BL39" s="120" t="s">
        <v>331</v>
      </c>
      <c r="BM39" s="120" t="s">
        <v>439</v>
      </c>
      <c r="BN39" s="120" t="s">
        <v>331</v>
      </c>
      <c r="BO39" s="120" t="s">
        <v>439</v>
      </c>
      <c r="BP39" s="120" t="s">
        <v>331</v>
      </c>
      <c r="BQ39" s="120" t="s">
        <v>439</v>
      </c>
      <c r="BR39" s="120" t="s">
        <v>331</v>
      </c>
      <c r="BS39" s="120" t="s">
        <v>439</v>
      </c>
      <c r="BT39" s="120" t="s">
        <v>331</v>
      </c>
      <c r="BU39" s="120" t="s">
        <v>439</v>
      </c>
      <c r="BV39" s="120" t="s">
        <v>331</v>
      </c>
      <c r="BW39" s="120" t="s">
        <v>439</v>
      </c>
      <c r="BX39" s="120" t="s">
        <v>331</v>
      </c>
      <c r="BY39" s="120" t="s">
        <v>439</v>
      </c>
      <c r="BZ39" s="120" t="s">
        <v>331</v>
      </c>
    </row>
    <row r="40" spans="1:78" s="135" customFormat="1" ht="27.75" customHeight="1">
      <c r="A40" s="316" t="s">
        <v>579</v>
      </c>
      <c r="B40" s="317" t="s">
        <v>619</v>
      </c>
      <c r="C40" s="242" t="s">
        <v>678</v>
      </c>
      <c r="D40" s="242" t="s">
        <v>620</v>
      </c>
      <c r="E40" s="318"/>
      <c r="F40" s="318" t="s">
        <v>346</v>
      </c>
      <c r="G40" s="318" t="s">
        <v>621</v>
      </c>
      <c r="H40" s="318" t="s">
        <v>622</v>
      </c>
      <c r="I40" s="232" t="str">
        <f t="shared" ref="I40:R40" si="15">K3</f>
        <v>Phosphoric acid</v>
      </c>
      <c r="J40" s="232" t="str">
        <f t="shared" si="15"/>
        <v>Phosphoric acid</v>
      </c>
      <c r="K40" s="232" t="str">
        <f t="shared" si="15"/>
        <v>Hydrogen peroxide</v>
      </c>
      <c r="L40" s="232" t="str">
        <f t="shared" si="15"/>
        <v>Acetic acid</v>
      </c>
      <c r="M40" s="232" t="str">
        <f t="shared" si="15"/>
        <v>Ammonia</v>
      </c>
      <c r="N40" s="232" t="str">
        <f t="shared" si="15"/>
        <v>HCl</v>
      </c>
      <c r="O40" s="232" t="str">
        <f t="shared" si="15"/>
        <v>Carbonic acid</v>
      </c>
      <c r="P40" s="242" t="str">
        <f t="shared" si="15"/>
        <v>Strong ACID</v>
      </c>
      <c r="Q40" s="242" t="str">
        <f t="shared" si="15"/>
        <v>Strong BASE</v>
      </c>
      <c r="R40" s="242" t="str">
        <f t="shared" si="15"/>
        <v>Carbonic ac.</v>
      </c>
      <c r="S40" s="716" t="s">
        <v>987</v>
      </c>
      <c r="T40" s="716" t="s">
        <v>986</v>
      </c>
      <c r="U40" s="716" t="s">
        <v>905</v>
      </c>
      <c r="V40" s="716" t="s">
        <v>331</v>
      </c>
      <c r="W40" s="137"/>
      <c r="X40" s="137"/>
      <c r="Y40" s="137"/>
      <c r="Z40" s="137"/>
      <c r="AA40" s="137"/>
      <c r="AB40" s="137"/>
      <c r="AC40" s="137"/>
      <c r="AD40" s="137"/>
      <c r="AE40" s="137"/>
      <c r="AF40" s="137"/>
      <c r="AG40" s="137"/>
      <c r="AH40" s="137"/>
      <c r="AI40" s="137"/>
      <c r="AJ40" s="137"/>
      <c r="AK40" s="137"/>
      <c r="AL40" s="137"/>
      <c r="AM40" s="137"/>
      <c r="AN40" s="137"/>
      <c r="AO40" s="137"/>
      <c r="AP40" s="137"/>
      <c r="AQ40" s="137"/>
      <c r="AR40" s="137"/>
      <c r="AS40" s="137"/>
      <c r="AT40" s="137"/>
      <c r="AU40" s="137"/>
      <c r="AV40" s="137"/>
      <c r="AW40" s="137"/>
      <c r="AX40" s="137"/>
      <c r="AY40" s="1321"/>
      <c r="AZ40" s="1321"/>
      <c r="BA40" s="137">
        <v>1</v>
      </c>
      <c r="BB40" s="137">
        <v>1</v>
      </c>
      <c r="BC40" s="137">
        <v>2</v>
      </c>
      <c r="BD40" s="137">
        <v>2</v>
      </c>
      <c r="BE40" s="137">
        <v>3</v>
      </c>
      <c r="BF40" s="137">
        <v>3</v>
      </c>
      <c r="BG40" s="137">
        <v>4</v>
      </c>
      <c r="BH40" s="137">
        <v>4</v>
      </c>
      <c r="BI40" s="137">
        <v>5</v>
      </c>
      <c r="BJ40" s="137">
        <v>5</v>
      </c>
      <c r="BK40" s="137">
        <v>6</v>
      </c>
      <c r="BL40" s="137">
        <v>6</v>
      </c>
      <c r="BM40" s="137">
        <v>7</v>
      </c>
      <c r="BN40" s="137">
        <v>7</v>
      </c>
      <c r="BO40" s="137">
        <v>8</v>
      </c>
      <c r="BP40" s="137">
        <v>8</v>
      </c>
      <c r="BQ40" s="137">
        <v>9</v>
      </c>
      <c r="BR40" s="137">
        <v>9</v>
      </c>
      <c r="BS40" s="137">
        <v>10</v>
      </c>
      <c r="BT40" s="137">
        <v>10</v>
      </c>
      <c r="BU40" s="137">
        <v>11</v>
      </c>
      <c r="BV40" s="137">
        <v>11</v>
      </c>
      <c r="BW40" s="137">
        <v>12</v>
      </c>
      <c r="BX40" s="137">
        <v>12</v>
      </c>
      <c r="BY40" s="137">
        <v>13</v>
      </c>
      <c r="BZ40" s="137">
        <v>13</v>
      </c>
    </row>
    <row r="41" spans="1:78">
      <c r="A41" s="19">
        <v>0</v>
      </c>
      <c r="B41" s="19">
        <v>7.6769135189713742</v>
      </c>
      <c r="C41" s="121"/>
      <c r="D41" s="19"/>
      <c r="E41" s="122">
        <v>2.4837036945924465E-8</v>
      </c>
      <c r="F41" s="122">
        <v>1.4835999999781848</v>
      </c>
      <c r="G41" s="122">
        <v>1</v>
      </c>
      <c r="H41" s="122">
        <v>0</v>
      </c>
      <c r="I41" s="124">
        <v>1.1682306861277727</v>
      </c>
      <c r="J41" s="124">
        <v>1.1682306861277727</v>
      </c>
      <c r="K41" s="124">
        <v>0.99987443393647868</v>
      </c>
      <c r="L41" s="124"/>
      <c r="M41" s="124"/>
      <c r="N41" s="124"/>
      <c r="O41" s="124"/>
      <c r="P41" s="124"/>
      <c r="Q41" s="124">
        <v>0.99999998990917183</v>
      </c>
      <c r="R41" s="124"/>
      <c r="S41" s="124">
        <v>3.1615385060183451E-2</v>
      </c>
      <c r="T41" s="124">
        <v>1.09E-2</v>
      </c>
      <c r="U41" s="124">
        <v>0.84720146988550382</v>
      </c>
      <c r="V41" s="124">
        <v>7.6049002166593587</v>
      </c>
      <c r="W41" s="17"/>
      <c r="X41" s="17"/>
      <c r="Y41" s="17"/>
      <c r="Z41" s="17"/>
      <c r="AA41" s="17"/>
      <c r="AB41" s="17"/>
      <c r="AC41" s="17"/>
      <c r="AD41" s="17"/>
      <c r="AE41" s="17"/>
      <c r="AF41" s="17"/>
      <c r="AG41" s="17"/>
      <c r="AH41" s="17"/>
      <c r="AI41" s="17"/>
      <c r="AJ41" s="17"/>
      <c r="AK41" s="17"/>
      <c r="AL41" s="17"/>
      <c r="AM41" s="17"/>
      <c r="AN41" s="17"/>
      <c r="AO41" s="17"/>
      <c r="AP41" s="17"/>
      <c r="AQ41" s="17"/>
      <c r="AR41" s="17"/>
      <c r="AS41" s="17"/>
      <c r="AT41" s="17"/>
      <c r="AU41" s="17"/>
      <c r="AV41" s="17"/>
      <c r="AW41" s="17"/>
      <c r="AX41" s="17"/>
      <c r="AY41" s="17"/>
      <c r="AZ41" s="17"/>
      <c r="BA41" s="17"/>
      <c r="BB41" s="17"/>
      <c r="BC41" s="17"/>
      <c r="BD41" s="17"/>
      <c r="BE41" s="17"/>
      <c r="BF41" s="17"/>
      <c r="BG41" s="17"/>
      <c r="BH41" s="17"/>
      <c r="BI41" s="17"/>
      <c r="BJ41" s="17"/>
      <c r="BK41" s="17"/>
      <c r="BL41" s="17"/>
      <c r="BM41" s="17"/>
      <c r="BN41" s="17"/>
      <c r="BO41" s="17"/>
      <c r="BP41" s="17"/>
      <c r="BQ41" s="17"/>
      <c r="BR41" s="17"/>
      <c r="BS41" s="17"/>
      <c r="BT41" s="17"/>
      <c r="BU41" s="17"/>
      <c r="BV41" s="17"/>
      <c r="BW41" s="17"/>
      <c r="BX41" s="17"/>
      <c r="BY41" s="17"/>
      <c r="BZ41" s="17"/>
    </row>
    <row r="42" spans="1:78">
      <c r="A42" s="19">
        <v>1.438806277180352E-3</v>
      </c>
      <c r="B42" s="19">
        <v>7.86252316801788</v>
      </c>
      <c r="C42" s="121"/>
      <c r="D42" s="19"/>
      <c r="E42" s="122">
        <v>1.6241605677130378E-8</v>
      </c>
      <c r="F42" s="122">
        <v>1.4825334607794438</v>
      </c>
      <c r="G42" s="122">
        <v>0.99928111403023279</v>
      </c>
      <c r="H42" s="122">
        <v>7.1888596976723694E-4</v>
      </c>
      <c r="I42" s="124">
        <v>1.1156933787234944</v>
      </c>
      <c r="J42" s="124">
        <v>1.1156933787234944</v>
      </c>
      <c r="K42" s="124">
        <v>0.99980698482325214</v>
      </c>
      <c r="L42" s="124"/>
      <c r="M42" s="124"/>
      <c r="N42" s="124"/>
      <c r="O42" s="124"/>
      <c r="P42" s="124"/>
      <c r="Q42" s="124">
        <v>0.99999998448773253</v>
      </c>
      <c r="R42" s="124"/>
      <c r="S42" s="124">
        <v>3.293133716188229E-2</v>
      </c>
      <c r="T42" s="124">
        <v>1.1251607127813156E-2</v>
      </c>
      <c r="U42" s="124">
        <v>0.84498280762345668</v>
      </c>
      <c r="V42" s="124">
        <v>7.7893710377644085</v>
      </c>
      <c r="W42" s="17"/>
      <c r="X42" s="17"/>
      <c r="Y42" s="17"/>
      <c r="Z42" s="17"/>
      <c r="AA42" s="17"/>
      <c r="AB42" s="17"/>
      <c r="AC42" s="17"/>
      <c r="AD42" s="17"/>
      <c r="AE42" s="17"/>
      <c r="AF42" s="17"/>
      <c r="AG42" s="17"/>
      <c r="AH42" s="17"/>
      <c r="AI42" s="17"/>
      <c r="AJ42" s="17"/>
      <c r="AK42" s="17"/>
      <c r="AL42" s="17"/>
      <c r="AM42" s="17"/>
      <c r="AN42" s="17"/>
      <c r="AO42" s="17"/>
      <c r="AP42" s="17"/>
      <c r="AQ42" s="17"/>
      <c r="AR42" s="17"/>
      <c r="AS42" s="17"/>
      <c r="AT42" s="17"/>
      <c r="AU42" s="17"/>
      <c r="AV42" s="17"/>
      <c r="AW42" s="17"/>
      <c r="AX42" s="17"/>
      <c r="AY42" s="17"/>
      <c r="AZ42" s="17"/>
      <c r="BA42" s="17"/>
      <c r="BB42" s="17"/>
      <c r="BC42" s="17"/>
      <c r="BD42" s="17"/>
      <c r="BE42" s="17"/>
      <c r="BF42" s="17"/>
      <c r="BG42" s="17"/>
      <c r="BH42" s="17"/>
      <c r="BI42" s="17"/>
      <c r="BJ42" s="17"/>
      <c r="BK42" s="17"/>
      <c r="BL42" s="17"/>
      <c r="BM42" s="17"/>
      <c r="BN42" s="17"/>
      <c r="BO42" s="17"/>
      <c r="BP42" s="17"/>
      <c r="BQ42" s="17"/>
      <c r="BR42" s="17"/>
      <c r="BS42" s="17"/>
      <c r="BT42" s="17"/>
      <c r="BU42" s="17"/>
      <c r="BV42" s="17"/>
      <c r="BW42" s="17"/>
      <c r="BX42" s="17"/>
      <c r="BY42" s="17"/>
      <c r="BZ42" s="17"/>
    </row>
    <row r="43" spans="1:78">
      <c r="A43" s="19">
        <v>2.6288177097226074E-3</v>
      </c>
      <c r="B43" s="19">
        <v>8.0478505400893603</v>
      </c>
      <c r="C43" s="121"/>
      <c r="D43" s="19"/>
      <c r="E43" s="122">
        <v>1.0620822264174256E-8</v>
      </c>
      <c r="F43" s="122">
        <v>1.4816525028205201</v>
      </c>
      <c r="G43" s="122">
        <v>0.99868731654074072</v>
      </c>
      <c r="H43" s="122">
        <v>1.3126834592593415E-3</v>
      </c>
      <c r="I43" s="124">
        <v>1.0781758675390958</v>
      </c>
      <c r="J43" s="124">
        <v>1.0781758675390958</v>
      </c>
      <c r="K43" s="124">
        <v>0.99970370077527027</v>
      </c>
      <c r="L43" s="124"/>
      <c r="M43" s="124"/>
      <c r="N43" s="124"/>
      <c r="O43" s="124"/>
      <c r="P43" s="124"/>
      <c r="Q43" s="124">
        <v>0.99999997618452741</v>
      </c>
      <c r="R43" s="124"/>
      <c r="S43" s="124">
        <v>3.3948594425138319E-2</v>
      </c>
      <c r="T43" s="124">
        <v>1.1542033479923745E-2</v>
      </c>
      <c r="U43" s="124">
        <v>0.84331790610955526</v>
      </c>
      <c r="V43" s="124">
        <v>7.9738418588694593</v>
      </c>
      <c r="W43" s="17"/>
      <c r="X43" s="17"/>
      <c r="Y43" s="17"/>
      <c r="Z43" s="17"/>
      <c r="AA43" s="17"/>
      <c r="AB43" s="17"/>
      <c r="AC43" s="17"/>
      <c r="AD43" s="17"/>
      <c r="AE43" s="17"/>
      <c r="AF43" s="17"/>
      <c r="AG43" s="17"/>
      <c r="AH43" s="17"/>
      <c r="AI43" s="17"/>
      <c r="AJ43" s="17"/>
      <c r="AK43" s="17"/>
      <c r="AL43" s="17"/>
      <c r="AM43" s="17"/>
      <c r="AN43" s="17"/>
      <c r="AO43" s="17"/>
      <c r="AP43" s="17"/>
      <c r="AQ43" s="17"/>
      <c r="AR43" s="17"/>
      <c r="AS43" s="17"/>
      <c r="AT43" s="17"/>
      <c r="AU43" s="17"/>
      <c r="AV43" s="17"/>
      <c r="AW43" s="17"/>
      <c r="AX43" s="17"/>
      <c r="AY43" s="17"/>
      <c r="AZ43" s="17"/>
      <c r="BA43" s="17"/>
      <c r="BB43" s="17"/>
      <c r="BC43" s="17"/>
      <c r="BD43" s="17"/>
      <c r="BE43" s="17"/>
      <c r="BF43" s="17"/>
      <c r="BG43" s="17"/>
      <c r="BH43" s="17"/>
      <c r="BI43" s="17"/>
      <c r="BJ43" s="17"/>
      <c r="BK43" s="17"/>
      <c r="BL43" s="17"/>
      <c r="BM43" s="17"/>
      <c r="BN43" s="17"/>
      <c r="BO43" s="17"/>
      <c r="BP43" s="17"/>
      <c r="BQ43" s="17"/>
      <c r="BR43" s="17"/>
      <c r="BS43" s="17"/>
      <c r="BT43" s="17"/>
      <c r="BU43" s="17"/>
      <c r="BV43" s="17"/>
      <c r="BW43" s="17"/>
      <c r="BX43" s="17"/>
      <c r="BY43" s="17"/>
      <c r="BZ43" s="17"/>
    </row>
    <row r="44" spans="1:78">
      <c r="A44" s="19">
        <v>3.7099328337087335E-3</v>
      </c>
      <c r="B44" s="19">
        <v>8.2330045908902569</v>
      </c>
      <c r="C44" s="121"/>
      <c r="D44" s="19"/>
      <c r="E44" s="122">
        <v>6.9452409946151347E-9</v>
      </c>
      <c r="F44" s="122">
        <v>1.4808530672298437</v>
      </c>
      <c r="G44" s="122">
        <v>0.99814846811261648</v>
      </c>
      <c r="H44" s="122">
        <v>1.8515318873835354E-3</v>
      </c>
      <c r="I44" s="124">
        <v>1.0521302452019172</v>
      </c>
      <c r="J44" s="124">
        <v>1.0521302452019172</v>
      </c>
      <c r="K44" s="124">
        <v>0.99954553642563471</v>
      </c>
      <c r="L44" s="124"/>
      <c r="M44" s="124"/>
      <c r="N44" s="124"/>
      <c r="O44" s="124"/>
      <c r="P44" s="124"/>
      <c r="Q44" s="124">
        <v>0.99999996346606268</v>
      </c>
      <c r="R44" s="124"/>
      <c r="S44" s="124">
        <v>3.4777344212681853E-2</v>
      </c>
      <c r="T44" s="124">
        <v>1.1805584246119287E-2</v>
      </c>
      <c r="U44" s="124">
        <v>0.84199224609464374</v>
      </c>
      <c r="V44" s="124">
        <v>8.1583126799745092</v>
      </c>
      <c r="W44" s="17"/>
      <c r="X44" s="17"/>
      <c r="Y44" s="17"/>
      <c r="Z44" s="17"/>
      <c r="AA44" s="17"/>
      <c r="AB44" s="17"/>
      <c r="AC44" s="17"/>
      <c r="AD44" s="17"/>
      <c r="AE44" s="17"/>
      <c r="AF44" s="17"/>
      <c r="AG44" s="17"/>
      <c r="AH44" s="17"/>
      <c r="AI44" s="17"/>
      <c r="AJ44" s="17"/>
      <c r="AK44" s="17"/>
      <c r="AL44" s="17"/>
      <c r="AM44" s="17"/>
      <c r="AN44" s="17"/>
      <c r="AO44" s="17"/>
      <c r="AP44" s="17"/>
      <c r="AQ44" s="17"/>
      <c r="AR44" s="17"/>
      <c r="AS44" s="17"/>
      <c r="AT44" s="17"/>
      <c r="AU44" s="17"/>
      <c r="AV44" s="17"/>
      <c r="AW44" s="17"/>
      <c r="AX44" s="17"/>
      <c r="AY44" s="17"/>
      <c r="AZ44" s="17"/>
      <c r="BA44" s="17"/>
      <c r="BB44" s="17"/>
      <c r="BC44" s="17"/>
      <c r="BD44" s="17"/>
      <c r="BE44" s="17"/>
      <c r="BF44" s="17"/>
      <c r="BG44" s="17"/>
      <c r="BH44" s="17"/>
      <c r="BI44" s="17"/>
      <c r="BJ44" s="17"/>
      <c r="BK44" s="17"/>
      <c r="BL44" s="17"/>
      <c r="BM44" s="17"/>
      <c r="BN44" s="17"/>
      <c r="BO44" s="17"/>
      <c r="BP44" s="17"/>
      <c r="BQ44" s="17"/>
      <c r="BR44" s="17"/>
      <c r="BS44" s="17"/>
      <c r="BT44" s="17"/>
      <c r="BU44" s="17"/>
      <c r="BV44" s="17"/>
      <c r="BW44" s="17"/>
      <c r="BX44" s="17"/>
      <c r="BY44" s="17"/>
      <c r="BZ44" s="17"/>
    </row>
    <row r="45" spans="1:78">
      <c r="A45" s="19">
        <v>4.8436340166285339E-3</v>
      </c>
      <c r="B45" s="19">
        <v>8.4180876936003646</v>
      </c>
      <c r="C45" s="121"/>
      <c r="D45" s="19"/>
      <c r="E45" s="122">
        <v>4.5416796622227341E-9</v>
      </c>
      <c r="F45" s="122">
        <v>1.4800156728620502</v>
      </c>
      <c r="G45" s="122">
        <v>0.99758403401918949</v>
      </c>
      <c r="H45" s="122">
        <v>2.4159659808104315E-3</v>
      </c>
      <c r="I45" s="124">
        <v>1.034370638430361</v>
      </c>
      <c r="J45" s="124">
        <v>1.034370638430361</v>
      </c>
      <c r="K45" s="124">
        <v>0.99930323043656355</v>
      </c>
      <c r="L45" s="124"/>
      <c r="M45" s="124"/>
      <c r="N45" s="124"/>
      <c r="O45" s="124"/>
      <c r="P45" s="124"/>
      <c r="Q45" s="124">
        <v>0.99999994397371117</v>
      </c>
      <c r="R45" s="124"/>
      <c r="S45" s="124">
        <v>3.5533362914742017E-2</v>
      </c>
      <c r="T45" s="124">
        <v>1.2081648961214381E-2</v>
      </c>
      <c r="U45" s="124">
        <v>0.84080601618420847</v>
      </c>
      <c r="V45" s="124">
        <v>8.342783501079559</v>
      </c>
      <c r="W45" s="17"/>
      <c r="X45" s="17"/>
      <c r="Y45" s="17"/>
      <c r="Z45" s="17"/>
      <c r="AA45" s="17"/>
      <c r="AB45" s="17"/>
      <c r="AC45" s="17"/>
      <c r="AD45" s="17"/>
      <c r="AE45" s="17"/>
      <c r="AF45" s="17"/>
      <c r="AG45" s="17"/>
      <c r="AH45" s="17"/>
      <c r="AI45" s="17"/>
      <c r="AJ45" s="17"/>
      <c r="AK45" s="17"/>
      <c r="AL45" s="17"/>
      <c r="AM45" s="17"/>
      <c r="AN45" s="17"/>
      <c r="AO45" s="17"/>
      <c r="AP45" s="17"/>
      <c r="AQ45" s="17"/>
      <c r="AR45" s="17"/>
      <c r="AS45" s="17"/>
      <c r="AT45" s="17"/>
      <c r="AU45" s="17"/>
      <c r="AV45" s="17"/>
      <c r="AW45" s="17"/>
      <c r="AX45" s="17"/>
      <c r="AY45" s="17"/>
      <c r="AZ45" s="17"/>
      <c r="BA45" s="17"/>
      <c r="BB45" s="17"/>
      <c r="BC45" s="17"/>
      <c r="BD45" s="17"/>
      <c r="BE45" s="17"/>
      <c r="BF45" s="17"/>
      <c r="BG45" s="17"/>
      <c r="BH45" s="17"/>
      <c r="BI45" s="17"/>
      <c r="BJ45" s="17"/>
      <c r="BK45" s="17"/>
      <c r="BL45" s="17"/>
      <c r="BM45" s="17"/>
      <c r="BN45" s="17"/>
      <c r="BO45" s="17"/>
      <c r="BP45" s="17"/>
      <c r="BQ45" s="17"/>
      <c r="BR45" s="17"/>
      <c r="BS45" s="17"/>
      <c r="BT45" s="17"/>
      <c r="BU45" s="17"/>
      <c r="BV45" s="17"/>
      <c r="BW45" s="17"/>
      <c r="BX45" s="17"/>
      <c r="BY45" s="17"/>
      <c r="BZ45" s="17"/>
    </row>
    <row r="46" spans="1:78">
      <c r="A46" s="19">
        <v>6.2223916331365266E-3</v>
      </c>
      <c r="B46" s="19">
        <v>8.6031999270739909</v>
      </c>
      <c r="C46" s="121"/>
      <c r="D46" s="19"/>
      <c r="E46" s="122">
        <v>2.9699263380839016E-9</v>
      </c>
      <c r="F46" s="122">
        <v>1.4789985458896999</v>
      </c>
      <c r="G46" s="122">
        <v>0.99689845367992458</v>
      </c>
      <c r="H46" s="122">
        <v>3.1015463200754281E-3</v>
      </c>
      <c r="I46" s="124">
        <v>1.0223715610112261</v>
      </c>
      <c r="J46" s="124">
        <v>1.0223715610112261</v>
      </c>
      <c r="K46" s="124">
        <v>0.99893172925864593</v>
      </c>
      <c r="L46" s="124"/>
      <c r="M46" s="124"/>
      <c r="N46" s="124"/>
      <c r="O46" s="124"/>
      <c r="P46" s="124"/>
      <c r="Q46" s="124">
        <v>0.9999999140698661</v>
      </c>
      <c r="R46" s="124"/>
      <c r="S46" s="124">
        <v>3.6339106459535919E-2</v>
      </c>
      <c r="T46" s="124">
        <v>1.2416966305148892E-2</v>
      </c>
      <c r="U46" s="124">
        <v>0.83956514086872769</v>
      </c>
      <c r="V46" s="124">
        <v>8.5272543221846107</v>
      </c>
      <c r="W46" s="17"/>
      <c r="X46" s="17"/>
      <c r="Y46" s="17"/>
      <c r="Z46" s="17"/>
      <c r="AA46" s="17"/>
      <c r="AB46" s="17"/>
      <c r="AC46" s="17"/>
      <c r="AD46" s="17"/>
      <c r="AE46" s="17"/>
      <c r="AF46" s="17"/>
      <c r="AG46" s="17"/>
      <c r="AH46" s="17"/>
      <c r="AI46" s="17"/>
      <c r="AJ46" s="17"/>
      <c r="AK46" s="17"/>
      <c r="AL46" s="17"/>
      <c r="AM46" s="17"/>
      <c r="AN46" s="17"/>
      <c r="AO46" s="17"/>
      <c r="AP46" s="17"/>
      <c r="AQ46" s="17"/>
      <c r="AR46" s="17"/>
      <c r="AS46" s="17"/>
      <c r="AT46" s="17"/>
      <c r="AU46" s="17"/>
      <c r="AV46" s="17"/>
      <c r="AW46" s="17"/>
      <c r="AX46" s="17"/>
      <c r="AY46" s="17"/>
      <c r="AZ46" s="17"/>
      <c r="BA46" s="17"/>
      <c r="BB46" s="17"/>
      <c r="BC46" s="17"/>
      <c r="BD46" s="17"/>
      <c r="BE46" s="17"/>
      <c r="BF46" s="17"/>
      <c r="BG46" s="17"/>
      <c r="BH46" s="17"/>
      <c r="BI46" s="17"/>
      <c r="BJ46" s="17"/>
      <c r="BK46" s="17"/>
      <c r="BL46" s="17"/>
      <c r="BM46" s="17"/>
      <c r="BN46" s="17"/>
      <c r="BO46" s="17"/>
      <c r="BP46" s="17"/>
      <c r="BQ46" s="17"/>
      <c r="BR46" s="17"/>
      <c r="BS46" s="17"/>
      <c r="BT46" s="17"/>
      <c r="BU46" s="17"/>
      <c r="BV46" s="17"/>
      <c r="BW46" s="17"/>
      <c r="BX46" s="17"/>
      <c r="BY46" s="17"/>
      <c r="BZ46" s="17"/>
    </row>
    <row r="47" spans="1:78">
      <c r="A47" s="19">
        <v>8.0956464859822455E-3</v>
      </c>
      <c r="B47" s="19">
        <v>8.7884491044445969</v>
      </c>
      <c r="C47" s="121"/>
      <c r="D47" s="19"/>
      <c r="E47" s="122">
        <v>1.9421146160994732E-9</v>
      </c>
      <c r="F47" s="122">
        <v>1.477618860027925</v>
      </c>
      <c r="G47" s="122">
        <v>0.99596849556721512</v>
      </c>
      <c r="H47" s="122">
        <v>4.0315044327848982E-3</v>
      </c>
      <c r="I47" s="124">
        <v>1.0142595041289748</v>
      </c>
      <c r="J47" s="124">
        <v>1.0142595041289748</v>
      </c>
      <c r="K47" s="124">
        <v>0.99836144561473772</v>
      </c>
      <c r="L47" s="124"/>
      <c r="M47" s="124"/>
      <c r="N47" s="124"/>
      <c r="O47" s="124"/>
      <c r="P47" s="124"/>
      <c r="Q47" s="124">
        <v>0.99999986812180264</v>
      </c>
      <c r="R47" s="124"/>
      <c r="S47" s="124">
        <v>3.7336144441103732E-2</v>
      </c>
      <c r="T47" s="124">
        <v>1.2871808818075092E-2</v>
      </c>
      <c r="U47" s="124">
        <v>0.83806179338483167</v>
      </c>
      <c r="V47" s="124">
        <v>8.7117251432896605</v>
      </c>
      <c r="W47" s="17"/>
      <c r="X47" s="17"/>
      <c r="Y47" s="17"/>
      <c r="Z47" s="17"/>
      <c r="AA47" s="17"/>
      <c r="AB47" s="17"/>
      <c r="AC47" s="17"/>
      <c r="AD47" s="17"/>
      <c r="AE47" s="17"/>
      <c r="AF47" s="17"/>
      <c r="AG47" s="17"/>
      <c r="AH47" s="17"/>
      <c r="AI47" s="17"/>
      <c r="AJ47" s="17"/>
      <c r="AK47" s="17"/>
      <c r="AL47" s="17"/>
      <c r="AM47" s="17"/>
      <c r="AN47" s="17"/>
      <c r="AO47" s="17"/>
      <c r="AP47" s="17"/>
      <c r="AQ47" s="17"/>
      <c r="AR47" s="17"/>
      <c r="AS47" s="17"/>
      <c r="AT47" s="17"/>
      <c r="AU47" s="17"/>
      <c r="AV47" s="17"/>
      <c r="AW47" s="17"/>
      <c r="AX47" s="17"/>
      <c r="AY47" s="17"/>
      <c r="AZ47" s="17"/>
      <c r="BA47" s="17"/>
      <c r="BB47" s="17"/>
      <c r="BC47" s="17"/>
      <c r="BD47" s="17"/>
      <c r="BE47" s="17"/>
      <c r="BF47" s="17"/>
      <c r="BG47" s="17"/>
      <c r="BH47" s="17"/>
      <c r="BI47" s="17"/>
      <c r="BJ47" s="17"/>
      <c r="BK47" s="17"/>
      <c r="BL47" s="17"/>
      <c r="BM47" s="17"/>
      <c r="BN47" s="17"/>
      <c r="BO47" s="17"/>
      <c r="BP47" s="17"/>
      <c r="BQ47" s="17"/>
      <c r="BR47" s="17"/>
      <c r="BS47" s="17"/>
      <c r="BT47" s="17"/>
      <c r="BU47" s="17"/>
      <c r="BV47" s="17"/>
      <c r="BW47" s="17"/>
      <c r="BX47" s="17"/>
      <c r="BY47" s="17"/>
      <c r="BZ47" s="17"/>
    </row>
    <row r="48" spans="1:78">
      <c r="A48" s="19">
        <v>1.0813579919802264E-2</v>
      </c>
      <c r="B48" s="19">
        <v>8.973963636715661</v>
      </c>
      <c r="C48" s="121"/>
      <c r="D48" s="19"/>
      <c r="E48" s="122">
        <v>1.2700009201240495E-9</v>
      </c>
      <c r="F48" s="122">
        <v>1.4756216237494131</v>
      </c>
      <c r="G48" s="122">
        <v>0.99462228614519388</v>
      </c>
      <c r="H48" s="122">
        <v>5.3777138548060941E-3</v>
      </c>
      <c r="I48" s="124">
        <v>1.0086873568764163</v>
      </c>
      <c r="J48" s="124">
        <v>1.0086873568764163</v>
      </c>
      <c r="K48" s="124">
        <v>0.99748442409896232</v>
      </c>
      <c r="L48" s="124"/>
      <c r="M48" s="124"/>
      <c r="N48" s="124"/>
      <c r="O48" s="124"/>
      <c r="P48" s="124"/>
      <c r="Q48" s="124">
        <v>0.9999997973571827</v>
      </c>
      <c r="R48" s="124"/>
      <c r="S48" s="124">
        <v>3.8707022420685959E-2</v>
      </c>
      <c r="T48" s="124">
        <v>1.3530239846385661E-2</v>
      </c>
      <c r="U48" s="124">
        <v>0.83605015324992227</v>
      </c>
      <c r="V48" s="124">
        <v>8.8961959643947104</v>
      </c>
      <c r="W48" s="17"/>
      <c r="X48" s="17"/>
      <c r="Y48" s="17"/>
      <c r="Z48" s="17"/>
      <c r="AA48" s="17"/>
      <c r="AB48" s="17"/>
      <c r="AC48" s="17"/>
      <c r="AD48" s="17"/>
      <c r="AE48" s="17"/>
      <c r="AF48" s="17"/>
      <c r="AG48" s="17"/>
      <c r="AH48" s="17"/>
      <c r="AI48" s="17"/>
      <c r="AJ48" s="17"/>
      <c r="AK48" s="17"/>
      <c r="AL48" s="17"/>
      <c r="AM48" s="17"/>
      <c r="AN48" s="17"/>
      <c r="AO48" s="17"/>
      <c r="AP48" s="17"/>
      <c r="AQ48" s="17"/>
      <c r="AR48" s="17"/>
      <c r="AS48" s="17"/>
      <c r="AT48" s="17"/>
      <c r="AU48" s="17"/>
      <c r="AV48" s="17"/>
      <c r="AW48" s="17"/>
      <c r="AX48" s="17"/>
      <c r="AY48" s="17"/>
      <c r="AZ48" s="17"/>
      <c r="BA48" s="17"/>
      <c r="BB48" s="17"/>
      <c r="BC48" s="17"/>
      <c r="BD48" s="17"/>
      <c r="BE48" s="17"/>
      <c r="BF48" s="17"/>
      <c r="BG48" s="17"/>
      <c r="BH48" s="17"/>
      <c r="BI48" s="17"/>
      <c r="BJ48" s="17"/>
      <c r="BK48" s="17"/>
      <c r="BL48" s="17"/>
      <c r="BM48" s="17"/>
      <c r="BN48" s="17"/>
      <c r="BO48" s="17"/>
      <c r="BP48" s="17"/>
      <c r="BQ48" s="17"/>
      <c r="BR48" s="17"/>
      <c r="BS48" s="17"/>
      <c r="BT48" s="17"/>
      <c r="BU48" s="17"/>
      <c r="BV48" s="17"/>
      <c r="BW48" s="17"/>
      <c r="BX48" s="17"/>
      <c r="BY48" s="17"/>
      <c r="BZ48" s="17"/>
    </row>
    <row r="49" spans="1:78">
      <c r="A49" s="19">
        <v>1.4895919021674364E-2</v>
      </c>
      <c r="B49" s="19">
        <v>9.1599062146008023</v>
      </c>
      <c r="C49" s="121"/>
      <c r="D49" s="19"/>
      <c r="E49" s="122">
        <v>8.3048771877082726E-10</v>
      </c>
      <c r="F49" s="122">
        <v>1.4726318972499675</v>
      </c>
      <c r="G49" s="122">
        <v>0.99260710248341721</v>
      </c>
      <c r="H49" s="122">
        <v>7.3928975165828284E-3</v>
      </c>
      <c r="I49" s="124">
        <v>1.0046850812716999</v>
      </c>
      <c r="J49" s="124">
        <v>1.0046850812716999</v>
      </c>
      <c r="K49" s="124">
        <v>0.99613221235671368</v>
      </c>
      <c r="L49" s="124"/>
      <c r="M49" s="124"/>
      <c r="N49" s="124"/>
      <c r="O49" s="124"/>
      <c r="P49" s="124"/>
      <c r="Q49" s="124">
        <v>0.99999968800653183</v>
      </c>
      <c r="R49" s="124"/>
      <c r="S49" s="124">
        <v>4.0708299700506004E-2</v>
      </c>
      <c r="T49" s="124">
        <v>1.4515866175360661E-2</v>
      </c>
      <c r="U49" s="124">
        <v>0.83322170409176477</v>
      </c>
      <c r="V49" s="124">
        <v>9.0806667854997603</v>
      </c>
      <c r="W49" s="17"/>
      <c r="X49" s="17"/>
      <c r="Y49" s="17"/>
      <c r="Z49" s="17"/>
      <c r="AA49" s="17"/>
      <c r="AB49" s="17"/>
      <c r="AC49" s="17"/>
      <c r="AD49" s="17"/>
      <c r="AE49" s="17"/>
      <c r="AF49" s="17"/>
      <c r="AG49" s="17"/>
      <c r="AH49" s="17"/>
      <c r="AI49" s="17"/>
      <c r="AJ49" s="17"/>
      <c r="AK49" s="17"/>
      <c r="AL49" s="17"/>
      <c r="AM49" s="17"/>
      <c r="AN49" s="17"/>
      <c r="AO49" s="17"/>
      <c r="AP49" s="17"/>
      <c r="AQ49" s="17"/>
      <c r="AR49" s="17"/>
      <c r="AS49" s="17"/>
      <c r="AT49" s="17"/>
      <c r="AU49" s="17"/>
      <c r="AV49" s="17"/>
      <c r="AW49" s="17"/>
      <c r="AX49" s="17"/>
      <c r="AY49" s="17"/>
      <c r="AZ49" s="17"/>
      <c r="BA49" s="17"/>
      <c r="BB49" s="17"/>
      <c r="BC49" s="17"/>
      <c r="BD49" s="17"/>
      <c r="BE49" s="17"/>
      <c r="BF49" s="17"/>
      <c r="BG49" s="17"/>
      <c r="BH49" s="17"/>
      <c r="BI49" s="17"/>
      <c r="BJ49" s="17"/>
      <c r="BK49" s="17"/>
      <c r="BL49" s="17"/>
      <c r="BM49" s="17"/>
      <c r="BN49" s="17"/>
      <c r="BO49" s="17"/>
      <c r="BP49" s="17"/>
      <c r="BQ49" s="17"/>
      <c r="BR49" s="17"/>
      <c r="BS49" s="17"/>
      <c r="BT49" s="17"/>
      <c r="BU49" s="17"/>
      <c r="BV49" s="17"/>
      <c r="BW49" s="17"/>
      <c r="BX49" s="17"/>
      <c r="BY49" s="17"/>
      <c r="BZ49" s="17"/>
    </row>
    <row r="50" spans="1:78">
      <c r="A50" s="19">
        <v>2.1140657739604631E-2</v>
      </c>
      <c r="B50" s="19">
        <v>9.3464849055739094</v>
      </c>
      <c r="C50" s="121"/>
      <c r="D50" s="19"/>
      <c r="E50" s="122">
        <v>5.4307822939356703E-10</v>
      </c>
      <c r="F50" s="122">
        <v>1.4680818915926492</v>
      </c>
      <c r="G50" s="122">
        <v>0.98954023429361537</v>
      </c>
      <c r="H50" s="122">
        <v>1.0459765706384749E-2</v>
      </c>
      <c r="I50" s="124">
        <v>1.0015189092571204</v>
      </c>
      <c r="J50" s="124">
        <v>1.0015189092571204</v>
      </c>
      <c r="K50" s="124">
        <v>0.99404013915764067</v>
      </c>
      <c r="L50" s="124"/>
      <c r="M50" s="124"/>
      <c r="N50" s="124"/>
      <c r="O50" s="124"/>
      <c r="P50" s="124"/>
      <c r="Q50" s="124">
        <v>0.99999951823861277</v>
      </c>
      <c r="R50" s="124"/>
      <c r="S50" s="124">
        <v>4.3719937611835236E-2</v>
      </c>
      <c r="T50" s="124">
        <v>1.6015871406992781E-2</v>
      </c>
      <c r="U50" s="124">
        <v>0.829187419492731</v>
      </c>
      <c r="V50" s="124">
        <v>9.2651376066048119</v>
      </c>
      <c r="W50" s="17"/>
      <c r="X50" s="17"/>
      <c r="Y50" s="17"/>
      <c r="Z50" s="17"/>
      <c r="AA50" s="17"/>
      <c r="AB50" s="17"/>
      <c r="AC50" s="17"/>
      <c r="AD50" s="17"/>
      <c r="AE50" s="17"/>
      <c r="AF50" s="17"/>
      <c r="AG50" s="17"/>
      <c r="AH50" s="17"/>
      <c r="AI50" s="17"/>
      <c r="AJ50" s="17"/>
      <c r="AK50" s="17"/>
      <c r="AL50" s="17"/>
      <c r="AM50" s="17"/>
      <c r="AN50" s="17"/>
      <c r="AO50" s="17"/>
      <c r="AP50" s="17"/>
      <c r="AQ50" s="17"/>
      <c r="AR50" s="17"/>
      <c r="AS50" s="17"/>
      <c r="AT50" s="17"/>
      <c r="AU50" s="17"/>
      <c r="AV50" s="17"/>
      <c r="AW50" s="17"/>
      <c r="AX50" s="17"/>
      <c r="AY50" s="17"/>
      <c r="AZ50" s="17"/>
      <c r="BA50" s="17"/>
      <c r="BB50" s="17"/>
      <c r="BC50" s="17"/>
      <c r="BD50" s="17"/>
      <c r="BE50" s="17"/>
      <c r="BF50" s="17"/>
      <c r="BG50" s="17"/>
      <c r="BH50" s="17"/>
      <c r="BI50" s="17"/>
      <c r="BJ50" s="17"/>
      <c r="BK50" s="17"/>
      <c r="BL50" s="17"/>
      <c r="BM50" s="17"/>
      <c r="BN50" s="17"/>
      <c r="BO50" s="17"/>
      <c r="BP50" s="17"/>
      <c r="BQ50" s="17"/>
      <c r="BR50" s="17"/>
      <c r="BS50" s="17"/>
      <c r="BT50" s="17"/>
      <c r="BU50" s="17"/>
      <c r="BV50" s="17"/>
      <c r="BW50" s="17"/>
      <c r="BX50" s="17"/>
      <c r="BY50" s="17"/>
      <c r="BZ50" s="17"/>
    </row>
    <row r="51" spans="1:78">
      <c r="A51" s="19">
        <v>3.0797696038371531E-2</v>
      </c>
      <c r="B51" s="19">
        <v>9.533954066792889</v>
      </c>
      <c r="C51" s="121"/>
      <c r="D51" s="19"/>
      <c r="E51" s="122">
        <v>3.5513344336719803E-10</v>
      </c>
      <c r="F51" s="122">
        <v>1.4611007318111655</v>
      </c>
      <c r="G51" s="122">
        <v>0.98483468043200417</v>
      </c>
      <c r="H51" s="122">
        <v>1.5165319567995814E-2</v>
      </c>
      <c r="I51" s="124">
        <v>0.99855835006870652</v>
      </c>
      <c r="J51" s="124">
        <v>0.99855835006870652</v>
      </c>
      <c r="K51" s="124">
        <v>0.99078954438638012</v>
      </c>
      <c r="L51" s="124"/>
      <c r="M51" s="124"/>
      <c r="N51" s="124"/>
      <c r="O51" s="124"/>
      <c r="P51" s="124"/>
      <c r="Q51" s="124">
        <v>0.99999925303651049</v>
      </c>
      <c r="R51" s="124"/>
      <c r="S51" s="124">
        <v>4.8319084161694607E-2</v>
      </c>
      <c r="T51" s="124">
        <v>1.831735780070675E-2</v>
      </c>
      <c r="U51" s="124">
        <v>0.82348248104442656</v>
      </c>
      <c r="V51" s="124">
        <v>9.4496084277098618</v>
      </c>
      <c r="W51" s="17"/>
      <c r="X51" s="17"/>
      <c r="Y51" s="17"/>
      <c r="Z51" s="17"/>
      <c r="AA51" s="17"/>
      <c r="AB51" s="17"/>
      <c r="AC51" s="17"/>
      <c r="AD51" s="17"/>
      <c r="AE51" s="17"/>
      <c r="AF51" s="17"/>
      <c r="AG51" s="17"/>
      <c r="AH51" s="17"/>
      <c r="AI51" s="17"/>
      <c r="AJ51" s="17"/>
      <c r="AK51" s="17"/>
      <c r="AL51" s="17"/>
      <c r="AM51" s="17"/>
      <c r="AN51" s="17"/>
      <c r="AO51" s="17"/>
      <c r="AP51" s="17"/>
      <c r="AQ51" s="17"/>
      <c r="AR51" s="17"/>
      <c r="AS51" s="17"/>
      <c r="AT51" s="17"/>
      <c r="AU51" s="17"/>
      <c r="AV51" s="17"/>
      <c r="AW51" s="17"/>
      <c r="AX51" s="17"/>
      <c r="AY51" s="17"/>
      <c r="AZ51" s="17"/>
      <c r="BA51" s="17"/>
      <c r="BB51" s="17"/>
      <c r="BC51" s="17"/>
      <c r="BD51" s="17"/>
      <c r="BE51" s="17"/>
      <c r="BF51" s="17"/>
      <c r="BG51" s="17"/>
      <c r="BH51" s="17"/>
      <c r="BI51" s="17"/>
      <c r="BJ51" s="17"/>
      <c r="BK51" s="17"/>
      <c r="BL51" s="17"/>
      <c r="BM51" s="17"/>
      <c r="BN51" s="17"/>
      <c r="BO51" s="17"/>
      <c r="BP51" s="17"/>
      <c r="BQ51" s="17"/>
      <c r="BR51" s="17"/>
      <c r="BS51" s="17"/>
      <c r="BT51" s="17"/>
      <c r="BU51" s="17"/>
      <c r="BV51" s="17"/>
      <c r="BW51" s="17"/>
      <c r="BX51" s="17"/>
      <c r="BY51" s="17"/>
      <c r="BZ51" s="17"/>
    </row>
    <row r="52" spans="1:78">
      <c r="A52" s="19">
        <v>4.5843583944418773E-2</v>
      </c>
      <c r="B52" s="19">
        <v>9.7225903548321675</v>
      </c>
      <c r="C52" s="121"/>
      <c r="D52" s="19"/>
      <c r="E52" s="122">
        <v>2.3223129886586609E-10</v>
      </c>
      <c r="F52" s="122">
        <v>1.4503552584598998</v>
      </c>
      <c r="G52" s="122">
        <v>0.9775918431173084</v>
      </c>
      <c r="H52" s="122">
        <v>2.2408156882691495E-2</v>
      </c>
      <c r="I52" s="124">
        <v>0.99513130816221951</v>
      </c>
      <c r="J52" s="124">
        <v>0.99513130816221951</v>
      </c>
      <c r="K52" s="124">
        <v>0.98571588918054487</v>
      </c>
      <c r="L52" s="124"/>
      <c r="M52" s="124"/>
      <c r="N52" s="124"/>
      <c r="O52" s="124"/>
      <c r="P52" s="124"/>
      <c r="Q52" s="124">
        <v>0.99999883560334812</v>
      </c>
      <c r="R52" s="124"/>
      <c r="S52" s="124">
        <v>5.5386164053607793E-2</v>
      </c>
      <c r="T52" s="124">
        <v>2.1859829531324409E-2</v>
      </c>
      <c r="U52" s="124">
        <v>0.81562193604709687</v>
      </c>
      <c r="V52" s="124">
        <v>9.6340792488149116</v>
      </c>
      <c r="W52" s="17"/>
      <c r="X52" s="17"/>
      <c r="Y52" s="17"/>
      <c r="Z52" s="17"/>
      <c r="AA52" s="17"/>
      <c r="AB52" s="17"/>
      <c r="AC52" s="17"/>
      <c r="AD52" s="17"/>
      <c r="AE52" s="17"/>
      <c r="AF52" s="17"/>
      <c r="AG52" s="17"/>
      <c r="AH52" s="17"/>
      <c r="AI52" s="17"/>
      <c r="AJ52" s="17"/>
      <c r="AK52" s="17"/>
      <c r="AL52" s="17"/>
      <c r="AM52" s="17"/>
      <c r="AN52" s="17"/>
      <c r="AO52" s="17"/>
      <c r="AP52" s="17"/>
      <c r="AQ52" s="17"/>
      <c r="AR52" s="17"/>
      <c r="AS52" s="17"/>
      <c r="AT52" s="17"/>
      <c r="AU52" s="17"/>
      <c r="AV52" s="17"/>
      <c r="AW52" s="17"/>
      <c r="AX52" s="17"/>
      <c r="AY52" s="17"/>
      <c r="AZ52" s="17"/>
      <c r="BA52" s="17"/>
      <c r="BB52" s="17"/>
      <c r="BC52" s="17"/>
      <c r="BD52" s="17"/>
      <c r="BE52" s="17"/>
      <c r="BF52" s="17"/>
      <c r="BG52" s="17"/>
      <c r="BH52" s="17"/>
      <c r="BI52" s="17"/>
      <c r="BJ52" s="17"/>
      <c r="BK52" s="17"/>
      <c r="BL52" s="17"/>
      <c r="BM52" s="17"/>
      <c r="BN52" s="17"/>
      <c r="BO52" s="17"/>
      <c r="BP52" s="17"/>
      <c r="BQ52" s="17"/>
      <c r="BR52" s="17"/>
      <c r="BS52" s="17"/>
      <c r="BT52" s="17"/>
      <c r="BU52" s="17"/>
      <c r="BV52" s="17"/>
      <c r="BW52" s="17"/>
      <c r="BX52" s="17"/>
      <c r="BY52" s="17"/>
      <c r="BZ52" s="17"/>
    </row>
    <row r="53" spans="1:78">
      <c r="A53" s="19">
        <v>6.9394715796194717E-2</v>
      </c>
      <c r="B53" s="19">
        <v>9.9126219207107482</v>
      </c>
      <c r="C53" s="121"/>
      <c r="D53" s="19"/>
      <c r="E53" s="122">
        <v>1.5186228495288087E-10</v>
      </c>
      <c r="F53" s="122">
        <v>1.4338492204261344</v>
      </c>
      <c r="G53" s="122">
        <v>0.96646617715410799</v>
      </c>
      <c r="H53" s="122">
        <v>3.3533822845891993E-2</v>
      </c>
      <c r="I53" s="124">
        <v>0.99033466939554859</v>
      </c>
      <c r="J53" s="124">
        <v>0.99033466939554859</v>
      </c>
      <c r="K53" s="124">
        <v>0.97777044996812501</v>
      </c>
      <c r="L53" s="124"/>
      <c r="M53" s="124"/>
      <c r="N53" s="124"/>
      <c r="O53" s="124"/>
      <c r="P53" s="124"/>
      <c r="Q53" s="124">
        <v>0.99999817319172357</v>
      </c>
      <c r="R53" s="124"/>
      <c r="S53" s="124">
        <v>6.6238919092606027E-2</v>
      </c>
      <c r="T53" s="124">
        <v>2.7301392753925773E-2</v>
      </c>
      <c r="U53" s="124">
        <v>0.80524521539403682</v>
      </c>
      <c r="V53" s="124">
        <v>9.8185500699199615</v>
      </c>
      <c r="W53" s="17"/>
      <c r="X53" s="17"/>
      <c r="Y53" s="17"/>
      <c r="Z53" s="17"/>
      <c r="AA53" s="17"/>
      <c r="AB53" s="17"/>
      <c r="AC53" s="17"/>
      <c r="AD53" s="17"/>
      <c r="AE53" s="17"/>
      <c r="AF53" s="17"/>
      <c r="AG53" s="17"/>
      <c r="AH53" s="17"/>
      <c r="AI53" s="17"/>
      <c r="AJ53" s="17"/>
      <c r="AK53" s="17"/>
      <c r="AL53" s="17"/>
      <c r="AM53" s="17"/>
      <c r="AN53" s="17"/>
      <c r="AO53" s="17"/>
      <c r="AP53" s="17"/>
      <c r="AQ53" s="17"/>
      <c r="AR53" s="17"/>
      <c r="AS53" s="17"/>
      <c r="AT53" s="17"/>
      <c r="AU53" s="17"/>
      <c r="AV53" s="17"/>
      <c r="AW53" s="17"/>
      <c r="AX53" s="17"/>
      <c r="AY53" s="17"/>
      <c r="AZ53" s="17"/>
      <c r="BA53" s="17"/>
      <c r="BB53" s="17"/>
      <c r="BC53" s="17"/>
      <c r="BD53" s="17"/>
      <c r="BE53" s="17"/>
      <c r="BF53" s="17"/>
      <c r="BG53" s="17"/>
      <c r="BH53" s="17"/>
      <c r="BI53" s="17"/>
      <c r="BJ53" s="17"/>
      <c r="BK53" s="17"/>
      <c r="BL53" s="17"/>
      <c r="BM53" s="17"/>
      <c r="BN53" s="17"/>
      <c r="BO53" s="17"/>
      <c r="BP53" s="17"/>
      <c r="BQ53" s="17"/>
      <c r="BR53" s="17"/>
      <c r="BS53" s="17"/>
      <c r="BT53" s="17"/>
      <c r="BU53" s="17"/>
      <c r="BV53" s="17"/>
      <c r="BW53" s="17"/>
      <c r="BX53" s="17"/>
      <c r="BY53" s="17"/>
      <c r="BZ53" s="17"/>
    </row>
    <row r="54" spans="1:78">
      <c r="A54" s="19">
        <v>0.10625123463146986</v>
      </c>
      <c r="B54" s="19">
        <v>10.104092784457569</v>
      </c>
      <c r="C54" s="121"/>
      <c r="D54" s="19"/>
      <c r="E54" s="122">
        <v>9.9306827734836509E-11</v>
      </c>
      <c r="F54" s="122">
        <v>1.4087588179798354</v>
      </c>
      <c r="G54" s="122">
        <v>0.94955433936269928</v>
      </c>
      <c r="H54" s="122">
        <v>5.0445660637300688E-2</v>
      </c>
      <c r="I54" s="124">
        <v>0.98276875799567476</v>
      </c>
      <c r="J54" s="124">
        <v>0.98276875799567476</v>
      </c>
      <c r="K54" s="124">
        <v>0.9653387354642019</v>
      </c>
      <c r="L54" s="124"/>
      <c r="M54" s="124"/>
      <c r="N54" s="124"/>
      <c r="O54" s="124"/>
      <c r="P54" s="124"/>
      <c r="Q54" s="124">
        <v>0.99999711488308662</v>
      </c>
      <c r="R54" s="124"/>
      <c r="S54" s="124">
        <v>8.2743637509485629E-2</v>
      </c>
      <c r="T54" s="124">
        <v>3.5572972617703764E-2</v>
      </c>
      <c r="U54" s="124">
        <v>0.79237015752465223</v>
      </c>
      <c r="V54" s="124">
        <v>10.003020891025013</v>
      </c>
      <c r="W54" s="17"/>
      <c r="X54" s="17"/>
      <c r="Y54" s="17"/>
      <c r="Z54" s="17"/>
      <c r="AA54" s="17"/>
      <c r="AB54" s="17"/>
      <c r="AC54" s="17"/>
      <c r="AD54" s="17"/>
      <c r="AE54" s="17"/>
      <c r="AF54" s="17"/>
      <c r="AG54" s="17"/>
      <c r="AH54" s="17"/>
      <c r="AI54" s="17"/>
      <c r="AJ54" s="17"/>
      <c r="AK54" s="17"/>
      <c r="AL54" s="17"/>
      <c r="AM54" s="17"/>
      <c r="AN54" s="17"/>
      <c r="AO54" s="17"/>
      <c r="AP54" s="17"/>
      <c r="AQ54" s="17"/>
      <c r="AR54" s="17"/>
      <c r="AS54" s="17"/>
      <c r="AT54" s="17"/>
      <c r="AU54" s="17"/>
      <c r="AV54" s="17"/>
      <c r="AW54" s="17"/>
      <c r="AX54" s="17"/>
      <c r="AY54" s="17"/>
      <c r="AZ54" s="17"/>
      <c r="BA54" s="17"/>
      <c r="BB54" s="17"/>
      <c r="BC54" s="17"/>
      <c r="BD54" s="17"/>
      <c r="BE54" s="17"/>
      <c r="BF54" s="17"/>
      <c r="BG54" s="17"/>
      <c r="BH54" s="17"/>
      <c r="BI54" s="17"/>
      <c r="BJ54" s="17"/>
      <c r="BK54" s="17"/>
      <c r="BL54" s="17"/>
      <c r="BM54" s="17"/>
      <c r="BN54" s="17"/>
      <c r="BO54" s="17"/>
      <c r="BP54" s="17"/>
      <c r="BQ54" s="17"/>
      <c r="BR54" s="17"/>
      <c r="BS54" s="17"/>
      <c r="BT54" s="17"/>
      <c r="BU54" s="17"/>
      <c r="BV54" s="17"/>
      <c r="BW54" s="17"/>
      <c r="BX54" s="17"/>
      <c r="BY54" s="17"/>
      <c r="BZ54" s="17"/>
    </row>
    <row r="55" spans="1:78">
      <c r="A55" s="19">
        <v>0.16340109745145096</v>
      </c>
      <c r="B55" s="19">
        <v>10.296683121582836</v>
      </c>
      <c r="C55" s="121"/>
      <c r="D55" s="19"/>
      <c r="E55" s="122">
        <v>6.4939402418555873E-11</v>
      </c>
      <c r="F55" s="122">
        <v>1.3715440944380508</v>
      </c>
      <c r="G55" s="122">
        <v>0.92447027103862489</v>
      </c>
      <c r="H55" s="122">
        <v>7.5529728961375164E-2</v>
      </c>
      <c r="I55" s="124">
        <v>0.97022127188544738</v>
      </c>
      <c r="J55" s="124">
        <v>0.97022127188544738</v>
      </c>
      <c r="K55" s="124">
        <v>0.94607383292828096</v>
      </c>
      <c r="L55" s="124"/>
      <c r="M55" s="124"/>
      <c r="N55" s="124"/>
      <c r="O55" s="124"/>
      <c r="P55" s="124"/>
      <c r="Q55" s="124">
        <v>0.99999541992559737</v>
      </c>
      <c r="R55" s="124"/>
      <c r="S55" s="124">
        <v>0.10724559979832432</v>
      </c>
      <c r="T55" s="124">
        <v>4.7841590435008595E-2</v>
      </c>
      <c r="U55" s="124">
        <v>0.77769372534450865</v>
      </c>
      <c r="V55" s="124">
        <v>10.187491712130063</v>
      </c>
      <c r="W55" s="17"/>
      <c r="X55" s="17"/>
      <c r="Y55" s="17"/>
      <c r="Z55" s="17"/>
      <c r="AA55" s="17"/>
      <c r="AB55" s="17"/>
      <c r="AC55" s="17"/>
      <c r="AD55" s="17"/>
      <c r="AE55" s="17"/>
      <c r="AF55" s="17"/>
      <c r="AG55" s="17"/>
      <c r="AH55" s="17"/>
      <c r="AI55" s="17"/>
      <c r="AJ55" s="17"/>
      <c r="AK55" s="17"/>
      <c r="AL55" s="17"/>
      <c r="AM55" s="17"/>
      <c r="AN55" s="17"/>
      <c r="AO55" s="17"/>
      <c r="AP55" s="17"/>
      <c r="AQ55" s="17"/>
      <c r="AR55" s="17"/>
      <c r="AS55" s="17"/>
      <c r="AT55" s="17"/>
      <c r="AU55" s="17"/>
      <c r="AV55" s="17"/>
      <c r="AW55" s="17"/>
      <c r="AX55" s="17"/>
      <c r="AY55" s="17"/>
      <c r="AZ55" s="17"/>
      <c r="BA55" s="17"/>
      <c r="BB55" s="17"/>
      <c r="BC55" s="17"/>
      <c r="BD55" s="17"/>
      <c r="BE55" s="17"/>
      <c r="BF55" s="17"/>
      <c r="BG55" s="17"/>
      <c r="BH55" s="17"/>
      <c r="BI55" s="17"/>
      <c r="BJ55" s="17"/>
      <c r="BK55" s="17"/>
      <c r="BL55" s="17"/>
      <c r="BM55" s="17"/>
      <c r="BN55" s="17"/>
      <c r="BO55" s="17"/>
      <c r="BP55" s="17"/>
      <c r="BQ55" s="17"/>
      <c r="BR55" s="17"/>
      <c r="BS55" s="17"/>
      <c r="BT55" s="17"/>
      <c r="BU55" s="17"/>
      <c r="BV55" s="17"/>
      <c r="BW55" s="17"/>
      <c r="BX55" s="17"/>
      <c r="BY55" s="17"/>
      <c r="BZ55" s="17"/>
    </row>
    <row r="56" spans="1:78">
      <c r="A56" s="19">
        <v>0.24999971774853644</v>
      </c>
      <c r="B56" s="19">
        <v>10.489597027727214</v>
      </c>
      <c r="C56" s="121"/>
      <c r="D56" s="19"/>
      <c r="E56" s="122">
        <v>4.2465619763219835E-11</v>
      </c>
      <c r="F56" s="122">
        <v>1.3187555561021225</v>
      </c>
      <c r="G56" s="122">
        <v>0.88888888888888884</v>
      </c>
      <c r="H56" s="122">
        <v>0.11111111111111108</v>
      </c>
      <c r="I56" s="124">
        <v>0.94950832621380421</v>
      </c>
      <c r="J56" s="124">
        <v>0.94950832621380421</v>
      </c>
      <c r="K56" s="124">
        <v>0.9169083399385618</v>
      </c>
      <c r="L56" s="124"/>
      <c r="M56" s="124"/>
      <c r="N56" s="124"/>
      <c r="O56" s="124"/>
      <c r="P56" s="124"/>
      <c r="Q56" s="124">
        <v>0.99999271837431081</v>
      </c>
      <c r="R56" s="124"/>
      <c r="S56" s="124">
        <v>0.14203924058633635</v>
      </c>
      <c r="T56" s="124">
        <v>6.5244444444444424E-2</v>
      </c>
      <c r="U56" s="124">
        <v>0.76272065977255599</v>
      </c>
      <c r="V56" s="124">
        <v>10.371962533235113</v>
      </c>
      <c r="W56" s="17"/>
      <c r="X56" s="17"/>
      <c r="Y56" s="17"/>
      <c r="Z56" s="17"/>
      <c r="AA56" s="17"/>
      <c r="AB56" s="17"/>
      <c r="AC56" s="17"/>
      <c r="AD56" s="17"/>
      <c r="AE56" s="17"/>
      <c r="AF56" s="17"/>
      <c r="AG56" s="17"/>
      <c r="AH56" s="17"/>
      <c r="AI56" s="17"/>
      <c r="AJ56" s="17"/>
      <c r="AK56" s="17"/>
      <c r="AL56" s="17"/>
      <c r="AM56" s="17"/>
      <c r="AN56" s="17"/>
      <c r="AO56" s="17"/>
      <c r="AP56" s="17"/>
      <c r="AQ56" s="17"/>
      <c r="AR56" s="17"/>
      <c r="AS56" s="17"/>
      <c r="AT56" s="17"/>
      <c r="AU56" s="17"/>
      <c r="AV56" s="17"/>
      <c r="AW56" s="17"/>
      <c r="AX56" s="17"/>
      <c r="AY56" s="17"/>
      <c r="AZ56" s="17"/>
      <c r="BA56" s="17"/>
      <c r="BB56" s="17"/>
      <c r="BC56" s="17"/>
      <c r="BD56" s="17"/>
      <c r="BE56" s="17"/>
      <c r="BF56" s="17"/>
      <c r="BG56" s="17"/>
      <c r="BH56" s="17"/>
      <c r="BI56" s="17"/>
      <c r="BJ56" s="17"/>
      <c r="BK56" s="17"/>
      <c r="BL56" s="17"/>
      <c r="BM56" s="17"/>
      <c r="BN56" s="17"/>
      <c r="BO56" s="17"/>
      <c r="BP56" s="17"/>
      <c r="BQ56" s="17"/>
      <c r="BR56" s="17"/>
      <c r="BS56" s="17"/>
      <c r="BT56" s="17"/>
      <c r="BU56" s="17"/>
      <c r="BV56" s="17"/>
      <c r="BW56" s="17"/>
      <c r="BX56" s="17"/>
      <c r="BY56" s="17"/>
      <c r="BZ56" s="17"/>
    </row>
    <row r="57" spans="1:78">
      <c r="A57" s="19"/>
      <c r="B57" s="19"/>
      <c r="C57" s="121"/>
      <c r="D57" s="19"/>
      <c r="E57" s="122"/>
      <c r="F57" s="122"/>
      <c r="G57" s="122"/>
      <c r="H57" s="122"/>
      <c r="I57" s="124"/>
      <c r="J57" s="124"/>
      <c r="K57" s="124"/>
      <c r="L57" s="124"/>
      <c r="M57" s="124"/>
      <c r="N57" s="124"/>
      <c r="O57" s="124"/>
      <c r="P57" s="124"/>
      <c r="Q57" s="124"/>
      <c r="R57" s="124"/>
      <c r="S57" s="124"/>
      <c r="T57" s="124"/>
      <c r="U57" s="124"/>
      <c r="V57" s="124"/>
      <c r="W57" s="17"/>
      <c r="X57" s="17"/>
      <c r="Y57" s="17"/>
      <c r="Z57" s="17"/>
      <c r="AA57" s="17"/>
      <c r="AB57" s="17"/>
      <c r="AC57" s="17"/>
      <c r="AD57" s="17"/>
      <c r="AE57" s="17"/>
      <c r="AF57" s="17"/>
      <c r="AG57" s="17"/>
      <c r="AH57" s="17"/>
      <c r="AI57" s="17"/>
      <c r="AJ57" s="17"/>
      <c r="AK57" s="17"/>
      <c r="AL57" s="17"/>
      <c r="AM57" s="17"/>
      <c r="AN57" s="17"/>
      <c r="AO57" s="17"/>
      <c r="AP57" s="17"/>
      <c r="AQ57" s="17"/>
      <c r="AR57" s="17"/>
      <c r="AS57" s="17"/>
      <c r="AT57" s="17"/>
      <c r="AU57" s="17"/>
      <c r="AV57" s="17"/>
      <c r="AW57" s="17"/>
      <c r="AX57" s="17"/>
      <c r="AY57" s="17"/>
      <c r="AZ57" s="17"/>
      <c r="BA57" s="17"/>
      <c r="BB57" s="17"/>
      <c r="BC57" s="17"/>
      <c r="BD57" s="17"/>
      <c r="BE57" s="17"/>
      <c r="BF57" s="17"/>
      <c r="BG57" s="17"/>
      <c r="BH57" s="17"/>
      <c r="BI57" s="17"/>
      <c r="BJ57" s="17"/>
      <c r="BK57" s="17"/>
      <c r="BL57" s="17"/>
      <c r="BM57" s="17"/>
      <c r="BN57" s="17"/>
      <c r="BO57" s="17"/>
      <c r="BP57" s="17"/>
      <c r="BQ57" s="17"/>
      <c r="BR57" s="17"/>
      <c r="BS57" s="17"/>
      <c r="BT57" s="17"/>
      <c r="BU57" s="17"/>
      <c r="BV57" s="17"/>
      <c r="BW57" s="17"/>
      <c r="BX57" s="17"/>
      <c r="BY57" s="17"/>
      <c r="BZ57" s="17"/>
    </row>
    <row r="58" spans="1:78">
      <c r="A58" s="19"/>
      <c r="B58" s="19"/>
      <c r="C58" s="121"/>
      <c r="D58" s="19"/>
      <c r="E58" s="122"/>
      <c r="F58" s="122"/>
      <c r="G58" s="122"/>
      <c r="H58" s="122"/>
      <c r="I58" s="124"/>
      <c r="J58" s="124"/>
      <c r="K58" s="124"/>
      <c r="L58" s="124"/>
      <c r="M58" s="124"/>
      <c r="N58" s="124"/>
      <c r="O58" s="124"/>
      <c r="P58" s="124"/>
      <c r="Q58" s="124"/>
      <c r="R58" s="124"/>
      <c r="S58" s="124"/>
      <c r="T58" s="124"/>
      <c r="U58" s="124"/>
      <c r="V58" s="124"/>
      <c r="W58" s="17"/>
      <c r="X58" s="17"/>
      <c r="Y58" s="17"/>
      <c r="Z58" s="17"/>
      <c r="AA58" s="17"/>
      <c r="AB58" s="17"/>
      <c r="AC58" s="17"/>
      <c r="AD58" s="17"/>
      <c r="AE58" s="17"/>
      <c r="AF58" s="17"/>
      <c r="AG58" s="17"/>
      <c r="AH58" s="17"/>
      <c r="AI58" s="17"/>
      <c r="AJ58" s="17"/>
      <c r="AK58" s="17"/>
      <c r="AL58" s="17"/>
      <c r="AM58" s="17"/>
      <c r="AN58" s="17"/>
      <c r="AO58" s="17"/>
      <c r="AP58" s="17"/>
      <c r="AQ58" s="17"/>
      <c r="AR58" s="17"/>
      <c r="AS58" s="17"/>
      <c r="AT58" s="17"/>
      <c r="AU58" s="17"/>
      <c r="AV58" s="17"/>
      <c r="AW58" s="17"/>
      <c r="AX58" s="17"/>
      <c r="AY58" s="17"/>
      <c r="AZ58" s="17"/>
      <c r="BA58" s="17"/>
      <c r="BB58" s="17"/>
      <c r="BC58" s="17"/>
      <c r="BD58" s="17"/>
      <c r="BE58" s="17"/>
      <c r="BF58" s="17"/>
      <c r="BG58" s="17"/>
      <c r="BH58" s="17"/>
      <c r="BI58" s="17"/>
      <c r="BJ58" s="17"/>
      <c r="BK58" s="17"/>
      <c r="BL58" s="17"/>
      <c r="BM58" s="17"/>
      <c r="BN58" s="17"/>
      <c r="BO58" s="17"/>
      <c r="BP58" s="17"/>
      <c r="BQ58" s="17"/>
      <c r="BR58" s="17"/>
      <c r="BS58" s="17"/>
      <c r="BT58" s="17"/>
      <c r="BU58" s="17"/>
      <c r="BV58" s="17"/>
      <c r="BW58" s="17"/>
      <c r="BX58" s="17"/>
      <c r="BY58" s="17"/>
      <c r="BZ58" s="17"/>
    </row>
    <row r="59" spans="1:78">
      <c r="A59" s="19"/>
      <c r="B59" s="19"/>
      <c r="C59" s="121"/>
      <c r="D59" s="19"/>
      <c r="E59" s="122"/>
      <c r="F59" s="122"/>
      <c r="G59" s="122"/>
      <c r="H59" s="122"/>
      <c r="I59" s="124"/>
      <c r="J59" s="124"/>
      <c r="K59" s="124"/>
      <c r="L59" s="124"/>
      <c r="M59" s="124"/>
      <c r="N59" s="124"/>
      <c r="O59" s="124"/>
      <c r="P59" s="124"/>
      <c r="Q59" s="124"/>
      <c r="R59" s="124"/>
      <c r="S59" s="124"/>
      <c r="T59" s="124"/>
      <c r="U59" s="124"/>
      <c r="V59" s="124"/>
      <c r="W59" s="17"/>
      <c r="X59" s="17"/>
      <c r="Y59" s="17"/>
      <c r="Z59" s="17"/>
      <c r="AA59" s="17"/>
      <c r="AB59" s="17"/>
      <c r="AC59" s="17"/>
      <c r="AD59" s="17"/>
      <c r="AE59" s="17"/>
      <c r="AF59" s="17"/>
      <c r="AG59" s="17"/>
      <c r="AH59" s="17"/>
      <c r="AI59" s="17"/>
      <c r="AJ59" s="17"/>
      <c r="AK59" s="17"/>
      <c r="AL59" s="17"/>
      <c r="AM59" s="17"/>
      <c r="AN59" s="17"/>
      <c r="AO59" s="17"/>
      <c r="AP59" s="17"/>
      <c r="AQ59" s="17"/>
      <c r="AR59" s="17"/>
      <c r="AS59" s="17"/>
      <c r="AT59" s="17"/>
      <c r="AU59" s="17"/>
      <c r="AV59" s="17"/>
      <c r="AW59" s="17"/>
      <c r="AX59" s="17"/>
      <c r="AY59" s="17"/>
      <c r="AZ59" s="17"/>
      <c r="BA59" s="17"/>
      <c r="BB59" s="17"/>
      <c r="BC59" s="17"/>
      <c r="BD59" s="17"/>
      <c r="BE59" s="17"/>
      <c r="BF59" s="17"/>
      <c r="BG59" s="17"/>
      <c r="BH59" s="17"/>
      <c r="BI59" s="17"/>
      <c r="BJ59" s="17"/>
      <c r="BK59" s="17"/>
      <c r="BL59" s="17"/>
      <c r="BM59" s="17"/>
      <c r="BN59" s="17"/>
      <c r="BO59" s="17"/>
      <c r="BP59" s="17"/>
      <c r="BQ59" s="17"/>
      <c r="BR59" s="17"/>
      <c r="BS59" s="17"/>
      <c r="BT59" s="17"/>
      <c r="BU59" s="17"/>
      <c r="BV59" s="17"/>
      <c r="BW59" s="17"/>
      <c r="BX59" s="17"/>
      <c r="BY59" s="17"/>
      <c r="BZ59" s="17"/>
    </row>
    <row r="60" spans="1:78">
      <c r="A60" s="19"/>
      <c r="B60" s="19"/>
      <c r="C60" s="121"/>
      <c r="D60" s="19"/>
      <c r="E60" s="122"/>
      <c r="F60" s="122"/>
      <c r="G60" s="122"/>
      <c r="H60" s="122"/>
      <c r="I60" s="124"/>
      <c r="J60" s="124"/>
      <c r="K60" s="124"/>
      <c r="L60" s="124"/>
      <c r="M60" s="124"/>
      <c r="N60" s="124"/>
      <c r="O60" s="124"/>
      <c r="P60" s="124"/>
      <c r="Q60" s="124"/>
      <c r="R60" s="124"/>
      <c r="S60" s="124"/>
      <c r="T60" s="124"/>
      <c r="U60" s="124"/>
      <c r="V60" s="124"/>
      <c r="W60" s="17"/>
      <c r="X60" s="17"/>
      <c r="Y60" s="17"/>
      <c r="Z60" s="17"/>
      <c r="AA60" s="17"/>
      <c r="AB60" s="17"/>
      <c r="AC60" s="17"/>
      <c r="AD60" s="17"/>
      <c r="AE60" s="17"/>
      <c r="AF60" s="17"/>
      <c r="AG60" s="17"/>
      <c r="AH60" s="17"/>
      <c r="AI60" s="17"/>
      <c r="AJ60" s="17"/>
      <c r="AK60" s="17"/>
      <c r="AL60" s="17"/>
      <c r="AM60" s="17"/>
      <c r="AN60" s="17"/>
      <c r="AO60" s="17"/>
      <c r="AP60" s="17"/>
      <c r="AQ60" s="17"/>
      <c r="AR60" s="17"/>
      <c r="AS60" s="17"/>
      <c r="AT60" s="17"/>
      <c r="AU60" s="17"/>
      <c r="AV60" s="17"/>
      <c r="AW60" s="17"/>
      <c r="AX60" s="17"/>
      <c r="AY60" s="17"/>
      <c r="AZ60" s="17"/>
      <c r="BA60" s="17"/>
      <c r="BB60" s="17"/>
      <c r="BC60" s="17"/>
      <c r="BD60" s="17"/>
      <c r="BE60" s="17"/>
      <c r="BF60" s="17"/>
      <c r="BG60" s="17"/>
      <c r="BH60" s="17"/>
      <c r="BI60" s="17"/>
      <c r="BJ60" s="17"/>
      <c r="BK60" s="17"/>
      <c r="BL60" s="17"/>
      <c r="BM60" s="17"/>
      <c r="BN60" s="17"/>
      <c r="BO60" s="17"/>
      <c r="BP60" s="17"/>
      <c r="BQ60" s="17"/>
      <c r="BR60" s="17"/>
      <c r="BS60" s="17"/>
      <c r="BT60" s="17"/>
      <c r="BU60" s="17"/>
      <c r="BV60" s="17"/>
      <c r="BW60" s="17"/>
      <c r="BX60" s="17"/>
      <c r="BY60" s="17"/>
      <c r="BZ60" s="17"/>
    </row>
    <row r="61" spans="1:78">
      <c r="A61" s="19"/>
      <c r="B61" s="19"/>
      <c r="C61" s="121"/>
      <c r="D61" s="19"/>
      <c r="E61" s="122"/>
      <c r="F61" s="122"/>
      <c r="G61" s="122"/>
      <c r="H61" s="122"/>
      <c r="I61" s="124"/>
      <c r="J61" s="124"/>
      <c r="K61" s="124"/>
      <c r="L61" s="124"/>
      <c r="M61" s="124"/>
      <c r="N61" s="124"/>
      <c r="O61" s="124"/>
      <c r="P61" s="124"/>
      <c r="Q61" s="124"/>
      <c r="R61" s="124"/>
      <c r="S61" s="124"/>
      <c r="T61" s="124"/>
      <c r="U61" s="124"/>
      <c r="V61" s="124"/>
      <c r="W61" s="17"/>
      <c r="X61" s="17"/>
      <c r="Y61" s="17"/>
      <c r="Z61" s="17"/>
      <c r="AA61" s="17"/>
      <c r="AB61" s="17"/>
      <c r="AC61" s="17"/>
      <c r="AD61" s="17"/>
      <c r="AE61" s="17"/>
      <c r="AF61" s="17"/>
      <c r="AG61" s="17"/>
      <c r="AH61" s="17"/>
      <c r="AI61" s="17"/>
      <c r="AJ61" s="17"/>
      <c r="AK61" s="17"/>
      <c r="AL61" s="17"/>
      <c r="AM61" s="17"/>
      <c r="AN61" s="17"/>
      <c r="AO61" s="17"/>
      <c r="AP61" s="17"/>
      <c r="AQ61" s="17"/>
      <c r="AR61" s="17"/>
      <c r="AS61" s="17"/>
      <c r="AT61" s="17"/>
      <c r="AU61" s="17"/>
      <c r="AV61" s="17"/>
      <c r="AW61" s="17"/>
      <c r="AX61" s="17"/>
      <c r="AY61" s="17"/>
      <c r="AZ61" s="17"/>
      <c r="BA61" s="17"/>
      <c r="BB61" s="17"/>
      <c r="BC61" s="17"/>
      <c r="BD61" s="17"/>
      <c r="BE61" s="17"/>
      <c r="BF61" s="17"/>
      <c r="BG61" s="17"/>
      <c r="BH61" s="17"/>
      <c r="BI61" s="17"/>
      <c r="BJ61" s="17"/>
      <c r="BK61" s="17"/>
      <c r="BL61" s="17"/>
      <c r="BM61" s="17"/>
      <c r="BN61" s="17"/>
      <c r="BO61" s="17"/>
      <c r="BP61" s="17"/>
      <c r="BQ61" s="17"/>
      <c r="BR61" s="17"/>
      <c r="BS61" s="17"/>
      <c r="BT61" s="17"/>
      <c r="BU61" s="17"/>
      <c r="BV61" s="17"/>
      <c r="BW61" s="17"/>
      <c r="BX61" s="17"/>
      <c r="BY61" s="17"/>
      <c r="BZ61" s="17"/>
    </row>
    <row r="62" spans="1:78">
      <c r="A62" s="19"/>
      <c r="B62" s="19"/>
      <c r="C62" s="121"/>
      <c r="D62" s="19"/>
      <c r="E62" s="122"/>
      <c r="F62" s="122"/>
      <c r="G62" s="122"/>
      <c r="H62" s="122"/>
      <c r="I62" s="124"/>
      <c r="J62" s="124"/>
      <c r="K62" s="124"/>
      <c r="L62" s="124"/>
      <c r="M62" s="124"/>
      <c r="N62" s="124"/>
      <c r="O62" s="124"/>
      <c r="P62" s="124"/>
      <c r="Q62" s="124"/>
      <c r="R62" s="124"/>
      <c r="S62" s="124"/>
      <c r="T62" s="124"/>
      <c r="U62" s="124"/>
      <c r="V62" s="124"/>
      <c r="W62" s="17"/>
      <c r="X62" s="17"/>
      <c r="Y62" s="17"/>
      <c r="Z62" s="17"/>
      <c r="AA62" s="17"/>
      <c r="AB62" s="17"/>
      <c r="AC62" s="17"/>
      <c r="AD62" s="17"/>
      <c r="AE62" s="17"/>
      <c r="AF62" s="17"/>
      <c r="AG62" s="17"/>
      <c r="AH62" s="17"/>
      <c r="AI62" s="17"/>
      <c r="AJ62" s="17"/>
      <c r="AK62" s="17"/>
      <c r="AL62" s="17"/>
      <c r="AM62" s="17"/>
      <c r="AN62" s="17"/>
      <c r="AO62" s="17"/>
      <c r="AP62" s="17"/>
      <c r="AQ62" s="17"/>
      <c r="AR62" s="17"/>
      <c r="AS62" s="17"/>
      <c r="AT62" s="17"/>
      <c r="AU62" s="17"/>
      <c r="AV62" s="17"/>
      <c r="AW62" s="17"/>
      <c r="AX62" s="17"/>
      <c r="AY62" s="17"/>
      <c r="AZ62" s="17"/>
      <c r="BA62" s="17"/>
      <c r="BB62" s="17"/>
      <c r="BC62" s="17"/>
      <c r="BD62" s="17"/>
      <c r="BE62" s="17"/>
      <c r="BF62" s="17"/>
      <c r="BG62" s="17"/>
      <c r="BH62" s="17"/>
      <c r="BI62" s="17"/>
      <c r="BJ62" s="17"/>
      <c r="BK62" s="17"/>
      <c r="BL62" s="17"/>
      <c r="BM62" s="17"/>
      <c r="BN62" s="17"/>
      <c r="BO62" s="17"/>
      <c r="BP62" s="17"/>
      <c r="BQ62" s="17"/>
      <c r="BR62" s="17"/>
      <c r="BS62" s="17"/>
      <c r="BT62" s="17"/>
      <c r="BU62" s="17"/>
      <c r="BV62" s="17"/>
      <c r="BW62" s="17"/>
      <c r="BX62" s="17"/>
      <c r="BY62" s="17"/>
      <c r="BZ62" s="17"/>
    </row>
    <row r="63" spans="1:78">
      <c r="A63" s="19"/>
      <c r="B63" s="19"/>
      <c r="C63" s="121"/>
      <c r="D63" s="19"/>
      <c r="E63" s="122"/>
      <c r="F63" s="122"/>
      <c r="G63" s="122"/>
      <c r="H63" s="122"/>
      <c r="I63" s="124"/>
      <c r="J63" s="124"/>
      <c r="K63" s="124"/>
      <c r="L63" s="124"/>
      <c r="M63" s="124"/>
      <c r="N63" s="124"/>
      <c r="O63" s="124"/>
      <c r="P63" s="124"/>
      <c r="Q63" s="124"/>
      <c r="R63" s="124"/>
      <c r="S63" s="124"/>
      <c r="T63" s="124"/>
      <c r="U63" s="124"/>
      <c r="V63" s="124"/>
      <c r="W63" s="17"/>
      <c r="X63" s="17"/>
      <c r="Y63" s="17"/>
      <c r="Z63" s="17"/>
      <c r="AA63" s="17"/>
      <c r="AB63" s="17"/>
      <c r="AC63" s="17"/>
      <c r="AD63" s="17"/>
      <c r="AE63" s="17"/>
      <c r="AF63" s="17"/>
      <c r="AG63" s="17"/>
      <c r="AH63" s="17"/>
      <c r="AI63" s="17"/>
      <c r="AJ63" s="17"/>
      <c r="AK63" s="17"/>
      <c r="AL63" s="17"/>
      <c r="AM63" s="17"/>
      <c r="AN63" s="17"/>
      <c r="AO63" s="17"/>
      <c r="AP63" s="17"/>
      <c r="AQ63" s="17"/>
      <c r="AR63" s="17"/>
      <c r="AS63" s="17"/>
      <c r="AT63" s="17"/>
      <c r="AU63" s="17"/>
      <c r="AV63" s="17"/>
      <c r="AW63" s="17"/>
      <c r="AX63" s="17"/>
      <c r="AY63" s="17"/>
      <c r="AZ63" s="17"/>
      <c r="BA63" s="17"/>
      <c r="BB63" s="17"/>
      <c r="BC63" s="17"/>
      <c r="BD63" s="17"/>
      <c r="BE63" s="17"/>
      <c r="BF63" s="17"/>
      <c r="BG63" s="17"/>
      <c r="BH63" s="17"/>
      <c r="BI63" s="17"/>
      <c r="BJ63" s="17"/>
      <c r="BK63" s="17"/>
      <c r="BL63" s="17"/>
      <c r="BM63" s="17"/>
      <c r="BN63" s="17"/>
      <c r="BO63" s="17"/>
      <c r="BP63" s="17"/>
      <c r="BQ63" s="17"/>
      <c r="BR63" s="17"/>
      <c r="BS63" s="17"/>
      <c r="BT63" s="17"/>
      <c r="BU63" s="17"/>
      <c r="BV63" s="17"/>
      <c r="BW63" s="17"/>
      <c r="BX63" s="17"/>
      <c r="BY63" s="17"/>
      <c r="BZ63" s="17"/>
    </row>
    <row r="64" spans="1:78">
      <c r="A64" s="19"/>
      <c r="B64" s="19"/>
      <c r="C64" s="121"/>
      <c r="D64" s="19"/>
      <c r="E64" s="122"/>
      <c r="F64" s="122"/>
      <c r="G64" s="122"/>
      <c r="H64" s="122"/>
      <c r="I64" s="124"/>
      <c r="J64" s="124"/>
      <c r="K64" s="124"/>
      <c r="L64" s="124"/>
      <c r="M64" s="124"/>
      <c r="N64" s="124"/>
      <c r="O64" s="124"/>
      <c r="P64" s="124"/>
      <c r="Q64" s="124"/>
      <c r="R64" s="124"/>
      <c r="S64" s="124"/>
      <c r="T64" s="124"/>
      <c r="U64" s="124"/>
      <c r="V64" s="124"/>
      <c r="W64" s="17"/>
      <c r="X64" s="17"/>
      <c r="Y64" s="17"/>
      <c r="Z64" s="17"/>
      <c r="AA64" s="17"/>
      <c r="AB64" s="17"/>
      <c r="AC64" s="17"/>
      <c r="AD64" s="17"/>
      <c r="AE64" s="17"/>
      <c r="AF64" s="17"/>
      <c r="AG64" s="17"/>
      <c r="AH64" s="17"/>
      <c r="AI64" s="17"/>
      <c r="AJ64" s="17"/>
      <c r="AK64" s="17"/>
      <c r="AL64" s="17"/>
      <c r="AM64" s="17"/>
      <c r="AN64" s="17"/>
      <c r="AO64" s="17"/>
      <c r="AP64" s="17"/>
      <c r="AQ64" s="17"/>
      <c r="AR64" s="17"/>
      <c r="AS64" s="17"/>
      <c r="AT64" s="17"/>
      <c r="AU64" s="17"/>
      <c r="AV64" s="17"/>
      <c r="AW64" s="17"/>
      <c r="AX64" s="17"/>
      <c r="AY64" s="17"/>
      <c r="AZ64" s="17"/>
      <c r="BA64" s="17"/>
      <c r="BB64" s="17"/>
      <c r="BC64" s="17"/>
      <c r="BD64" s="17"/>
      <c r="BE64" s="17"/>
      <c r="BF64" s="17"/>
      <c r="BG64" s="17"/>
      <c r="BH64" s="17"/>
      <c r="BI64" s="17"/>
      <c r="BJ64" s="17"/>
      <c r="BK64" s="17"/>
      <c r="BL64" s="17"/>
      <c r="BM64" s="17"/>
      <c r="BN64" s="17"/>
      <c r="BO64" s="17"/>
      <c r="BP64" s="17"/>
      <c r="BQ64" s="17"/>
      <c r="BR64" s="17"/>
      <c r="BS64" s="17"/>
      <c r="BT64" s="17"/>
      <c r="BU64" s="17"/>
      <c r="BV64" s="17"/>
      <c r="BW64" s="17"/>
      <c r="BX64" s="17"/>
      <c r="BY64" s="17"/>
      <c r="BZ64" s="17"/>
    </row>
    <row r="65" spans="1:78">
      <c r="A65" s="19"/>
      <c r="B65" s="19"/>
      <c r="C65" s="121"/>
      <c r="D65" s="19"/>
      <c r="E65" s="122"/>
      <c r="F65" s="122"/>
      <c r="G65" s="122"/>
      <c r="H65" s="122"/>
      <c r="I65" s="124"/>
      <c r="J65" s="124"/>
      <c r="K65" s="124"/>
      <c r="L65" s="124"/>
      <c r="M65" s="124"/>
      <c r="N65" s="124"/>
      <c r="O65" s="124"/>
      <c r="P65" s="124"/>
      <c r="Q65" s="124"/>
      <c r="R65" s="124"/>
      <c r="S65" s="124"/>
      <c r="T65" s="124"/>
      <c r="U65" s="124"/>
      <c r="V65" s="124"/>
      <c r="W65" s="17"/>
      <c r="X65" s="17"/>
      <c r="Y65" s="17"/>
      <c r="Z65" s="17"/>
      <c r="AA65" s="17"/>
      <c r="AB65" s="17"/>
      <c r="AC65" s="17"/>
      <c r="AD65" s="17"/>
      <c r="AE65" s="17"/>
      <c r="AF65" s="17"/>
      <c r="AG65" s="17"/>
      <c r="AH65" s="17"/>
      <c r="AI65" s="17"/>
      <c r="AJ65" s="17"/>
      <c r="AK65" s="17"/>
      <c r="AL65" s="17"/>
      <c r="AM65" s="17"/>
      <c r="AN65" s="17"/>
      <c r="AO65" s="17"/>
      <c r="AP65" s="17"/>
      <c r="AQ65" s="17"/>
      <c r="AR65" s="17"/>
      <c r="AS65" s="17"/>
      <c r="AT65" s="17"/>
      <c r="AU65" s="17"/>
      <c r="AV65" s="17"/>
      <c r="AW65" s="17"/>
      <c r="AX65" s="17"/>
      <c r="AY65" s="17"/>
      <c r="AZ65" s="17"/>
      <c r="BA65" s="17"/>
      <c r="BB65" s="17"/>
      <c r="BC65" s="17"/>
      <c r="BD65" s="17"/>
      <c r="BE65" s="17"/>
      <c r="BF65" s="17"/>
      <c r="BG65" s="17"/>
      <c r="BH65" s="17"/>
      <c r="BI65" s="17"/>
      <c r="BJ65" s="17"/>
      <c r="BK65" s="17"/>
      <c r="BL65" s="17"/>
      <c r="BM65" s="17"/>
      <c r="BN65" s="17"/>
      <c r="BO65" s="17"/>
      <c r="BP65" s="17"/>
      <c r="BQ65" s="17"/>
      <c r="BR65" s="17"/>
      <c r="BS65" s="17"/>
      <c r="BT65" s="17"/>
      <c r="BU65" s="17"/>
      <c r="BV65" s="17"/>
      <c r="BW65" s="17"/>
      <c r="BX65" s="17"/>
      <c r="BY65" s="17"/>
      <c r="BZ65" s="17"/>
    </row>
    <row r="66" spans="1:78">
      <c r="A66" s="19"/>
      <c r="B66" s="19"/>
      <c r="C66" s="121"/>
      <c r="D66" s="19"/>
      <c r="E66" s="122"/>
      <c r="F66" s="122"/>
      <c r="G66" s="122"/>
      <c r="H66" s="122"/>
      <c r="I66" s="124"/>
      <c r="J66" s="124"/>
      <c r="K66" s="124"/>
      <c r="L66" s="124"/>
      <c r="M66" s="124"/>
      <c r="N66" s="124"/>
      <c r="O66" s="124"/>
      <c r="P66" s="124"/>
      <c r="Q66" s="124"/>
      <c r="R66" s="124"/>
      <c r="S66" s="124"/>
      <c r="T66" s="124"/>
      <c r="U66" s="124"/>
      <c r="V66" s="124"/>
      <c r="W66" s="17"/>
      <c r="X66" s="17"/>
      <c r="Y66" s="17"/>
      <c r="Z66" s="17"/>
      <c r="AA66" s="17"/>
      <c r="AB66" s="17"/>
      <c r="AC66" s="17"/>
      <c r="AD66" s="17"/>
      <c r="AE66" s="17"/>
      <c r="AF66" s="17"/>
      <c r="AG66" s="17"/>
      <c r="AH66" s="17"/>
      <c r="AI66" s="17"/>
      <c r="AJ66" s="17"/>
      <c r="AK66" s="17"/>
      <c r="AL66" s="17"/>
      <c r="AM66" s="17"/>
      <c r="AN66" s="17"/>
      <c r="AO66" s="17"/>
      <c r="AP66" s="17"/>
      <c r="AQ66" s="17"/>
      <c r="AR66" s="17"/>
      <c r="AS66" s="17"/>
      <c r="AT66" s="17"/>
      <c r="AU66" s="17"/>
      <c r="AV66" s="17"/>
      <c r="AW66" s="17"/>
      <c r="AX66" s="17"/>
      <c r="AY66" s="17"/>
      <c r="AZ66" s="17"/>
      <c r="BA66" s="17"/>
      <c r="BB66" s="17"/>
      <c r="BC66" s="17"/>
      <c r="BD66" s="17"/>
      <c r="BE66" s="17"/>
      <c r="BF66" s="17"/>
      <c r="BG66" s="17"/>
      <c r="BH66" s="17"/>
      <c r="BI66" s="17"/>
      <c r="BJ66" s="17"/>
      <c r="BK66" s="17"/>
      <c r="BL66" s="17"/>
      <c r="BM66" s="17"/>
      <c r="BN66" s="17"/>
      <c r="BO66" s="17"/>
      <c r="BP66" s="17"/>
      <c r="BQ66" s="17"/>
      <c r="BR66" s="17"/>
      <c r="BS66" s="17"/>
      <c r="BT66" s="17"/>
      <c r="BU66" s="17"/>
      <c r="BV66" s="17"/>
      <c r="BW66" s="17"/>
      <c r="BX66" s="17"/>
      <c r="BY66" s="17"/>
      <c r="BZ66" s="17"/>
    </row>
    <row r="67" spans="1:78">
      <c r="A67" s="19"/>
      <c r="B67" s="19"/>
      <c r="C67" s="121"/>
      <c r="D67" s="19"/>
      <c r="E67" s="122"/>
      <c r="F67" s="122"/>
      <c r="G67" s="122"/>
      <c r="H67" s="122"/>
      <c r="I67" s="124"/>
      <c r="J67" s="124"/>
      <c r="K67" s="124"/>
      <c r="L67" s="124"/>
      <c r="M67" s="124"/>
      <c r="N67" s="124"/>
      <c r="O67" s="124"/>
      <c r="P67" s="124"/>
      <c r="Q67" s="124"/>
      <c r="R67" s="124"/>
      <c r="S67" s="124"/>
      <c r="T67" s="124"/>
      <c r="U67" s="124"/>
      <c r="V67" s="124"/>
      <c r="W67" s="17"/>
      <c r="X67" s="17"/>
      <c r="Y67" s="17"/>
      <c r="Z67" s="17"/>
      <c r="AA67" s="17"/>
      <c r="AB67" s="17"/>
      <c r="AC67" s="17"/>
      <c r="AD67" s="17"/>
      <c r="AE67" s="17"/>
      <c r="AF67" s="17"/>
      <c r="AG67" s="17"/>
      <c r="AH67" s="17"/>
      <c r="AI67" s="17"/>
      <c r="AJ67" s="17"/>
      <c r="AK67" s="17"/>
      <c r="AL67" s="17"/>
      <c r="AM67" s="17"/>
      <c r="AN67" s="17"/>
      <c r="AO67" s="17"/>
      <c r="AP67" s="17"/>
      <c r="AQ67" s="17"/>
      <c r="AR67" s="17"/>
      <c r="AS67" s="17"/>
      <c r="AT67" s="17"/>
      <c r="AU67" s="17"/>
      <c r="AV67" s="17"/>
      <c r="AW67" s="17"/>
      <c r="AX67" s="17"/>
      <c r="AY67" s="17"/>
      <c r="AZ67" s="17"/>
      <c r="BA67" s="17"/>
      <c r="BB67" s="17"/>
      <c r="BC67" s="17"/>
      <c r="BD67" s="17"/>
      <c r="BE67" s="17"/>
      <c r="BF67" s="17"/>
      <c r="BG67" s="17"/>
      <c r="BH67" s="17"/>
      <c r="BI67" s="17"/>
      <c r="BJ67" s="17"/>
      <c r="BK67" s="17"/>
      <c r="BL67" s="17"/>
      <c r="BM67" s="17"/>
      <c r="BN67" s="17"/>
      <c r="BO67" s="17"/>
      <c r="BP67" s="17"/>
      <c r="BQ67" s="17"/>
      <c r="BR67" s="17"/>
      <c r="BS67" s="17"/>
      <c r="BT67" s="17"/>
      <c r="BU67" s="17"/>
      <c r="BV67" s="17"/>
      <c r="BW67" s="17"/>
      <c r="BX67" s="17"/>
      <c r="BY67" s="17"/>
      <c r="BZ67" s="17"/>
    </row>
    <row r="68" spans="1:78">
      <c r="A68" s="19"/>
      <c r="B68" s="19"/>
      <c r="C68" s="121"/>
      <c r="D68" s="19"/>
      <c r="E68" s="122"/>
      <c r="F68" s="122"/>
      <c r="G68" s="122"/>
      <c r="H68" s="122"/>
      <c r="I68" s="124"/>
      <c r="J68" s="124"/>
      <c r="K68" s="124"/>
      <c r="L68" s="124"/>
      <c r="M68" s="124"/>
      <c r="N68" s="124"/>
      <c r="O68" s="124"/>
      <c r="P68" s="124"/>
      <c r="Q68" s="124"/>
      <c r="R68" s="124"/>
      <c r="S68" s="124"/>
      <c r="T68" s="124"/>
      <c r="U68" s="124"/>
      <c r="V68" s="124"/>
      <c r="W68" s="17"/>
      <c r="X68" s="17"/>
      <c r="Y68" s="17"/>
      <c r="Z68" s="17"/>
      <c r="AA68" s="17"/>
      <c r="AB68" s="17"/>
      <c r="AC68" s="17"/>
      <c r="AD68" s="17"/>
      <c r="AE68" s="17"/>
      <c r="AF68" s="17"/>
      <c r="AG68" s="17"/>
      <c r="AH68" s="17"/>
      <c r="AI68" s="17"/>
      <c r="AJ68" s="17"/>
      <c r="AK68" s="17"/>
      <c r="AL68" s="17"/>
      <c r="AM68" s="17"/>
      <c r="AN68" s="17"/>
      <c r="AO68" s="17"/>
      <c r="AP68" s="17"/>
      <c r="AQ68" s="17"/>
      <c r="AR68" s="17"/>
      <c r="AS68" s="17"/>
      <c r="AT68" s="17"/>
      <c r="AU68" s="17"/>
      <c r="AV68" s="17"/>
      <c r="AW68" s="17"/>
      <c r="AX68" s="17"/>
      <c r="AY68" s="17"/>
      <c r="AZ68" s="17"/>
      <c r="BA68" s="17"/>
      <c r="BB68" s="17"/>
      <c r="BC68" s="17"/>
      <c r="BD68" s="17"/>
      <c r="BE68" s="17"/>
      <c r="BF68" s="17"/>
      <c r="BG68" s="17"/>
      <c r="BH68" s="17"/>
      <c r="BI68" s="17"/>
      <c r="BJ68" s="17"/>
      <c r="BK68" s="17"/>
      <c r="BL68" s="17"/>
      <c r="BM68" s="17"/>
      <c r="BN68" s="17"/>
      <c r="BO68" s="17"/>
      <c r="BP68" s="17"/>
      <c r="BQ68" s="17"/>
      <c r="BR68" s="17"/>
      <c r="BS68" s="17"/>
      <c r="BT68" s="17"/>
      <c r="BU68" s="17"/>
      <c r="BV68" s="17"/>
      <c r="BW68" s="17"/>
      <c r="BX68" s="17"/>
      <c r="BY68" s="17"/>
      <c r="BZ68" s="17"/>
    </row>
    <row r="69" spans="1:78">
      <c r="A69" s="19"/>
      <c r="B69" s="19"/>
      <c r="C69" s="121"/>
      <c r="D69" s="19"/>
      <c r="E69" s="122"/>
      <c r="F69" s="122"/>
      <c r="G69" s="122"/>
      <c r="H69" s="122"/>
      <c r="I69" s="124"/>
      <c r="J69" s="124"/>
      <c r="K69" s="124"/>
      <c r="L69" s="124"/>
      <c r="M69" s="124"/>
      <c r="N69" s="124"/>
      <c r="O69" s="124"/>
      <c r="P69" s="124"/>
      <c r="Q69" s="124"/>
      <c r="R69" s="124"/>
      <c r="S69" s="124"/>
      <c r="T69" s="124"/>
      <c r="U69" s="124"/>
      <c r="V69" s="124"/>
      <c r="W69" s="17"/>
      <c r="X69" s="17"/>
      <c r="Y69" s="17"/>
      <c r="Z69" s="17"/>
      <c r="AA69" s="17"/>
      <c r="AB69" s="17"/>
      <c r="AC69" s="17"/>
      <c r="AD69" s="17"/>
      <c r="AE69" s="17"/>
      <c r="AF69" s="17"/>
      <c r="AG69" s="17"/>
      <c r="AH69" s="17"/>
      <c r="AI69" s="17"/>
      <c r="AJ69" s="17"/>
      <c r="AK69" s="17"/>
      <c r="AL69" s="17"/>
      <c r="AM69" s="17"/>
      <c r="AN69" s="17"/>
      <c r="AO69" s="17"/>
      <c r="AP69" s="17"/>
      <c r="AQ69" s="17"/>
      <c r="AR69" s="17"/>
      <c r="AS69" s="17"/>
      <c r="AT69" s="17"/>
      <c r="AU69" s="17"/>
      <c r="AV69" s="17"/>
      <c r="AW69" s="17"/>
      <c r="AX69" s="17"/>
      <c r="AY69" s="17"/>
      <c r="AZ69" s="17"/>
      <c r="BA69" s="17"/>
      <c r="BB69" s="17"/>
      <c r="BC69" s="17"/>
      <c r="BD69" s="17"/>
      <c r="BE69" s="17"/>
      <c r="BF69" s="17"/>
      <c r="BG69" s="17"/>
      <c r="BH69" s="17"/>
      <c r="BI69" s="17"/>
      <c r="BJ69" s="17"/>
      <c r="BK69" s="17"/>
      <c r="BL69" s="17"/>
      <c r="BM69" s="17"/>
      <c r="BN69" s="17"/>
      <c r="BO69" s="17"/>
      <c r="BP69" s="17"/>
      <c r="BQ69" s="17"/>
      <c r="BR69" s="17"/>
      <c r="BS69" s="17"/>
      <c r="BT69" s="17"/>
      <c r="BU69" s="17"/>
      <c r="BV69" s="17"/>
      <c r="BW69" s="17"/>
      <c r="BX69" s="17"/>
      <c r="BY69" s="17"/>
      <c r="BZ69" s="17"/>
    </row>
    <row r="70" spans="1:78">
      <c r="A70" s="19"/>
      <c r="B70" s="19"/>
      <c r="C70" s="121"/>
      <c r="D70" s="19"/>
      <c r="E70" s="122"/>
      <c r="F70" s="122"/>
      <c r="G70" s="122"/>
      <c r="H70" s="122"/>
      <c r="I70" s="124"/>
      <c r="J70" s="124"/>
      <c r="K70" s="124"/>
      <c r="L70" s="124"/>
      <c r="M70" s="124"/>
      <c r="N70" s="124"/>
      <c r="O70" s="124"/>
      <c r="P70" s="124"/>
      <c r="Q70" s="124"/>
      <c r="R70" s="124"/>
      <c r="S70" s="124"/>
      <c r="T70" s="124"/>
      <c r="U70" s="124"/>
      <c r="V70" s="124"/>
      <c r="W70" s="17"/>
      <c r="X70" s="17"/>
      <c r="Y70" s="17"/>
      <c r="Z70" s="17"/>
      <c r="AA70" s="17"/>
      <c r="AB70" s="17"/>
      <c r="AC70" s="17"/>
      <c r="AD70" s="17"/>
      <c r="AE70" s="17"/>
      <c r="AF70" s="17"/>
      <c r="AG70" s="17"/>
      <c r="AH70" s="17"/>
      <c r="AI70" s="17"/>
      <c r="AJ70" s="17"/>
      <c r="AK70" s="17"/>
      <c r="AL70" s="17"/>
      <c r="AM70" s="17"/>
      <c r="AN70" s="17"/>
      <c r="AO70" s="17"/>
      <c r="AP70" s="17"/>
      <c r="AQ70" s="17"/>
      <c r="AR70" s="17"/>
      <c r="AS70" s="17"/>
      <c r="AT70" s="17"/>
      <c r="AU70" s="17"/>
      <c r="AV70" s="17"/>
      <c r="AW70" s="17"/>
      <c r="AX70" s="17"/>
      <c r="AY70" s="17"/>
      <c r="AZ70" s="17"/>
      <c r="BA70" s="17"/>
      <c r="BB70" s="17"/>
      <c r="BC70" s="17"/>
      <c r="BD70" s="17"/>
      <c r="BE70" s="17"/>
      <c r="BF70" s="17"/>
      <c r="BG70" s="17"/>
      <c r="BH70" s="17"/>
      <c r="BI70" s="17"/>
      <c r="BJ70" s="17"/>
      <c r="BK70" s="17"/>
      <c r="BL70" s="17"/>
      <c r="BM70" s="17"/>
      <c r="BN70" s="17"/>
      <c r="BO70" s="17"/>
      <c r="BP70" s="17"/>
      <c r="BQ70" s="17"/>
      <c r="BR70" s="17"/>
      <c r="BS70" s="17"/>
      <c r="BT70" s="17"/>
      <c r="BU70" s="17"/>
      <c r="BV70" s="17"/>
      <c r="BW70" s="17"/>
      <c r="BX70" s="17"/>
      <c r="BY70" s="17"/>
      <c r="BZ70" s="17"/>
    </row>
    <row r="71" spans="1:78">
      <c r="A71" s="19"/>
      <c r="B71" s="19"/>
      <c r="C71" s="121"/>
      <c r="D71" s="19"/>
      <c r="E71" s="122"/>
      <c r="F71" s="122"/>
      <c r="G71" s="122"/>
      <c r="H71" s="122"/>
      <c r="I71" s="124"/>
      <c r="J71" s="124"/>
      <c r="K71" s="124"/>
      <c r="L71" s="124"/>
      <c r="M71" s="124"/>
      <c r="N71" s="124"/>
      <c r="O71" s="124"/>
      <c r="P71" s="124"/>
      <c r="Q71" s="124"/>
      <c r="R71" s="124"/>
      <c r="S71" s="124"/>
      <c r="T71" s="124"/>
      <c r="U71" s="124"/>
      <c r="V71" s="124"/>
      <c r="W71" s="17"/>
      <c r="X71" s="17"/>
      <c r="Y71" s="17"/>
      <c r="Z71" s="17"/>
      <c r="AA71" s="17"/>
      <c r="AB71" s="17"/>
      <c r="AC71" s="17"/>
      <c r="AD71" s="17"/>
      <c r="AE71" s="17"/>
      <c r="AF71" s="17"/>
      <c r="AG71" s="17"/>
      <c r="AH71" s="17"/>
      <c r="AI71" s="17"/>
      <c r="AJ71" s="17"/>
      <c r="AK71" s="17"/>
      <c r="AL71" s="17"/>
      <c r="AM71" s="17"/>
      <c r="AN71" s="17"/>
      <c r="AO71" s="17"/>
      <c r="AP71" s="17"/>
      <c r="AQ71" s="17"/>
      <c r="AR71" s="17"/>
      <c r="AS71" s="17"/>
      <c r="AT71" s="17"/>
      <c r="AU71" s="17"/>
      <c r="AV71" s="17"/>
      <c r="AW71" s="17"/>
      <c r="AX71" s="17"/>
      <c r="AY71" s="17"/>
      <c r="AZ71" s="17"/>
      <c r="BA71" s="17"/>
      <c r="BB71" s="17"/>
      <c r="BC71" s="17"/>
      <c r="BD71" s="17"/>
      <c r="BE71" s="17"/>
      <c r="BF71" s="17"/>
      <c r="BG71" s="17"/>
      <c r="BH71" s="17"/>
      <c r="BI71" s="17"/>
      <c r="BJ71" s="17"/>
      <c r="BK71" s="17"/>
      <c r="BL71" s="17"/>
      <c r="BM71" s="17"/>
      <c r="BN71" s="17"/>
      <c r="BO71" s="17"/>
      <c r="BP71" s="17"/>
      <c r="BQ71" s="17"/>
      <c r="BR71" s="17"/>
      <c r="BS71" s="17"/>
      <c r="BT71" s="17"/>
      <c r="BU71" s="17"/>
      <c r="BV71" s="17"/>
      <c r="BW71" s="17"/>
      <c r="BX71" s="17"/>
      <c r="BY71" s="17"/>
      <c r="BZ71" s="17"/>
    </row>
    <row r="72" spans="1:78">
      <c r="A72" s="19"/>
      <c r="B72" s="19"/>
      <c r="C72" s="121"/>
      <c r="D72" s="19"/>
      <c r="E72" s="122"/>
      <c r="F72" s="122"/>
      <c r="G72" s="122"/>
      <c r="H72" s="122"/>
      <c r="I72" s="124"/>
      <c r="J72" s="124"/>
      <c r="K72" s="124"/>
      <c r="L72" s="124"/>
      <c r="M72" s="124"/>
      <c r="N72" s="124"/>
      <c r="O72" s="124"/>
      <c r="P72" s="124"/>
      <c r="Q72" s="124"/>
      <c r="R72" s="124"/>
      <c r="S72" s="124"/>
      <c r="T72" s="124"/>
      <c r="U72" s="124"/>
      <c r="V72" s="124"/>
      <c r="W72" s="17"/>
      <c r="X72" s="17"/>
      <c r="Y72" s="17"/>
      <c r="Z72" s="17"/>
      <c r="AA72" s="17"/>
      <c r="AB72" s="17"/>
      <c r="AC72" s="17"/>
      <c r="AD72" s="17"/>
      <c r="AE72" s="17"/>
      <c r="AF72" s="17"/>
      <c r="AG72" s="17"/>
      <c r="AH72" s="17"/>
      <c r="AI72" s="17"/>
      <c r="AJ72" s="17"/>
      <c r="AK72" s="17"/>
      <c r="AL72" s="17"/>
      <c r="AM72" s="17"/>
      <c r="AN72" s="17"/>
      <c r="AO72" s="17"/>
      <c r="AP72" s="17"/>
      <c r="AQ72" s="17"/>
      <c r="AR72" s="17"/>
      <c r="AS72" s="17"/>
      <c r="AT72" s="17"/>
      <c r="AU72" s="17"/>
      <c r="AV72" s="17"/>
      <c r="AW72" s="17"/>
      <c r="AX72" s="17"/>
      <c r="AY72" s="17"/>
      <c r="AZ72" s="17"/>
      <c r="BA72" s="17"/>
      <c r="BB72" s="17"/>
      <c r="BC72" s="17"/>
      <c r="BD72" s="17"/>
      <c r="BE72" s="17"/>
      <c r="BF72" s="17"/>
      <c r="BG72" s="17"/>
      <c r="BH72" s="17"/>
      <c r="BI72" s="17"/>
      <c r="BJ72" s="17"/>
      <c r="BK72" s="17"/>
      <c r="BL72" s="17"/>
      <c r="BM72" s="17"/>
      <c r="BN72" s="17"/>
      <c r="BO72" s="17"/>
      <c r="BP72" s="17"/>
      <c r="BQ72" s="17"/>
      <c r="BR72" s="17"/>
      <c r="BS72" s="17"/>
      <c r="BT72" s="17"/>
      <c r="BU72" s="17"/>
      <c r="BV72" s="17"/>
      <c r="BW72" s="17"/>
      <c r="BX72" s="17"/>
      <c r="BY72" s="17"/>
      <c r="BZ72" s="17"/>
    </row>
    <row r="73" spans="1:78">
      <c r="A73" s="19"/>
      <c r="B73" s="19"/>
      <c r="C73" s="121"/>
      <c r="D73" s="19"/>
      <c r="E73" s="122"/>
      <c r="F73" s="122"/>
      <c r="G73" s="122"/>
      <c r="H73" s="122"/>
      <c r="I73" s="124"/>
      <c r="J73" s="124"/>
      <c r="K73" s="124"/>
      <c r="L73" s="124"/>
      <c r="M73" s="124"/>
      <c r="N73" s="124"/>
      <c r="O73" s="124"/>
      <c r="P73" s="124"/>
      <c r="Q73" s="124"/>
      <c r="R73" s="124"/>
      <c r="S73" s="124"/>
      <c r="T73" s="124"/>
      <c r="U73" s="124"/>
      <c r="V73" s="124"/>
      <c r="W73" s="17"/>
      <c r="X73" s="17"/>
      <c r="Y73" s="17"/>
      <c r="Z73" s="17"/>
      <c r="AA73" s="17"/>
      <c r="AB73" s="17"/>
      <c r="AC73" s="17"/>
      <c r="AD73" s="17"/>
      <c r="AE73" s="17"/>
      <c r="AF73" s="17"/>
      <c r="AG73" s="17"/>
      <c r="AH73" s="17"/>
      <c r="AI73" s="17"/>
      <c r="AJ73" s="17"/>
      <c r="AK73" s="17"/>
      <c r="AL73" s="17"/>
      <c r="AM73" s="17"/>
      <c r="AN73" s="17"/>
      <c r="AO73" s="17"/>
      <c r="AP73" s="17"/>
      <c r="AQ73" s="17"/>
      <c r="AR73" s="17"/>
      <c r="AS73" s="17"/>
      <c r="AT73" s="17"/>
      <c r="AU73" s="17"/>
      <c r="AV73" s="17"/>
      <c r="AW73" s="17"/>
      <c r="AX73" s="17"/>
      <c r="AY73" s="17"/>
      <c r="AZ73" s="17"/>
      <c r="BA73" s="17"/>
      <c r="BB73" s="17"/>
      <c r="BC73" s="17"/>
      <c r="BD73" s="17"/>
      <c r="BE73" s="17"/>
      <c r="BF73" s="17"/>
      <c r="BG73" s="17"/>
      <c r="BH73" s="17"/>
      <c r="BI73" s="17"/>
      <c r="BJ73" s="17"/>
      <c r="BK73" s="17"/>
      <c r="BL73" s="17"/>
      <c r="BM73" s="17"/>
      <c r="BN73" s="17"/>
      <c r="BO73" s="17"/>
      <c r="BP73" s="17"/>
      <c r="BQ73" s="17"/>
      <c r="BR73" s="17"/>
      <c r="BS73" s="17"/>
      <c r="BT73" s="17"/>
      <c r="BU73" s="17"/>
      <c r="BV73" s="17"/>
      <c r="BW73" s="17"/>
      <c r="BX73" s="17"/>
      <c r="BY73" s="17"/>
      <c r="BZ73" s="17"/>
    </row>
    <row r="74" spans="1:78">
      <c r="A74" s="19"/>
      <c r="B74" s="19"/>
      <c r="C74" s="121"/>
      <c r="D74" s="19"/>
      <c r="E74" s="122"/>
      <c r="F74" s="122"/>
      <c r="G74" s="122"/>
      <c r="H74" s="122"/>
      <c r="I74" s="124"/>
      <c r="J74" s="124"/>
      <c r="K74" s="124"/>
      <c r="L74" s="124"/>
      <c r="M74" s="124"/>
      <c r="N74" s="124"/>
      <c r="O74" s="124"/>
      <c r="P74" s="124"/>
      <c r="Q74" s="124"/>
      <c r="R74" s="124"/>
      <c r="S74" s="124"/>
      <c r="T74" s="124"/>
      <c r="U74" s="124"/>
      <c r="V74" s="124"/>
      <c r="W74" s="17"/>
      <c r="X74" s="17"/>
      <c r="Y74" s="17"/>
      <c r="Z74" s="17"/>
      <c r="AA74" s="17"/>
      <c r="AB74" s="17"/>
      <c r="AC74" s="17"/>
      <c r="AD74" s="17"/>
      <c r="AE74" s="17"/>
      <c r="AF74" s="17"/>
      <c r="AG74" s="17"/>
      <c r="AH74" s="17"/>
      <c r="AI74" s="17"/>
      <c r="AJ74" s="17"/>
      <c r="AK74" s="17"/>
      <c r="AL74" s="17"/>
      <c r="AM74" s="17"/>
      <c r="AN74" s="17"/>
      <c r="AO74" s="17"/>
      <c r="AP74" s="17"/>
      <c r="AQ74" s="17"/>
      <c r="AR74" s="17"/>
      <c r="AS74" s="17"/>
      <c r="AT74" s="17"/>
      <c r="AU74" s="17"/>
      <c r="AV74" s="17"/>
      <c r="AW74" s="17"/>
      <c r="AX74" s="17"/>
      <c r="AY74" s="17"/>
      <c r="AZ74" s="17"/>
      <c r="BA74" s="17"/>
      <c r="BB74" s="17"/>
      <c r="BC74" s="17"/>
      <c r="BD74" s="17"/>
      <c r="BE74" s="17"/>
      <c r="BF74" s="17"/>
      <c r="BG74" s="17"/>
      <c r="BH74" s="17"/>
      <c r="BI74" s="17"/>
      <c r="BJ74" s="17"/>
      <c r="BK74" s="17"/>
      <c r="BL74" s="17"/>
      <c r="BM74" s="17"/>
      <c r="BN74" s="17"/>
      <c r="BO74" s="17"/>
      <c r="BP74" s="17"/>
      <c r="BQ74" s="17"/>
      <c r="BR74" s="17"/>
      <c r="BS74" s="17"/>
      <c r="BT74" s="17"/>
      <c r="BU74" s="17"/>
      <c r="BV74" s="17"/>
      <c r="BW74" s="17"/>
      <c r="BX74" s="17"/>
      <c r="BY74" s="17"/>
      <c r="BZ74" s="17"/>
    </row>
    <row r="75" spans="1:78">
      <c r="A75" s="19"/>
      <c r="B75" s="19"/>
      <c r="C75" s="121"/>
      <c r="D75" s="19"/>
      <c r="E75" s="122"/>
      <c r="F75" s="122"/>
      <c r="G75" s="122"/>
      <c r="H75" s="122"/>
      <c r="I75" s="124"/>
      <c r="J75" s="124"/>
      <c r="K75" s="124"/>
      <c r="L75" s="124"/>
      <c r="M75" s="124"/>
      <c r="N75" s="124"/>
      <c r="O75" s="124"/>
      <c r="P75" s="124"/>
      <c r="Q75" s="124"/>
      <c r="R75" s="124"/>
      <c r="S75" s="124"/>
      <c r="T75" s="124"/>
      <c r="U75" s="124"/>
      <c r="V75" s="124"/>
      <c r="W75" s="17"/>
      <c r="X75" s="17"/>
      <c r="Y75" s="17"/>
      <c r="Z75" s="17"/>
      <c r="AA75" s="17"/>
      <c r="AB75" s="17"/>
      <c r="AC75" s="17"/>
      <c r="AD75" s="17"/>
      <c r="AE75" s="17"/>
      <c r="AF75" s="17"/>
      <c r="AG75" s="17"/>
      <c r="AH75" s="17"/>
      <c r="AI75" s="17"/>
      <c r="AJ75" s="17"/>
      <c r="AK75" s="17"/>
      <c r="AL75" s="17"/>
      <c r="AM75" s="17"/>
      <c r="AN75" s="17"/>
      <c r="AO75" s="17"/>
      <c r="AP75" s="17"/>
      <c r="AQ75" s="17"/>
      <c r="AR75" s="17"/>
      <c r="AS75" s="17"/>
      <c r="AT75" s="17"/>
      <c r="AU75" s="17"/>
      <c r="AV75" s="17"/>
      <c r="AW75" s="17"/>
      <c r="AX75" s="17"/>
      <c r="AY75" s="17"/>
      <c r="AZ75" s="17"/>
      <c r="BA75" s="17"/>
      <c r="BB75" s="17"/>
      <c r="BC75" s="17"/>
      <c r="BD75" s="17"/>
      <c r="BE75" s="17"/>
      <c r="BF75" s="17"/>
      <c r="BG75" s="17"/>
      <c r="BH75" s="17"/>
      <c r="BI75" s="17"/>
      <c r="BJ75" s="17"/>
      <c r="BK75" s="17"/>
      <c r="BL75" s="17"/>
      <c r="BM75" s="17"/>
      <c r="BN75" s="17"/>
      <c r="BO75" s="17"/>
      <c r="BP75" s="17"/>
      <c r="BQ75" s="17"/>
      <c r="BR75" s="17"/>
      <c r="BS75" s="17"/>
      <c r="BT75" s="17"/>
      <c r="BU75" s="17"/>
      <c r="BV75" s="17"/>
      <c r="BW75" s="17"/>
      <c r="BX75" s="17"/>
      <c r="BY75" s="17"/>
      <c r="BZ75" s="17"/>
    </row>
    <row r="76" spans="1:78">
      <c r="A76" s="19"/>
      <c r="B76" s="19"/>
      <c r="C76" s="121"/>
      <c r="D76" s="19"/>
      <c r="E76" s="122"/>
      <c r="F76" s="122"/>
      <c r="G76" s="122"/>
      <c r="H76" s="122"/>
      <c r="I76" s="124"/>
      <c r="J76" s="124"/>
      <c r="K76" s="124"/>
      <c r="L76" s="124"/>
      <c r="M76" s="124"/>
      <c r="N76" s="124"/>
      <c r="O76" s="124"/>
      <c r="P76" s="124"/>
      <c r="Q76" s="124"/>
      <c r="R76" s="124"/>
      <c r="S76" s="124"/>
      <c r="T76" s="124"/>
      <c r="U76" s="124"/>
      <c r="V76" s="124"/>
      <c r="W76" s="17"/>
      <c r="X76" s="17"/>
      <c r="Y76" s="17"/>
      <c r="Z76" s="17"/>
      <c r="AA76" s="17"/>
      <c r="AB76" s="17"/>
      <c r="AC76" s="17"/>
      <c r="AD76" s="17"/>
      <c r="AE76" s="17"/>
      <c r="AF76" s="17"/>
      <c r="AG76" s="17"/>
      <c r="AH76" s="17"/>
      <c r="AI76" s="17"/>
      <c r="AJ76" s="17"/>
      <c r="AK76" s="17"/>
      <c r="AL76" s="17"/>
      <c r="AM76" s="17"/>
      <c r="AN76" s="17"/>
      <c r="AO76" s="17"/>
      <c r="AP76" s="17"/>
      <c r="AQ76" s="17"/>
      <c r="AR76" s="17"/>
      <c r="AS76" s="17"/>
      <c r="AT76" s="17"/>
      <c r="AU76" s="17"/>
      <c r="AV76" s="17"/>
      <c r="AW76" s="17"/>
      <c r="AX76" s="17"/>
      <c r="AY76" s="17"/>
      <c r="AZ76" s="17"/>
      <c r="BA76" s="17"/>
      <c r="BB76" s="17"/>
      <c r="BC76" s="17"/>
      <c r="BD76" s="17"/>
      <c r="BE76" s="17"/>
      <c r="BF76" s="17"/>
      <c r="BG76" s="17"/>
      <c r="BH76" s="17"/>
      <c r="BI76" s="17"/>
      <c r="BJ76" s="17"/>
      <c r="BK76" s="17"/>
      <c r="BL76" s="17"/>
      <c r="BM76" s="17"/>
      <c r="BN76" s="17"/>
      <c r="BO76" s="17"/>
      <c r="BP76" s="17"/>
      <c r="BQ76" s="17"/>
      <c r="BR76" s="17"/>
      <c r="BS76" s="17"/>
      <c r="BT76" s="17"/>
      <c r="BU76" s="17"/>
      <c r="BV76" s="17"/>
      <c r="BW76" s="17"/>
      <c r="BX76" s="17"/>
      <c r="BY76" s="17"/>
      <c r="BZ76" s="17"/>
    </row>
    <row r="77" spans="1:78">
      <c r="A77" s="19"/>
      <c r="B77" s="19"/>
      <c r="C77" s="121"/>
      <c r="D77" s="19"/>
      <c r="E77" s="122"/>
      <c r="F77" s="122"/>
      <c r="G77" s="122"/>
      <c r="H77" s="122"/>
      <c r="I77" s="124"/>
      <c r="J77" s="124"/>
      <c r="K77" s="124"/>
      <c r="L77" s="124"/>
      <c r="M77" s="124"/>
      <c r="N77" s="124"/>
      <c r="O77" s="124"/>
      <c r="P77" s="124"/>
      <c r="Q77" s="124"/>
      <c r="R77" s="124"/>
      <c r="S77" s="124"/>
      <c r="T77" s="124"/>
      <c r="U77" s="124"/>
      <c r="V77" s="124"/>
      <c r="W77" s="17"/>
      <c r="X77" s="17"/>
      <c r="Y77" s="998"/>
      <c r="Z77" s="17"/>
      <c r="AA77" s="17"/>
      <c r="AB77" s="17"/>
      <c r="AC77" s="17"/>
      <c r="AD77" s="17"/>
      <c r="AE77" s="17"/>
      <c r="AF77" s="17"/>
      <c r="AG77" s="17"/>
      <c r="AH77" s="17"/>
      <c r="AI77" s="17"/>
      <c r="AJ77" s="17"/>
      <c r="AK77" s="17"/>
      <c r="AL77" s="17"/>
      <c r="AM77" s="17"/>
      <c r="AN77" s="17"/>
      <c r="AO77" s="17"/>
      <c r="AP77" s="17"/>
      <c r="AQ77" s="17"/>
      <c r="AR77" s="17"/>
      <c r="AS77" s="17"/>
      <c r="AT77" s="17"/>
      <c r="AU77" s="17"/>
      <c r="AV77" s="17"/>
      <c r="AW77" s="17"/>
      <c r="AX77" s="17"/>
      <c r="AY77" s="17"/>
      <c r="AZ77" s="17"/>
      <c r="BA77" s="17"/>
      <c r="BB77" s="17"/>
      <c r="BC77" s="17"/>
      <c r="BD77" s="17"/>
      <c r="BE77" s="17"/>
      <c r="BF77" s="17"/>
      <c r="BG77" s="17"/>
      <c r="BH77" s="17"/>
      <c r="BI77" s="17"/>
      <c r="BJ77" s="17"/>
      <c r="BK77" s="17"/>
      <c r="BL77" s="17"/>
      <c r="BM77" s="17"/>
      <c r="BN77" s="17"/>
      <c r="BO77" s="17"/>
      <c r="BP77" s="17"/>
      <c r="BQ77" s="17"/>
      <c r="BR77" s="17"/>
      <c r="BS77" s="17"/>
      <c r="BT77" s="17"/>
      <c r="BU77" s="17"/>
      <c r="BV77" s="17"/>
      <c r="BW77" s="17"/>
      <c r="BX77" s="17"/>
      <c r="BY77" s="17"/>
      <c r="BZ77" s="17"/>
    </row>
    <row r="78" spans="1:78">
      <c r="A78" s="19"/>
      <c r="B78" s="19"/>
      <c r="C78" s="121"/>
      <c r="D78" s="19"/>
      <c r="E78" s="122"/>
      <c r="F78" s="122"/>
      <c r="G78" s="122"/>
      <c r="H78" s="122"/>
      <c r="I78" s="124"/>
      <c r="J78" s="124"/>
      <c r="K78" s="124"/>
      <c r="L78" s="124"/>
      <c r="M78" s="124"/>
      <c r="N78" s="124"/>
      <c r="O78" s="124"/>
      <c r="P78" s="124"/>
      <c r="Q78" s="124"/>
      <c r="R78" s="124"/>
      <c r="S78" s="124"/>
      <c r="T78" s="124"/>
      <c r="U78" s="124"/>
      <c r="V78" s="124"/>
      <c r="W78" s="17"/>
      <c r="X78" s="17"/>
      <c r="Y78" s="998"/>
      <c r="Z78" s="17"/>
      <c r="AA78" s="17"/>
      <c r="AB78" s="17"/>
      <c r="AC78" s="17"/>
      <c r="AD78" s="17"/>
      <c r="AE78" s="17"/>
      <c r="AF78" s="17"/>
      <c r="AG78" s="17"/>
      <c r="AH78" s="17"/>
      <c r="AI78" s="17"/>
      <c r="AJ78" s="17"/>
      <c r="AK78" s="17"/>
      <c r="AL78" s="17"/>
      <c r="AM78" s="17"/>
      <c r="AN78" s="17"/>
      <c r="AO78" s="17"/>
      <c r="AP78" s="17"/>
      <c r="AQ78" s="17"/>
      <c r="AR78" s="17"/>
      <c r="AS78" s="17"/>
      <c r="AT78" s="17"/>
      <c r="AU78" s="17"/>
      <c r="AV78" s="17"/>
      <c r="AW78" s="17"/>
      <c r="AX78" s="17"/>
      <c r="AY78" s="17"/>
      <c r="AZ78" s="17"/>
      <c r="BA78" s="17"/>
      <c r="BB78" s="17"/>
      <c r="BC78" s="17"/>
      <c r="BD78" s="17"/>
      <c r="BE78" s="17"/>
      <c r="BF78" s="17"/>
      <c r="BG78" s="17"/>
      <c r="BH78" s="17"/>
      <c r="BI78" s="17"/>
      <c r="BJ78" s="17"/>
      <c r="BK78" s="17"/>
      <c r="BL78" s="17"/>
      <c r="BM78" s="17"/>
      <c r="BN78" s="17"/>
      <c r="BO78" s="17"/>
      <c r="BP78" s="17"/>
      <c r="BQ78" s="17"/>
      <c r="BR78" s="17"/>
      <c r="BS78" s="17"/>
      <c r="BT78" s="17"/>
      <c r="BU78" s="17"/>
      <c r="BV78" s="17"/>
      <c r="BW78" s="17"/>
      <c r="BX78" s="17"/>
      <c r="BY78" s="17"/>
      <c r="BZ78" s="17"/>
    </row>
    <row r="79" spans="1:78">
      <c r="A79" s="19"/>
      <c r="B79" s="19"/>
      <c r="C79" s="121"/>
      <c r="D79" s="19"/>
      <c r="E79" s="122"/>
      <c r="F79" s="122"/>
      <c r="G79" s="122"/>
      <c r="H79" s="122"/>
      <c r="I79" s="124"/>
      <c r="J79" s="124"/>
      <c r="K79" s="124"/>
      <c r="L79" s="124"/>
      <c r="M79" s="124"/>
      <c r="N79" s="124"/>
      <c r="O79" s="124"/>
      <c r="P79" s="124"/>
      <c r="Q79" s="124"/>
      <c r="R79" s="124"/>
      <c r="S79" s="124"/>
      <c r="T79" s="124"/>
      <c r="U79" s="124"/>
      <c r="V79" s="124"/>
      <c r="W79" s="17"/>
      <c r="X79" s="17"/>
      <c r="Y79" s="998"/>
      <c r="Z79" s="17"/>
      <c r="AA79" s="17"/>
      <c r="AB79" s="17"/>
      <c r="AC79" s="17"/>
      <c r="AD79" s="17"/>
      <c r="AE79" s="17"/>
      <c r="AF79" s="17"/>
      <c r="AG79" s="17"/>
      <c r="AH79" s="17"/>
      <c r="AI79" s="17"/>
      <c r="AJ79" s="17"/>
      <c r="AK79" s="17"/>
      <c r="AL79" s="17"/>
      <c r="AM79" s="17"/>
      <c r="AN79" s="17"/>
      <c r="AO79" s="17"/>
      <c r="AP79" s="17"/>
      <c r="AQ79" s="17"/>
      <c r="AR79" s="17"/>
      <c r="AS79" s="17"/>
      <c r="AT79" s="17"/>
      <c r="AU79" s="17"/>
      <c r="AV79" s="17"/>
      <c r="AW79" s="17"/>
      <c r="AX79" s="17"/>
      <c r="AY79" s="17"/>
      <c r="AZ79" s="17"/>
      <c r="BA79" s="17"/>
      <c r="BB79" s="17"/>
      <c r="BC79" s="17"/>
      <c r="BD79" s="17"/>
      <c r="BE79" s="17"/>
      <c r="BF79" s="17"/>
      <c r="BG79" s="17"/>
      <c r="BH79" s="17"/>
      <c r="BI79" s="17"/>
      <c r="BJ79" s="17"/>
      <c r="BK79" s="17"/>
      <c r="BL79" s="17"/>
      <c r="BM79" s="17"/>
      <c r="BN79" s="17"/>
      <c r="BO79" s="17"/>
      <c r="BP79" s="17"/>
      <c r="BQ79" s="17"/>
      <c r="BR79" s="17"/>
      <c r="BS79" s="17"/>
      <c r="BT79" s="17"/>
      <c r="BU79" s="17"/>
      <c r="BV79" s="17"/>
      <c r="BW79" s="17"/>
      <c r="BX79" s="17"/>
      <c r="BY79" s="17"/>
      <c r="BZ79" s="17"/>
    </row>
    <row r="80" spans="1:78">
      <c r="A80" s="19"/>
      <c r="B80" s="19"/>
      <c r="C80" s="121"/>
      <c r="D80" s="19"/>
      <c r="E80" s="122"/>
      <c r="F80" s="122"/>
      <c r="G80" s="122"/>
      <c r="H80" s="122"/>
      <c r="I80" s="124"/>
      <c r="J80" s="124"/>
      <c r="K80" s="124"/>
      <c r="L80" s="124"/>
      <c r="M80" s="124"/>
      <c r="N80" s="124"/>
      <c r="O80" s="124"/>
      <c r="P80" s="124"/>
      <c r="Q80" s="124"/>
      <c r="R80" s="124"/>
      <c r="S80" s="124"/>
      <c r="T80" s="124"/>
      <c r="U80" s="124"/>
      <c r="V80" s="124"/>
      <c r="W80" s="17"/>
      <c r="X80" s="17"/>
      <c r="Y80" s="17"/>
      <c r="Z80" s="17"/>
      <c r="AA80" s="17"/>
      <c r="AB80" s="17"/>
      <c r="AC80" s="17"/>
      <c r="AD80" s="17"/>
      <c r="AE80" s="17"/>
      <c r="AF80" s="17"/>
      <c r="AG80" s="17"/>
      <c r="AH80" s="17"/>
      <c r="AI80" s="17"/>
      <c r="AJ80" s="17"/>
      <c r="AK80" s="17"/>
      <c r="AL80" s="17"/>
      <c r="AM80" s="17"/>
      <c r="AN80" s="17"/>
      <c r="AO80" s="17"/>
      <c r="AP80" s="17"/>
      <c r="AQ80" s="17"/>
      <c r="AR80" s="17"/>
      <c r="AS80" s="17"/>
      <c r="AT80" s="17"/>
      <c r="AU80" s="17"/>
      <c r="AV80" s="17"/>
      <c r="AW80" s="17"/>
      <c r="AX80" s="17"/>
      <c r="AY80" s="17"/>
      <c r="AZ80" s="17"/>
      <c r="BA80" s="17"/>
      <c r="BB80" s="17"/>
      <c r="BC80" s="17"/>
      <c r="BD80" s="17"/>
      <c r="BE80" s="17"/>
      <c r="BF80" s="17"/>
      <c r="BG80" s="17"/>
      <c r="BH80" s="17"/>
      <c r="BI80" s="17"/>
      <c r="BJ80" s="17"/>
      <c r="BK80" s="17"/>
      <c r="BL80" s="17"/>
      <c r="BM80" s="17"/>
      <c r="BN80" s="17"/>
      <c r="BO80" s="17"/>
      <c r="BP80" s="17"/>
      <c r="BQ80" s="17"/>
      <c r="BR80" s="17"/>
      <c r="BS80" s="17"/>
      <c r="BT80" s="17"/>
      <c r="BU80" s="17"/>
      <c r="BV80" s="17"/>
      <c r="BW80" s="17"/>
      <c r="BX80" s="17"/>
      <c r="BY80" s="17"/>
      <c r="BZ80" s="17"/>
    </row>
    <row r="81" spans="1:78">
      <c r="A81" s="19"/>
      <c r="B81" s="19"/>
      <c r="C81" s="121"/>
      <c r="D81" s="19"/>
      <c r="E81" s="122"/>
      <c r="F81" s="122"/>
      <c r="G81" s="122"/>
      <c r="H81" s="122"/>
      <c r="I81" s="124"/>
      <c r="J81" s="124"/>
      <c r="K81" s="124"/>
      <c r="L81" s="124"/>
      <c r="M81" s="124"/>
      <c r="N81" s="124"/>
      <c r="O81" s="124"/>
      <c r="P81" s="124"/>
      <c r="Q81" s="124"/>
      <c r="R81" s="124"/>
      <c r="S81" s="124"/>
      <c r="T81" s="124"/>
      <c r="U81" s="124"/>
      <c r="V81" s="124"/>
      <c r="W81" s="17"/>
      <c r="X81" s="17"/>
      <c r="Y81" s="17"/>
      <c r="Z81" s="17"/>
      <c r="AA81" s="17"/>
      <c r="AB81" s="17"/>
      <c r="AC81" s="17"/>
      <c r="AD81" s="17"/>
      <c r="AE81" s="17"/>
      <c r="AF81" s="17"/>
      <c r="AG81" s="17"/>
      <c r="AH81" s="17"/>
      <c r="AI81" s="17"/>
      <c r="AJ81" s="17"/>
      <c r="AK81" s="17"/>
      <c r="AL81" s="17"/>
      <c r="AM81" s="17"/>
      <c r="AN81" s="17"/>
      <c r="AO81" s="17"/>
      <c r="AP81" s="17"/>
      <c r="AQ81" s="17"/>
      <c r="AR81" s="17"/>
      <c r="AS81" s="17"/>
      <c r="AT81" s="17"/>
      <c r="AU81" s="17"/>
      <c r="AV81" s="17"/>
      <c r="AW81" s="17"/>
      <c r="AX81" s="17"/>
      <c r="AY81" s="17"/>
      <c r="AZ81" s="17"/>
      <c r="BA81" s="17"/>
      <c r="BB81" s="17"/>
      <c r="BC81" s="17"/>
      <c r="BD81" s="17"/>
      <c r="BE81" s="17"/>
      <c r="BF81" s="17"/>
      <c r="BG81" s="17"/>
      <c r="BH81" s="17"/>
      <c r="BI81" s="17"/>
      <c r="BJ81" s="17"/>
      <c r="BK81" s="17"/>
      <c r="BL81" s="17"/>
      <c r="BM81" s="17"/>
      <c r="BN81" s="17"/>
      <c r="BO81" s="17"/>
      <c r="BP81" s="17"/>
      <c r="BQ81" s="17"/>
      <c r="BR81" s="17"/>
      <c r="BS81" s="17"/>
      <c r="BT81" s="17"/>
      <c r="BU81" s="17"/>
      <c r="BV81" s="17"/>
      <c r="BW81" s="17"/>
      <c r="BX81" s="17"/>
      <c r="BY81" s="17"/>
      <c r="BZ81" s="17"/>
    </row>
    <row r="82" spans="1:78">
      <c r="A82" s="19"/>
      <c r="B82" s="19"/>
      <c r="C82" s="121"/>
      <c r="D82" s="19"/>
      <c r="E82" s="122"/>
      <c r="F82" s="122"/>
      <c r="G82" s="122"/>
      <c r="H82" s="122"/>
      <c r="I82" s="124"/>
      <c r="J82" s="124"/>
      <c r="K82" s="124"/>
      <c r="L82" s="124"/>
      <c r="M82" s="124"/>
      <c r="N82" s="124"/>
      <c r="O82" s="124"/>
      <c r="P82" s="124"/>
      <c r="Q82" s="124"/>
      <c r="R82" s="124"/>
      <c r="S82" s="124"/>
      <c r="T82" s="124"/>
      <c r="U82" s="124"/>
      <c r="V82" s="124"/>
      <c r="W82" s="17"/>
      <c r="X82" s="17"/>
      <c r="Y82" s="17"/>
      <c r="Z82" s="17"/>
      <c r="AA82" s="17"/>
      <c r="AB82" s="17"/>
      <c r="AC82" s="17"/>
      <c r="AD82" s="17"/>
      <c r="AE82" s="17"/>
      <c r="AF82" s="17"/>
      <c r="AG82" s="17"/>
      <c r="AH82" s="17"/>
      <c r="AI82" s="17"/>
      <c r="AJ82" s="17"/>
      <c r="AK82" s="17"/>
      <c r="AL82" s="17"/>
      <c r="AM82" s="17"/>
      <c r="AN82" s="17"/>
      <c r="AO82" s="17"/>
      <c r="AP82" s="17"/>
      <c r="AQ82" s="17"/>
      <c r="AR82" s="17"/>
      <c r="AS82" s="17"/>
      <c r="AT82" s="17"/>
      <c r="AU82" s="17"/>
      <c r="AV82" s="17"/>
      <c r="AW82" s="17"/>
      <c r="AX82" s="17"/>
      <c r="AY82" s="17"/>
      <c r="AZ82" s="17"/>
      <c r="BA82" s="17"/>
      <c r="BB82" s="17"/>
      <c r="BC82" s="17"/>
      <c r="BD82" s="17"/>
      <c r="BE82" s="17"/>
      <c r="BF82" s="17"/>
      <c r="BG82" s="17"/>
      <c r="BH82" s="17"/>
      <c r="BI82" s="17"/>
      <c r="BJ82" s="17"/>
      <c r="BK82" s="17"/>
      <c r="BL82" s="17"/>
      <c r="BM82" s="17"/>
      <c r="BN82" s="17"/>
      <c r="BO82" s="17"/>
      <c r="BP82" s="17"/>
      <c r="BQ82" s="17"/>
      <c r="BR82" s="17"/>
      <c r="BS82" s="17"/>
      <c r="BT82" s="17"/>
      <c r="BU82" s="17"/>
      <c r="BV82" s="17"/>
      <c r="BW82" s="17"/>
      <c r="BX82" s="17"/>
      <c r="BY82" s="17"/>
      <c r="BZ82" s="17"/>
    </row>
    <row r="83" spans="1:78">
      <c r="A83" s="19"/>
      <c r="B83" s="19"/>
      <c r="C83" s="121"/>
      <c r="D83" s="19"/>
      <c r="E83" s="122"/>
      <c r="F83" s="122"/>
      <c r="G83" s="122"/>
      <c r="H83" s="122"/>
      <c r="I83" s="124"/>
      <c r="J83" s="124"/>
      <c r="K83" s="124"/>
      <c r="L83" s="124"/>
      <c r="M83" s="124"/>
      <c r="N83" s="124"/>
      <c r="O83" s="124"/>
      <c r="P83" s="124"/>
      <c r="Q83" s="124"/>
      <c r="R83" s="124"/>
      <c r="S83" s="124"/>
      <c r="T83" s="124"/>
      <c r="U83" s="124"/>
      <c r="V83" s="124"/>
      <c r="W83" s="17"/>
      <c r="X83" s="17"/>
      <c r="Y83" s="17"/>
      <c r="Z83" s="17"/>
      <c r="AA83" s="17"/>
      <c r="AB83" s="17"/>
      <c r="AC83" s="17"/>
      <c r="AD83" s="17"/>
      <c r="AE83" s="17"/>
      <c r="AF83" s="17"/>
      <c r="AG83" s="17"/>
      <c r="AH83" s="17"/>
      <c r="AI83" s="17"/>
      <c r="AJ83" s="17"/>
      <c r="AK83" s="17"/>
      <c r="AL83" s="17"/>
      <c r="AM83" s="17"/>
      <c r="AN83" s="17"/>
      <c r="AO83" s="17"/>
      <c r="AP83" s="17"/>
      <c r="AQ83" s="17"/>
      <c r="AR83" s="17"/>
      <c r="AS83" s="17"/>
      <c r="AT83" s="17"/>
      <c r="AU83" s="17"/>
      <c r="AV83" s="17"/>
      <c r="AW83" s="17"/>
      <c r="AX83" s="17"/>
      <c r="AY83" s="17"/>
      <c r="AZ83" s="17"/>
      <c r="BA83" s="17"/>
      <c r="BB83" s="17"/>
      <c r="BC83" s="17"/>
      <c r="BD83" s="17"/>
      <c r="BE83" s="17"/>
      <c r="BF83" s="17"/>
      <c r="BG83" s="17"/>
      <c r="BH83" s="17"/>
      <c r="BI83" s="17"/>
      <c r="BJ83" s="17"/>
      <c r="BK83" s="17"/>
      <c r="BL83" s="17"/>
      <c r="BM83" s="17"/>
      <c r="BN83" s="17"/>
      <c r="BO83" s="17"/>
      <c r="BP83" s="17"/>
      <c r="BQ83" s="17"/>
      <c r="BR83" s="17"/>
      <c r="BS83" s="17"/>
      <c r="BT83" s="17"/>
      <c r="BU83" s="17"/>
      <c r="BV83" s="17"/>
      <c r="BW83" s="17"/>
      <c r="BX83" s="17"/>
      <c r="BY83" s="17"/>
      <c r="BZ83" s="17"/>
    </row>
    <row r="84" spans="1:78">
      <c r="A84" s="19"/>
      <c r="B84" s="19"/>
      <c r="C84" s="121"/>
      <c r="D84" s="19"/>
      <c r="E84" s="122"/>
      <c r="F84" s="122"/>
      <c r="G84" s="122"/>
      <c r="H84" s="122"/>
      <c r="I84" s="124"/>
      <c r="J84" s="124"/>
      <c r="K84" s="124"/>
      <c r="L84" s="124"/>
      <c r="M84" s="124"/>
      <c r="N84" s="124"/>
      <c r="O84" s="124"/>
      <c r="P84" s="124"/>
      <c r="Q84" s="124"/>
      <c r="R84" s="124"/>
      <c r="S84" s="124"/>
      <c r="T84" s="124"/>
      <c r="U84" s="124"/>
      <c r="V84" s="124"/>
      <c r="W84" s="17"/>
      <c r="X84" s="17"/>
      <c r="Y84" s="17"/>
      <c r="Z84" s="17"/>
      <c r="AA84" s="17"/>
      <c r="AB84" s="17"/>
      <c r="AC84" s="17"/>
      <c r="AD84" s="17"/>
      <c r="AE84" s="17"/>
      <c r="AF84" s="17"/>
      <c r="AG84" s="17"/>
      <c r="AH84" s="17"/>
      <c r="AI84" s="17"/>
      <c r="AJ84" s="17"/>
      <c r="AK84" s="17"/>
      <c r="AL84" s="17"/>
      <c r="AM84" s="17"/>
      <c r="AN84" s="17"/>
      <c r="AO84" s="17"/>
      <c r="AP84" s="17"/>
      <c r="AQ84" s="17"/>
      <c r="AR84" s="17"/>
      <c r="AS84" s="17"/>
      <c r="AT84" s="17"/>
      <c r="AU84" s="17"/>
      <c r="AV84" s="17"/>
      <c r="AW84" s="17"/>
      <c r="AX84" s="17"/>
      <c r="AY84" s="17"/>
      <c r="AZ84" s="17"/>
      <c r="BA84" s="17"/>
      <c r="BB84" s="17"/>
      <c r="BC84" s="17"/>
      <c r="BD84" s="17"/>
      <c r="BE84" s="17"/>
      <c r="BF84" s="17"/>
      <c r="BG84" s="17"/>
      <c r="BH84" s="17"/>
      <c r="BI84" s="17"/>
      <c r="BJ84" s="17"/>
      <c r="BK84" s="17"/>
      <c r="BL84" s="17"/>
      <c r="BM84" s="17"/>
      <c r="BN84" s="17"/>
      <c r="BO84" s="17"/>
      <c r="BP84" s="17"/>
      <c r="BQ84" s="17"/>
      <c r="BR84" s="17"/>
      <c r="BS84" s="17"/>
      <c r="BT84" s="17"/>
      <c r="BU84" s="17"/>
      <c r="BV84" s="17"/>
      <c r="BW84" s="17"/>
      <c r="BX84" s="17"/>
      <c r="BY84" s="17"/>
      <c r="BZ84" s="17"/>
    </row>
    <row r="85" spans="1:78">
      <c r="A85" s="19"/>
      <c r="B85" s="19"/>
      <c r="C85" s="121"/>
      <c r="D85" s="19"/>
      <c r="E85" s="122"/>
      <c r="F85" s="122"/>
      <c r="G85" s="122"/>
      <c r="H85" s="122"/>
      <c r="I85" s="124"/>
      <c r="J85" s="124"/>
      <c r="K85" s="124"/>
      <c r="L85" s="124"/>
      <c r="M85" s="124"/>
      <c r="N85" s="124"/>
      <c r="O85" s="124"/>
      <c r="P85" s="124"/>
      <c r="Q85" s="124"/>
      <c r="R85" s="124"/>
      <c r="S85" s="124"/>
      <c r="T85" s="124"/>
      <c r="U85" s="124"/>
      <c r="V85" s="124"/>
      <c r="W85" s="17"/>
      <c r="X85" s="17"/>
      <c r="Y85" s="17"/>
      <c r="Z85" s="17"/>
      <c r="AA85" s="17"/>
      <c r="AB85" s="17"/>
      <c r="AC85" s="17"/>
      <c r="AD85" s="17"/>
      <c r="AE85" s="17"/>
      <c r="AF85" s="17"/>
      <c r="AG85" s="17"/>
      <c r="AH85" s="17"/>
      <c r="AI85" s="17"/>
      <c r="AJ85" s="17"/>
      <c r="AK85" s="17"/>
      <c r="AL85" s="17"/>
      <c r="AM85" s="17"/>
      <c r="AN85" s="17"/>
      <c r="AO85" s="17"/>
      <c r="AP85" s="17"/>
      <c r="AQ85" s="17"/>
      <c r="AR85" s="17"/>
      <c r="AS85" s="17"/>
      <c r="AT85" s="17"/>
      <c r="AU85" s="17"/>
      <c r="AV85" s="17"/>
      <c r="AW85" s="17"/>
      <c r="AX85" s="17"/>
      <c r="AY85" s="17"/>
      <c r="AZ85" s="17"/>
      <c r="BA85" s="17"/>
      <c r="BB85" s="17"/>
      <c r="BC85" s="17"/>
      <c r="BD85" s="17"/>
      <c r="BE85" s="17"/>
      <c r="BF85" s="17"/>
      <c r="BG85" s="17"/>
      <c r="BH85" s="17"/>
      <c r="BI85" s="17"/>
      <c r="BJ85" s="17"/>
      <c r="BK85" s="17"/>
      <c r="BL85" s="17"/>
      <c r="BM85" s="17"/>
      <c r="BN85" s="17"/>
      <c r="BO85" s="17"/>
      <c r="BP85" s="17"/>
      <c r="BQ85" s="17"/>
      <c r="BR85" s="17"/>
      <c r="BS85" s="17"/>
      <c r="BT85" s="17"/>
      <c r="BU85" s="17"/>
      <c r="BV85" s="17"/>
      <c r="BW85" s="17"/>
      <c r="BX85" s="17"/>
      <c r="BY85" s="17"/>
      <c r="BZ85" s="17"/>
    </row>
    <row r="86" spans="1:78">
      <c r="A86" s="19"/>
      <c r="B86" s="19"/>
      <c r="C86" s="121"/>
      <c r="D86" s="19"/>
      <c r="E86" s="122"/>
      <c r="F86" s="122"/>
      <c r="G86" s="122"/>
      <c r="H86" s="122"/>
      <c r="I86" s="124"/>
      <c r="J86" s="124"/>
      <c r="K86" s="124"/>
      <c r="L86" s="124"/>
      <c r="M86" s="124"/>
      <c r="N86" s="124"/>
      <c r="O86" s="124"/>
      <c r="P86" s="124"/>
      <c r="Q86" s="124"/>
      <c r="R86" s="124"/>
      <c r="S86" s="124"/>
      <c r="T86" s="124"/>
      <c r="U86" s="124"/>
      <c r="V86" s="124"/>
      <c r="W86" s="17"/>
      <c r="X86" s="17"/>
      <c r="Y86" s="17"/>
      <c r="Z86" s="17"/>
      <c r="AA86" s="17"/>
      <c r="AB86" s="17"/>
      <c r="AC86" s="17"/>
      <c r="AD86" s="17"/>
      <c r="AE86" s="17"/>
      <c r="AF86" s="17"/>
      <c r="AG86" s="17"/>
      <c r="AH86" s="17"/>
      <c r="AI86" s="17"/>
      <c r="AJ86" s="17"/>
      <c r="AK86" s="17"/>
      <c r="AL86" s="17"/>
      <c r="AM86" s="17"/>
      <c r="AN86" s="17"/>
      <c r="AO86" s="17"/>
      <c r="AP86" s="17"/>
      <c r="AQ86" s="17"/>
      <c r="AR86" s="17"/>
      <c r="AS86" s="17"/>
      <c r="AT86" s="17"/>
      <c r="AU86" s="17"/>
      <c r="AV86" s="17"/>
      <c r="AW86" s="17"/>
      <c r="AX86" s="17"/>
      <c r="AY86" s="17"/>
      <c r="AZ86" s="17"/>
      <c r="BA86" s="17"/>
      <c r="BB86" s="17"/>
      <c r="BC86" s="17"/>
      <c r="BD86" s="17"/>
      <c r="BE86" s="17"/>
      <c r="BF86" s="17"/>
      <c r="BG86" s="17"/>
      <c r="BH86" s="17"/>
      <c r="BI86" s="17"/>
      <c r="BJ86" s="17"/>
      <c r="BK86" s="17"/>
      <c r="BL86" s="17"/>
      <c r="BM86" s="17"/>
      <c r="BN86" s="17"/>
      <c r="BO86" s="17"/>
      <c r="BP86" s="17"/>
      <c r="BQ86" s="17"/>
      <c r="BR86" s="17"/>
      <c r="BS86" s="17"/>
      <c r="BT86" s="17"/>
      <c r="BU86" s="17"/>
      <c r="BV86" s="17"/>
      <c r="BW86" s="17"/>
      <c r="BX86" s="17"/>
      <c r="BY86" s="17"/>
      <c r="BZ86" s="17"/>
    </row>
    <row r="87" spans="1:78">
      <c r="A87" s="19"/>
      <c r="B87" s="19"/>
      <c r="C87" s="121"/>
      <c r="D87" s="19"/>
      <c r="E87" s="122"/>
      <c r="F87" s="122"/>
      <c r="G87" s="122"/>
      <c r="H87" s="122"/>
      <c r="I87" s="124"/>
      <c r="J87" s="124"/>
      <c r="K87" s="124"/>
      <c r="L87" s="124"/>
      <c r="M87" s="124"/>
      <c r="N87" s="124"/>
      <c r="O87" s="124"/>
      <c r="P87" s="124"/>
      <c r="Q87" s="124"/>
      <c r="R87" s="124"/>
      <c r="S87" s="124"/>
      <c r="T87" s="124"/>
      <c r="U87" s="124"/>
      <c r="V87" s="124"/>
      <c r="W87" s="17"/>
      <c r="X87" s="17"/>
      <c r="Y87" s="17"/>
      <c r="Z87" s="17"/>
      <c r="AA87" s="17"/>
      <c r="AB87" s="17"/>
      <c r="AC87" s="17"/>
      <c r="AD87" s="17"/>
      <c r="AE87" s="17"/>
      <c r="AF87" s="17"/>
      <c r="AG87" s="17"/>
      <c r="AH87" s="17"/>
      <c r="AI87" s="17"/>
      <c r="AJ87" s="17"/>
      <c r="AK87" s="17"/>
      <c r="AL87" s="17"/>
      <c r="AM87" s="17"/>
      <c r="AN87" s="17"/>
      <c r="AO87" s="17"/>
      <c r="AP87" s="17"/>
      <c r="AQ87" s="17"/>
      <c r="AR87" s="17"/>
      <c r="AS87" s="17"/>
      <c r="AT87" s="17"/>
      <c r="AU87" s="17"/>
      <c r="AV87" s="17"/>
      <c r="AW87" s="17"/>
      <c r="AX87" s="17"/>
      <c r="AY87" s="17"/>
      <c r="AZ87" s="17"/>
      <c r="BA87" s="17"/>
      <c r="BB87" s="17"/>
      <c r="BC87" s="17"/>
      <c r="BD87" s="17"/>
      <c r="BE87" s="17"/>
      <c r="BF87" s="17"/>
      <c r="BG87" s="17"/>
      <c r="BH87" s="17"/>
      <c r="BI87" s="17"/>
      <c r="BJ87" s="17"/>
      <c r="BK87" s="17"/>
      <c r="BL87" s="17"/>
      <c r="BM87" s="17"/>
      <c r="BN87" s="17"/>
      <c r="BO87" s="17"/>
      <c r="BP87" s="17"/>
      <c r="BQ87" s="17"/>
      <c r="BR87" s="17"/>
      <c r="BS87" s="17"/>
      <c r="BT87" s="17"/>
      <c r="BU87" s="17"/>
      <c r="BV87" s="17"/>
      <c r="BW87" s="17"/>
      <c r="BX87" s="17"/>
      <c r="BY87" s="17"/>
      <c r="BZ87" s="17"/>
    </row>
    <row r="88" spans="1:78">
      <c r="A88" s="19"/>
      <c r="B88" s="19"/>
      <c r="C88" s="121"/>
      <c r="D88" s="19"/>
      <c r="E88" s="122"/>
      <c r="F88" s="122"/>
      <c r="G88" s="122"/>
      <c r="H88" s="122"/>
      <c r="I88" s="124"/>
      <c r="J88" s="124"/>
      <c r="K88" s="124"/>
      <c r="L88" s="124"/>
      <c r="M88" s="124"/>
      <c r="N88" s="124"/>
      <c r="O88" s="124"/>
      <c r="P88" s="124"/>
      <c r="Q88" s="124"/>
      <c r="R88" s="124"/>
      <c r="S88" s="124"/>
      <c r="T88" s="124"/>
      <c r="U88" s="124"/>
      <c r="V88" s="124"/>
      <c r="W88" s="17"/>
      <c r="X88" s="17"/>
      <c r="Y88" s="17"/>
      <c r="Z88" s="17"/>
      <c r="AA88" s="17"/>
      <c r="AB88" s="17"/>
      <c r="AC88" s="17"/>
      <c r="AD88" s="17"/>
      <c r="AE88" s="17"/>
      <c r="AF88" s="17"/>
      <c r="AG88" s="17"/>
      <c r="AH88" s="17"/>
      <c r="AI88" s="17"/>
      <c r="AJ88" s="17"/>
      <c r="AK88" s="17"/>
      <c r="AL88" s="17"/>
      <c r="AM88" s="17"/>
      <c r="AN88" s="17"/>
      <c r="AO88" s="17"/>
      <c r="AP88" s="17"/>
      <c r="AQ88" s="17"/>
      <c r="AR88" s="17"/>
      <c r="AS88" s="17"/>
      <c r="AT88" s="17"/>
      <c r="AU88" s="17"/>
      <c r="AV88" s="17"/>
      <c r="AW88" s="17"/>
      <c r="AX88" s="17"/>
      <c r="AY88" s="17"/>
      <c r="AZ88" s="17"/>
      <c r="BA88" s="17"/>
      <c r="BB88" s="17"/>
      <c r="BC88" s="17"/>
      <c r="BD88" s="17"/>
      <c r="BE88" s="17"/>
      <c r="BF88" s="17"/>
      <c r="BG88" s="17"/>
      <c r="BH88" s="17"/>
      <c r="BI88" s="17"/>
      <c r="BJ88" s="17"/>
      <c r="BK88" s="17"/>
      <c r="BL88" s="17"/>
      <c r="BM88" s="17"/>
      <c r="BN88" s="17"/>
      <c r="BO88" s="17"/>
      <c r="BP88" s="17"/>
      <c r="BQ88" s="17"/>
      <c r="BR88" s="17"/>
      <c r="BS88" s="17"/>
      <c r="BT88" s="17"/>
      <c r="BU88" s="17"/>
      <c r="BV88" s="17"/>
      <c r="BW88" s="17"/>
      <c r="BX88" s="17"/>
      <c r="BY88" s="17"/>
      <c r="BZ88" s="17"/>
    </row>
    <row r="89" spans="1:78">
      <c r="A89" s="19"/>
      <c r="B89" s="19"/>
      <c r="C89" s="121"/>
      <c r="D89" s="19"/>
      <c r="E89" s="122"/>
      <c r="F89" s="122"/>
      <c r="G89" s="122"/>
      <c r="H89" s="122"/>
      <c r="I89" s="124"/>
      <c r="J89" s="124"/>
      <c r="K89" s="124"/>
      <c r="L89" s="124"/>
      <c r="M89" s="124"/>
      <c r="N89" s="124"/>
      <c r="O89" s="124"/>
      <c r="P89" s="124"/>
      <c r="Q89" s="124"/>
      <c r="R89" s="124"/>
      <c r="S89" s="124"/>
      <c r="T89" s="124"/>
      <c r="U89" s="124"/>
      <c r="V89" s="124"/>
      <c r="W89" s="17"/>
      <c r="X89" s="17"/>
      <c r="Y89" s="17"/>
      <c r="Z89" s="17"/>
      <c r="AA89" s="17"/>
      <c r="AB89" s="17"/>
      <c r="AC89" s="17"/>
      <c r="AD89" s="17"/>
      <c r="AE89" s="17"/>
      <c r="AF89" s="17"/>
      <c r="AG89" s="17"/>
      <c r="AH89" s="17"/>
      <c r="AI89" s="17"/>
      <c r="AJ89" s="17"/>
      <c r="AK89" s="17"/>
      <c r="AL89" s="17"/>
      <c r="AM89" s="17"/>
      <c r="AN89" s="17"/>
      <c r="AO89" s="17"/>
      <c r="AP89" s="17"/>
      <c r="AQ89" s="17"/>
      <c r="AR89" s="17"/>
      <c r="AS89" s="17"/>
      <c r="AT89" s="17"/>
      <c r="AU89" s="17"/>
      <c r="AV89" s="17"/>
      <c r="AW89" s="17"/>
      <c r="AX89" s="17"/>
      <c r="AY89" s="17"/>
      <c r="AZ89" s="17"/>
      <c r="BA89" s="17"/>
      <c r="BB89" s="17"/>
      <c r="BC89" s="17"/>
      <c r="BD89" s="17"/>
      <c r="BE89" s="17"/>
      <c r="BF89" s="17"/>
      <c r="BG89" s="17"/>
      <c r="BH89" s="17"/>
      <c r="BI89" s="17"/>
      <c r="BJ89" s="17"/>
      <c r="BK89" s="17"/>
      <c r="BL89" s="17"/>
      <c r="BM89" s="17"/>
      <c r="BN89" s="17"/>
      <c r="BO89" s="17"/>
      <c r="BP89" s="17"/>
      <c r="BQ89" s="17"/>
      <c r="BR89" s="17"/>
      <c r="BS89" s="17"/>
      <c r="BT89" s="17"/>
      <c r="BU89" s="17"/>
      <c r="BV89" s="17"/>
      <c r="BW89" s="17"/>
      <c r="BX89" s="17"/>
      <c r="BY89" s="17"/>
      <c r="BZ89" s="17"/>
    </row>
    <row r="90" spans="1:78">
      <c r="A90" s="19"/>
      <c r="B90" s="19"/>
      <c r="C90" s="121"/>
      <c r="D90" s="19"/>
      <c r="E90" s="122"/>
      <c r="F90" s="122"/>
      <c r="G90" s="122"/>
      <c r="H90" s="122"/>
      <c r="I90" s="124"/>
      <c r="J90" s="124"/>
      <c r="K90" s="124"/>
      <c r="L90" s="124"/>
      <c r="M90" s="124"/>
      <c r="N90" s="124"/>
      <c r="O90" s="124"/>
      <c r="P90" s="124"/>
      <c r="Q90" s="124"/>
      <c r="R90" s="124"/>
      <c r="S90" s="124"/>
      <c r="T90" s="124"/>
      <c r="U90" s="124"/>
      <c r="V90" s="124"/>
      <c r="W90" s="17"/>
      <c r="X90" s="17"/>
      <c r="Y90" s="17"/>
      <c r="Z90" s="17"/>
      <c r="AA90" s="17"/>
      <c r="AB90" s="17"/>
      <c r="AC90" s="17"/>
      <c r="AD90" s="17"/>
      <c r="AE90" s="17"/>
      <c r="AF90" s="17"/>
      <c r="AG90" s="17"/>
      <c r="AH90" s="17"/>
      <c r="AI90" s="17"/>
      <c r="AJ90" s="17"/>
      <c r="AK90" s="17"/>
      <c r="AL90" s="17"/>
      <c r="AM90" s="17"/>
      <c r="AN90" s="17"/>
      <c r="AO90" s="17"/>
      <c r="AP90" s="17"/>
      <c r="AQ90" s="17"/>
      <c r="AR90" s="17"/>
      <c r="AS90" s="17"/>
      <c r="AT90" s="17"/>
      <c r="AU90" s="17"/>
      <c r="AV90" s="17"/>
      <c r="AW90" s="17"/>
      <c r="AX90" s="17"/>
      <c r="AY90" s="17"/>
      <c r="AZ90" s="17"/>
      <c r="BA90" s="17"/>
      <c r="BB90" s="17"/>
      <c r="BC90" s="17"/>
      <c r="BD90" s="17"/>
      <c r="BE90" s="17"/>
      <c r="BF90" s="17"/>
      <c r="BG90" s="17"/>
      <c r="BH90" s="17"/>
      <c r="BI90" s="17"/>
      <c r="BJ90" s="17"/>
      <c r="BK90" s="17"/>
      <c r="BL90" s="17"/>
      <c r="BM90" s="17"/>
      <c r="BN90" s="17"/>
      <c r="BO90" s="17"/>
      <c r="BP90" s="17"/>
      <c r="BQ90" s="17"/>
      <c r="BR90" s="17"/>
      <c r="BS90" s="17"/>
      <c r="BT90" s="17"/>
      <c r="BU90" s="17"/>
      <c r="BV90" s="17"/>
      <c r="BW90" s="17"/>
      <c r="BX90" s="17"/>
      <c r="BY90" s="17"/>
      <c r="BZ90" s="17"/>
    </row>
    <row r="91" spans="1:78">
      <c r="A91" s="19"/>
      <c r="B91" s="19"/>
      <c r="C91" s="121"/>
      <c r="D91" s="19"/>
      <c r="E91" s="122"/>
      <c r="F91" s="122"/>
      <c r="G91" s="122"/>
      <c r="H91" s="122"/>
      <c r="I91" s="124"/>
      <c r="J91" s="124"/>
      <c r="K91" s="124"/>
      <c r="L91" s="124"/>
      <c r="M91" s="124"/>
      <c r="N91" s="124"/>
      <c r="O91" s="124"/>
      <c r="P91" s="124"/>
      <c r="Q91" s="124"/>
      <c r="R91" s="124"/>
      <c r="S91" s="124"/>
      <c r="T91" s="124"/>
      <c r="U91" s="124"/>
      <c r="V91" s="124"/>
      <c r="W91" s="17"/>
      <c r="X91" s="17"/>
      <c r="Y91" s="17"/>
      <c r="Z91" s="17"/>
      <c r="AA91" s="17"/>
      <c r="AB91" s="17"/>
      <c r="AC91" s="17"/>
      <c r="AD91" s="17"/>
      <c r="AE91" s="17"/>
      <c r="AF91" s="17"/>
      <c r="AG91" s="17"/>
      <c r="AH91" s="17"/>
      <c r="AI91" s="17"/>
      <c r="AJ91" s="17"/>
      <c r="AK91" s="17"/>
      <c r="AL91" s="17"/>
      <c r="AM91" s="17"/>
      <c r="AN91" s="17"/>
      <c r="AO91" s="17"/>
      <c r="AP91" s="17"/>
      <c r="AQ91" s="17"/>
      <c r="AR91" s="17"/>
      <c r="AS91" s="17"/>
      <c r="AT91" s="17"/>
      <c r="AU91" s="17"/>
      <c r="AV91" s="17"/>
      <c r="AW91" s="17"/>
      <c r="AX91" s="17"/>
      <c r="AY91" s="17"/>
      <c r="AZ91" s="17"/>
      <c r="BA91" s="17"/>
      <c r="BB91" s="17"/>
      <c r="BC91" s="17"/>
      <c r="BD91" s="17"/>
      <c r="BE91" s="17"/>
      <c r="BF91" s="17"/>
      <c r="BG91" s="17"/>
      <c r="BH91" s="17"/>
      <c r="BI91" s="17"/>
      <c r="BJ91" s="17"/>
      <c r="BK91" s="17"/>
      <c r="BL91" s="17"/>
      <c r="BM91" s="17"/>
      <c r="BN91" s="17"/>
      <c r="BO91" s="17"/>
      <c r="BP91" s="17"/>
      <c r="BQ91" s="17"/>
      <c r="BR91" s="17"/>
      <c r="BS91" s="17"/>
      <c r="BT91" s="17"/>
      <c r="BU91" s="17"/>
      <c r="BV91" s="17"/>
      <c r="BW91" s="17"/>
      <c r="BX91" s="17"/>
      <c r="BY91" s="17"/>
      <c r="BZ91" s="17"/>
    </row>
    <row r="92" spans="1:78">
      <c r="A92" s="19"/>
      <c r="B92" s="19"/>
      <c r="C92" s="19"/>
      <c r="D92" s="19"/>
      <c r="E92" s="122"/>
      <c r="F92" s="122"/>
      <c r="G92" s="122"/>
      <c r="H92" s="122"/>
      <c r="I92" s="124"/>
      <c r="J92" s="124"/>
      <c r="K92" s="124"/>
      <c r="L92" s="124"/>
      <c r="M92" s="124"/>
      <c r="N92" s="124"/>
      <c r="O92" s="124"/>
      <c r="P92" s="124"/>
      <c r="Q92" s="124"/>
      <c r="R92" s="124"/>
      <c r="S92" s="124"/>
      <c r="T92" s="124"/>
      <c r="U92" s="124"/>
      <c r="V92" s="124"/>
      <c r="W92" s="17"/>
      <c r="X92" s="17"/>
      <c r="Y92" s="17"/>
      <c r="Z92" s="17"/>
      <c r="AA92" s="17"/>
      <c r="AB92" s="17"/>
      <c r="AC92" s="17"/>
      <c r="AD92" s="17"/>
      <c r="AE92" s="17"/>
      <c r="AF92" s="17"/>
      <c r="AG92" s="17"/>
      <c r="AH92" s="17"/>
      <c r="AI92" s="17"/>
      <c r="AJ92" s="17"/>
      <c r="AK92" s="17"/>
      <c r="AL92" s="17"/>
      <c r="AM92" s="17"/>
      <c r="AN92" s="17"/>
      <c r="AO92" s="17"/>
      <c r="AP92" s="17"/>
      <c r="AQ92" s="17"/>
      <c r="AR92" s="17"/>
      <c r="AS92" s="17"/>
      <c r="AT92" s="17"/>
      <c r="AU92" s="17"/>
      <c r="AV92" s="17"/>
      <c r="AW92" s="17"/>
      <c r="AX92" s="17"/>
      <c r="AY92" s="17"/>
      <c r="AZ92" s="17"/>
      <c r="BA92" s="17"/>
      <c r="BB92" s="17"/>
      <c r="BC92" s="17"/>
      <c r="BD92" s="17"/>
      <c r="BE92" s="17"/>
      <c r="BF92" s="17"/>
      <c r="BG92" s="17"/>
      <c r="BH92" s="17"/>
      <c r="BI92" s="17"/>
      <c r="BJ92" s="17"/>
      <c r="BK92" s="17"/>
      <c r="BL92" s="17"/>
      <c r="BM92" s="17"/>
      <c r="BN92" s="17"/>
      <c r="BO92" s="17"/>
      <c r="BP92" s="17"/>
      <c r="BQ92" s="17"/>
      <c r="BR92" s="17"/>
      <c r="BS92" s="17"/>
      <c r="BT92" s="17"/>
      <c r="BU92" s="17"/>
      <c r="BV92" s="17"/>
      <c r="BW92" s="17"/>
      <c r="BX92" s="17"/>
      <c r="BY92" s="17"/>
      <c r="BZ92" s="17"/>
    </row>
    <row r="93" spans="1:78">
      <c r="A93" s="19"/>
      <c r="B93" s="19"/>
      <c r="C93" s="19"/>
      <c r="D93" s="19"/>
      <c r="E93" s="122"/>
      <c r="F93" s="122"/>
      <c r="G93" s="122"/>
      <c r="H93" s="122"/>
      <c r="I93" s="124"/>
      <c r="J93" s="124"/>
      <c r="K93" s="124"/>
      <c r="L93" s="124"/>
      <c r="M93" s="124"/>
      <c r="N93" s="124"/>
      <c r="O93" s="124"/>
      <c r="P93" s="124"/>
      <c r="Q93" s="124"/>
      <c r="R93" s="124"/>
      <c r="S93" s="124"/>
      <c r="T93" s="124"/>
      <c r="U93" s="124"/>
      <c r="V93" s="124"/>
      <c r="W93" s="17"/>
      <c r="X93" s="17"/>
      <c r="Y93" s="17"/>
      <c r="Z93" s="17"/>
      <c r="AA93" s="17"/>
      <c r="AB93" s="17"/>
      <c r="AC93" s="17"/>
      <c r="AD93" s="17"/>
      <c r="AE93" s="17"/>
      <c r="AF93" s="17"/>
      <c r="AG93" s="17"/>
      <c r="AH93" s="17"/>
      <c r="AI93" s="17"/>
      <c r="AJ93" s="17"/>
      <c r="AK93" s="17"/>
      <c r="AL93" s="17"/>
      <c r="AM93" s="17"/>
      <c r="AN93" s="17"/>
      <c r="AO93" s="17"/>
      <c r="AP93" s="17"/>
      <c r="AQ93" s="17"/>
      <c r="AR93" s="17"/>
      <c r="AS93" s="17"/>
      <c r="AT93" s="17"/>
      <c r="AU93" s="17"/>
      <c r="AV93" s="17"/>
      <c r="AW93" s="17"/>
      <c r="AX93" s="17"/>
      <c r="AY93" s="17"/>
      <c r="AZ93" s="17"/>
      <c r="BA93" s="17"/>
      <c r="BB93" s="17"/>
      <c r="BC93" s="17"/>
      <c r="BD93" s="17"/>
      <c r="BE93" s="17"/>
      <c r="BF93" s="17"/>
      <c r="BG93" s="17"/>
      <c r="BH93" s="17"/>
      <c r="BI93" s="17"/>
      <c r="BJ93" s="17"/>
      <c r="BK93" s="17"/>
      <c r="BL93" s="17"/>
      <c r="BM93" s="17"/>
      <c r="BN93" s="17"/>
      <c r="BO93" s="17"/>
      <c r="BP93" s="17"/>
      <c r="BQ93" s="17"/>
      <c r="BR93" s="17"/>
      <c r="BS93" s="17"/>
      <c r="BT93" s="17"/>
      <c r="BU93" s="17"/>
      <c r="BV93" s="17"/>
      <c r="BW93" s="17"/>
      <c r="BX93" s="17"/>
      <c r="BY93" s="17"/>
      <c r="BZ93" s="17"/>
    </row>
    <row r="94" spans="1:78">
      <c r="A94" s="19"/>
      <c r="B94" s="19"/>
      <c r="C94" s="19"/>
      <c r="D94" s="19"/>
      <c r="E94" s="122"/>
      <c r="F94" s="122"/>
      <c r="G94" s="122"/>
      <c r="H94" s="122"/>
      <c r="I94" s="124"/>
      <c r="J94" s="124"/>
      <c r="K94" s="124"/>
      <c r="L94" s="124"/>
      <c r="M94" s="124"/>
      <c r="N94" s="124"/>
      <c r="O94" s="124"/>
      <c r="P94" s="124"/>
      <c r="Q94" s="124"/>
      <c r="R94" s="124"/>
      <c r="S94" s="124"/>
      <c r="T94" s="124"/>
      <c r="U94" s="124"/>
      <c r="V94" s="124"/>
      <c r="W94" s="17"/>
      <c r="X94" s="17"/>
      <c r="Y94" s="17"/>
      <c r="Z94" s="17"/>
      <c r="AA94" s="17"/>
      <c r="AB94" s="17"/>
      <c r="AC94" s="17"/>
      <c r="AD94" s="17"/>
      <c r="AE94" s="17"/>
      <c r="AF94" s="17"/>
      <c r="AG94" s="17"/>
      <c r="AH94" s="17"/>
      <c r="AI94" s="17"/>
      <c r="AJ94" s="17"/>
      <c r="AK94" s="17"/>
      <c r="AL94" s="17"/>
      <c r="AM94" s="17"/>
      <c r="AN94" s="17"/>
      <c r="AO94" s="17"/>
      <c r="AP94" s="17"/>
      <c r="AQ94" s="17"/>
      <c r="AR94" s="17"/>
      <c r="AS94" s="17"/>
      <c r="AT94" s="17"/>
      <c r="AU94" s="17"/>
      <c r="AV94" s="17"/>
      <c r="AW94" s="17"/>
      <c r="AX94" s="17"/>
      <c r="AY94" s="17"/>
      <c r="AZ94" s="17"/>
      <c r="BA94" s="17"/>
      <c r="BB94" s="17"/>
      <c r="BC94" s="17"/>
      <c r="BD94" s="17"/>
      <c r="BE94" s="17"/>
      <c r="BF94" s="17"/>
      <c r="BG94" s="17"/>
      <c r="BH94" s="17"/>
      <c r="BI94" s="17"/>
      <c r="BJ94" s="17"/>
      <c r="BK94" s="17"/>
      <c r="BL94" s="17"/>
      <c r="BM94" s="17"/>
      <c r="BN94" s="17"/>
      <c r="BO94" s="17"/>
      <c r="BP94" s="17"/>
      <c r="BQ94" s="17"/>
      <c r="BR94" s="17"/>
      <c r="BS94" s="17"/>
      <c r="BT94" s="17"/>
      <c r="BU94" s="17"/>
      <c r="BV94" s="17"/>
      <c r="BW94" s="17"/>
      <c r="BX94" s="17"/>
      <c r="BY94" s="17"/>
      <c r="BZ94" s="17"/>
    </row>
    <row r="95" spans="1:78">
      <c r="A95" s="19"/>
      <c r="B95" s="19"/>
      <c r="C95" s="19"/>
      <c r="D95" s="19"/>
      <c r="E95" s="122"/>
      <c r="F95" s="122"/>
      <c r="G95" s="122"/>
      <c r="H95" s="122"/>
      <c r="I95" s="124"/>
      <c r="J95" s="124"/>
      <c r="K95" s="124"/>
      <c r="L95" s="124"/>
      <c r="M95" s="124"/>
      <c r="N95" s="124"/>
      <c r="O95" s="124"/>
      <c r="P95" s="124"/>
      <c r="Q95" s="124"/>
      <c r="R95" s="124"/>
      <c r="S95" s="124"/>
      <c r="T95" s="124"/>
      <c r="U95" s="124"/>
      <c r="V95" s="124"/>
      <c r="W95" s="17"/>
      <c r="X95" s="17"/>
      <c r="Y95" s="17"/>
      <c r="Z95" s="17"/>
      <c r="AA95" s="17"/>
      <c r="AB95" s="17"/>
      <c r="AC95" s="17"/>
      <c r="AD95" s="17"/>
      <c r="AE95" s="17"/>
      <c r="AF95" s="17"/>
      <c r="AG95" s="17"/>
      <c r="AH95" s="17"/>
      <c r="AI95" s="17"/>
      <c r="AJ95" s="17"/>
      <c r="AK95" s="17"/>
      <c r="AL95" s="17"/>
      <c r="AM95" s="17"/>
      <c r="AN95" s="17"/>
      <c r="AO95" s="17"/>
      <c r="AP95" s="17"/>
      <c r="AQ95" s="17"/>
      <c r="AR95" s="17"/>
      <c r="AS95" s="17"/>
      <c r="AT95" s="17"/>
      <c r="AU95" s="17"/>
      <c r="AV95" s="17"/>
      <c r="AW95" s="17"/>
      <c r="AX95" s="17"/>
      <c r="AY95" s="17"/>
      <c r="AZ95" s="17"/>
      <c r="BA95" s="17"/>
      <c r="BB95" s="17"/>
      <c r="BC95" s="17"/>
      <c r="BD95" s="17"/>
      <c r="BE95" s="17"/>
      <c r="BF95" s="17"/>
      <c r="BG95" s="17"/>
      <c r="BH95" s="17"/>
      <c r="BI95" s="17"/>
      <c r="BJ95" s="17"/>
      <c r="BK95" s="17"/>
      <c r="BL95" s="17"/>
      <c r="BM95" s="17"/>
      <c r="BN95" s="17"/>
      <c r="BO95" s="17"/>
      <c r="BP95" s="17"/>
      <c r="BQ95" s="17"/>
      <c r="BR95" s="17"/>
      <c r="BS95" s="17"/>
      <c r="BT95" s="17"/>
      <c r="BU95" s="17"/>
      <c r="BV95" s="17"/>
      <c r="BW95" s="17"/>
      <c r="BX95" s="17"/>
      <c r="BY95" s="17"/>
      <c r="BZ95" s="17"/>
    </row>
    <row r="96" spans="1:78">
      <c r="A96" s="19"/>
      <c r="B96" s="19"/>
      <c r="C96" s="19"/>
      <c r="D96" s="19"/>
      <c r="E96" s="122"/>
      <c r="F96" s="122"/>
      <c r="G96" s="122"/>
      <c r="H96" s="122"/>
      <c r="I96" s="124"/>
      <c r="J96" s="124"/>
      <c r="K96" s="124"/>
      <c r="L96" s="124"/>
      <c r="M96" s="124"/>
      <c r="N96" s="124"/>
      <c r="O96" s="124"/>
      <c r="P96" s="124"/>
      <c r="Q96" s="124"/>
      <c r="R96" s="124"/>
      <c r="S96" s="124"/>
      <c r="T96" s="124"/>
      <c r="U96" s="124"/>
      <c r="V96" s="124"/>
      <c r="W96" s="17"/>
      <c r="X96" s="17"/>
      <c r="Y96" s="17"/>
      <c r="Z96" s="17"/>
      <c r="AA96" s="17"/>
      <c r="AB96" s="17"/>
      <c r="AC96" s="17"/>
      <c r="AD96" s="17"/>
      <c r="AE96" s="17"/>
      <c r="AF96" s="17"/>
      <c r="AG96" s="17"/>
      <c r="AH96" s="17"/>
      <c r="AI96" s="17"/>
      <c r="AJ96" s="17"/>
      <c r="AK96" s="17"/>
      <c r="AL96" s="17"/>
      <c r="AM96" s="17"/>
      <c r="AN96" s="17"/>
      <c r="AO96" s="17"/>
      <c r="AP96" s="17"/>
      <c r="AQ96" s="17"/>
      <c r="AR96" s="17"/>
      <c r="AS96" s="17"/>
      <c r="AT96" s="17"/>
      <c r="AU96" s="17"/>
      <c r="AV96" s="17"/>
      <c r="AW96" s="17"/>
      <c r="AX96" s="17"/>
      <c r="AY96" s="17"/>
      <c r="AZ96" s="17"/>
      <c r="BA96" s="17"/>
      <c r="BB96" s="17"/>
      <c r="BC96" s="17"/>
      <c r="BD96" s="17"/>
      <c r="BE96" s="17"/>
      <c r="BF96" s="17"/>
      <c r="BG96" s="17"/>
      <c r="BH96" s="17"/>
      <c r="BI96" s="17"/>
      <c r="BJ96" s="17"/>
      <c r="BK96" s="17"/>
      <c r="BL96" s="17"/>
      <c r="BM96" s="17"/>
      <c r="BN96" s="17"/>
      <c r="BO96" s="17"/>
      <c r="BP96" s="17"/>
      <c r="BQ96" s="17"/>
      <c r="BR96" s="17"/>
      <c r="BS96" s="17"/>
      <c r="BT96" s="17"/>
      <c r="BU96" s="17"/>
      <c r="BV96" s="17"/>
      <c r="BW96" s="17"/>
      <c r="BX96" s="17"/>
      <c r="BY96" s="17"/>
      <c r="BZ96" s="17"/>
    </row>
    <row r="97" spans="1:78">
      <c r="A97" s="19"/>
      <c r="B97" s="19"/>
      <c r="C97" s="19"/>
      <c r="D97" s="19"/>
      <c r="E97" s="122"/>
      <c r="F97" s="122"/>
      <c r="G97" s="122"/>
      <c r="H97" s="122"/>
      <c r="I97" s="124"/>
      <c r="J97" s="124"/>
      <c r="K97" s="124"/>
      <c r="L97" s="124"/>
      <c r="M97" s="124"/>
      <c r="N97" s="124"/>
      <c r="O97" s="124"/>
      <c r="P97" s="124"/>
      <c r="Q97" s="124"/>
      <c r="R97" s="124"/>
      <c r="S97" s="124"/>
      <c r="T97" s="124"/>
      <c r="U97" s="124"/>
      <c r="V97" s="124"/>
      <c r="W97" s="17"/>
      <c r="X97" s="17"/>
      <c r="Y97" s="17"/>
      <c r="Z97" s="17"/>
      <c r="AA97" s="17"/>
      <c r="AB97" s="17"/>
      <c r="AC97" s="17"/>
      <c r="AD97" s="17"/>
      <c r="AE97" s="17"/>
      <c r="AF97" s="17"/>
      <c r="AG97" s="17"/>
      <c r="AH97" s="17"/>
      <c r="AI97" s="17"/>
      <c r="AJ97" s="17"/>
      <c r="AK97" s="17"/>
      <c r="AL97" s="17"/>
      <c r="AM97" s="17"/>
      <c r="AN97" s="17"/>
      <c r="AO97" s="17"/>
      <c r="AP97" s="17"/>
      <c r="AQ97" s="17"/>
      <c r="AR97" s="17"/>
      <c r="AS97" s="17"/>
      <c r="AT97" s="17"/>
      <c r="AU97" s="17"/>
      <c r="AV97" s="17"/>
      <c r="AW97" s="17"/>
      <c r="AX97" s="17"/>
      <c r="AY97" s="17"/>
      <c r="AZ97" s="17"/>
      <c r="BA97" s="17"/>
      <c r="BB97" s="17"/>
      <c r="BC97" s="17"/>
      <c r="BD97" s="17"/>
      <c r="BE97" s="17"/>
      <c r="BF97" s="17"/>
      <c r="BG97" s="17"/>
      <c r="BH97" s="17"/>
      <c r="BI97" s="17"/>
      <c r="BJ97" s="17"/>
      <c r="BK97" s="17"/>
      <c r="BL97" s="17"/>
      <c r="BM97" s="17"/>
      <c r="BN97" s="17"/>
      <c r="BO97" s="17"/>
      <c r="BP97" s="17"/>
      <c r="BQ97" s="17"/>
      <c r="BR97" s="17"/>
      <c r="BS97" s="17"/>
      <c r="BT97" s="17"/>
      <c r="BU97" s="17"/>
      <c r="BV97" s="17"/>
      <c r="BW97" s="17"/>
      <c r="BX97" s="17"/>
      <c r="BY97" s="17"/>
      <c r="BZ97" s="17"/>
    </row>
    <row r="98" spans="1:78">
      <c r="A98" s="19"/>
      <c r="B98" s="19"/>
      <c r="C98" s="19"/>
      <c r="D98" s="19"/>
      <c r="E98" s="122"/>
      <c r="F98" s="122"/>
      <c r="G98" s="122"/>
      <c r="H98" s="122"/>
      <c r="I98" s="124"/>
      <c r="J98" s="124"/>
      <c r="K98" s="124"/>
      <c r="L98" s="124"/>
      <c r="M98" s="124"/>
      <c r="N98" s="124"/>
      <c r="O98" s="124"/>
      <c r="P98" s="124"/>
      <c r="Q98" s="124"/>
      <c r="R98" s="124"/>
      <c r="S98" s="124"/>
      <c r="T98" s="124"/>
      <c r="U98" s="124"/>
      <c r="V98" s="124"/>
      <c r="W98" s="17"/>
      <c r="X98" s="17"/>
      <c r="Y98" s="17"/>
      <c r="Z98" s="17"/>
      <c r="AA98" s="17"/>
      <c r="AB98" s="17"/>
      <c r="AC98" s="17"/>
      <c r="AD98" s="17"/>
      <c r="AE98" s="17"/>
      <c r="AF98" s="17"/>
      <c r="AG98" s="17"/>
      <c r="AH98" s="17"/>
      <c r="AI98" s="17"/>
      <c r="AJ98" s="17"/>
      <c r="AK98" s="17"/>
      <c r="AL98" s="17"/>
      <c r="AM98" s="17"/>
      <c r="AN98" s="17"/>
      <c r="AO98" s="17"/>
      <c r="AP98" s="17"/>
      <c r="AQ98" s="17"/>
      <c r="AR98" s="17"/>
      <c r="AS98" s="17"/>
      <c r="AT98" s="17"/>
      <c r="AU98" s="17"/>
      <c r="AV98" s="17"/>
      <c r="AW98" s="17"/>
      <c r="AX98" s="17"/>
      <c r="AY98" s="17"/>
      <c r="AZ98" s="17"/>
      <c r="BA98" s="17"/>
      <c r="BB98" s="17"/>
      <c r="BC98" s="17"/>
      <c r="BD98" s="17"/>
      <c r="BE98" s="17"/>
      <c r="BF98" s="17"/>
      <c r="BG98" s="17"/>
      <c r="BH98" s="17"/>
      <c r="BI98" s="17"/>
      <c r="BJ98" s="17"/>
      <c r="BK98" s="17"/>
      <c r="BL98" s="17"/>
      <c r="BM98" s="17"/>
      <c r="BN98" s="17"/>
      <c r="BO98" s="17"/>
      <c r="BP98" s="17"/>
      <c r="BQ98" s="17"/>
      <c r="BR98" s="17"/>
      <c r="BS98" s="17"/>
      <c r="BT98" s="17"/>
      <c r="BU98" s="17"/>
      <c r="BV98" s="17"/>
      <c r="BW98" s="17"/>
      <c r="BX98" s="17"/>
      <c r="BY98" s="17"/>
      <c r="BZ98" s="17"/>
    </row>
    <row r="99" spans="1:78">
      <c r="A99" s="19"/>
      <c r="B99" s="19"/>
      <c r="C99" s="19"/>
      <c r="D99" s="19"/>
      <c r="E99" s="122"/>
      <c r="F99" s="122"/>
      <c r="G99" s="122"/>
      <c r="H99" s="122"/>
      <c r="I99" s="124"/>
      <c r="J99" s="124"/>
      <c r="K99" s="124"/>
      <c r="L99" s="124"/>
      <c r="M99" s="124"/>
      <c r="N99" s="124"/>
      <c r="O99" s="124"/>
      <c r="P99" s="124"/>
      <c r="Q99" s="124"/>
      <c r="R99" s="124"/>
      <c r="S99" s="124"/>
      <c r="T99" s="124"/>
      <c r="U99" s="124"/>
      <c r="V99" s="124"/>
      <c r="W99" s="17"/>
      <c r="X99" s="17"/>
      <c r="Y99" s="17"/>
      <c r="Z99" s="17"/>
      <c r="AA99" s="17"/>
      <c r="AB99" s="17"/>
      <c r="AC99" s="17"/>
      <c r="AD99" s="17"/>
      <c r="AE99" s="17"/>
      <c r="AF99" s="17"/>
      <c r="AG99" s="17"/>
      <c r="AH99" s="17"/>
      <c r="AI99" s="17"/>
      <c r="AJ99" s="17"/>
      <c r="AK99" s="17"/>
      <c r="AL99" s="17"/>
      <c r="AM99" s="17"/>
      <c r="AN99" s="17"/>
      <c r="AO99" s="17"/>
      <c r="AP99" s="17"/>
      <c r="AQ99" s="17"/>
      <c r="AR99" s="17"/>
      <c r="AS99" s="17"/>
      <c r="AT99" s="17"/>
      <c r="AU99" s="17"/>
      <c r="AV99" s="17"/>
      <c r="AW99" s="17"/>
      <c r="AX99" s="17"/>
      <c r="AY99" s="17"/>
      <c r="AZ99" s="17"/>
      <c r="BA99" s="17"/>
      <c r="BB99" s="17"/>
      <c r="BC99" s="17"/>
      <c r="BD99" s="17"/>
      <c r="BE99" s="17"/>
      <c r="BF99" s="17"/>
      <c r="BG99" s="17"/>
      <c r="BH99" s="17"/>
      <c r="BI99" s="17"/>
      <c r="BJ99" s="17"/>
      <c r="BK99" s="17"/>
      <c r="BL99" s="17"/>
      <c r="BM99" s="17"/>
      <c r="BN99" s="17"/>
      <c r="BO99" s="17"/>
      <c r="BP99" s="17"/>
      <c r="BQ99" s="17"/>
      <c r="BR99" s="17"/>
      <c r="BS99" s="17"/>
      <c r="BT99" s="17"/>
      <c r="BU99" s="17"/>
      <c r="BV99" s="17"/>
      <c r="BW99" s="17"/>
      <c r="BX99" s="17"/>
      <c r="BY99" s="17"/>
      <c r="BZ99" s="17"/>
    </row>
    <row r="100" spans="1:78">
      <c r="A100" s="19"/>
      <c r="B100" s="19"/>
      <c r="C100" s="19"/>
      <c r="D100" s="19"/>
      <c r="E100" s="122"/>
      <c r="F100" s="122"/>
      <c r="G100" s="122"/>
      <c r="H100" s="122"/>
      <c r="I100" s="124"/>
      <c r="J100" s="124"/>
      <c r="K100" s="124"/>
      <c r="L100" s="124"/>
      <c r="M100" s="124"/>
      <c r="N100" s="124"/>
      <c r="O100" s="124"/>
      <c r="P100" s="124"/>
      <c r="Q100" s="124"/>
      <c r="R100" s="124"/>
      <c r="S100" s="124"/>
      <c r="T100" s="124"/>
      <c r="U100" s="124"/>
      <c r="V100" s="124"/>
      <c r="W100" s="17"/>
      <c r="X100" s="17"/>
      <c r="Y100" s="17"/>
      <c r="Z100" s="17"/>
      <c r="AA100" s="17"/>
      <c r="AB100" s="17"/>
      <c r="AC100" s="17"/>
      <c r="AD100" s="17"/>
      <c r="AE100" s="17"/>
      <c r="AF100" s="17"/>
      <c r="AG100" s="17"/>
      <c r="AH100" s="17"/>
      <c r="AI100" s="17"/>
      <c r="AJ100" s="17"/>
      <c r="AK100" s="17"/>
      <c r="AL100" s="17"/>
      <c r="AM100" s="17"/>
      <c r="AN100" s="17"/>
      <c r="AO100" s="17"/>
      <c r="AP100" s="17"/>
      <c r="AQ100" s="17"/>
      <c r="AR100" s="17"/>
      <c r="AS100" s="17"/>
      <c r="AT100" s="17"/>
      <c r="AU100" s="17"/>
      <c r="AV100" s="17"/>
      <c r="AW100" s="17"/>
      <c r="AX100" s="17"/>
      <c r="AY100" s="17"/>
      <c r="AZ100" s="17"/>
      <c r="BA100" s="17"/>
      <c r="BB100" s="17"/>
      <c r="BC100" s="17"/>
      <c r="BD100" s="17"/>
      <c r="BE100" s="17"/>
      <c r="BF100" s="17"/>
      <c r="BG100" s="17"/>
      <c r="BH100" s="17"/>
      <c r="BI100" s="17"/>
      <c r="BJ100" s="17"/>
      <c r="BK100" s="17"/>
      <c r="BL100" s="17"/>
      <c r="BM100" s="17"/>
      <c r="BN100" s="17"/>
      <c r="BO100" s="17"/>
      <c r="BP100" s="17"/>
      <c r="BQ100" s="17"/>
      <c r="BR100" s="17"/>
      <c r="BS100" s="17"/>
      <c r="BT100" s="17"/>
      <c r="BU100" s="17"/>
      <c r="BV100" s="17"/>
      <c r="BW100" s="17"/>
      <c r="BX100" s="17"/>
      <c r="BY100" s="17"/>
      <c r="BZ100" s="17"/>
    </row>
    <row r="101" spans="1:78">
      <c r="A101" s="19"/>
      <c r="B101" s="19"/>
      <c r="C101" s="19"/>
      <c r="D101" s="19"/>
      <c r="E101" s="122"/>
      <c r="F101" s="122"/>
      <c r="G101" s="122"/>
      <c r="H101" s="122"/>
      <c r="I101" s="124"/>
      <c r="J101" s="124"/>
      <c r="K101" s="124"/>
      <c r="L101" s="124"/>
      <c r="M101" s="124"/>
      <c r="N101" s="124"/>
      <c r="O101" s="124"/>
      <c r="P101" s="124"/>
      <c r="Q101" s="124"/>
      <c r="R101" s="124"/>
      <c r="S101" s="124"/>
      <c r="T101" s="124"/>
      <c r="U101" s="124"/>
      <c r="V101" s="124"/>
      <c r="W101" s="17"/>
      <c r="X101" s="17"/>
      <c r="Y101" s="17"/>
      <c r="Z101" s="17"/>
      <c r="AA101" s="17"/>
      <c r="AB101" s="17"/>
      <c r="AC101" s="17"/>
      <c r="AD101" s="17"/>
      <c r="AE101" s="17"/>
      <c r="AF101" s="17"/>
      <c r="AG101" s="17"/>
      <c r="AH101" s="17"/>
      <c r="AI101" s="17"/>
      <c r="AJ101" s="17"/>
      <c r="AK101" s="17"/>
      <c r="AL101" s="17"/>
      <c r="AM101" s="17"/>
      <c r="AN101" s="17"/>
      <c r="AO101" s="17"/>
      <c r="AP101" s="17"/>
      <c r="AQ101" s="17"/>
      <c r="AR101" s="17"/>
      <c r="AS101" s="17"/>
      <c r="AT101" s="17"/>
      <c r="AU101" s="17"/>
      <c r="AV101" s="17"/>
      <c r="AW101" s="17"/>
      <c r="AX101" s="17"/>
      <c r="AY101" s="17"/>
      <c r="AZ101" s="17"/>
      <c r="BA101" s="17"/>
      <c r="BB101" s="17"/>
      <c r="BC101" s="17"/>
      <c r="BD101" s="17"/>
      <c r="BE101" s="17"/>
      <c r="BF101" s="17"/>
      <c r="BG101" s="17"/>
      <c r="BH101" s="17"/>
      <c r="BI101" s="17"/>
      <c r="BJ101" s="17"/>
      <c r="BK101" s="17"/>
      <c r="BL101" s="17"/>
      <c r="BM101" s="17"/>
      <c r="BN101" s="17"/>
      <c r="BO101" s="17"/>
      <c r="BP101" s="17"/>
      <c r="BQ101" s="17"/>
      <c r="BR101" s="17"/>
      <c r="BS101" s="17"/>
      <c r="BT101" s="17"/>
      <c r="BU101" s="17"/>
      <c r="BV101" s="17"/>
      <c r="BW101" s="17"/>
      <c r="BX101" s="17"/>
      <c r="BY101" s="17"/>
      <c r="BZ101" s="17"/>
    </row>
    <row r="102" spans="1:78">
      <c r="A102" s="19"/>
      <c r="B102" s="19"/>
      <c r="C102" s="19"/>
      <c r="D102" s="19"/>
      <c r="E102" s="122"/>
      <c r="F102" s="122"/>
      <c r="G102" s="122"/>
      <c r="H102" s="122"/>
      <c r="I102" s="124"/>
      <c r="J102" s="124"/>
      <c r="K102" s="124"/>
      <c r="L102" s="124"/>
      <c r="M102" s="124"/>
      <c r="N102" s="124"/>
      <c r="O102" s="124"/>
      <c r="P102" s="124"/>
      <c r="Q102" s="124"/>
      <c r="R102" s="124"/>
      <c r="S102" s="124"/>
      <c r="T102" s="124"/>
      <c r="U102" s="124"/>
      <c r="V102" s="124"/>
      <c r="W102" s="17"/>
      <c r="X102" s="17"/>
      <c r="Y102" s="17"/>
      <c r="Z102" s="17"/>
      <c r="AA102" s="17"/>
      <c r="AB102" s="17"/>
      <c r="AC102" s="17"/>
      <c r="AD102" s="17"/>
      <c r="AE102" s="17"/>
      <c r="AF102" s="17"/>
      <c r="AG102" s="17"/>
      <c r="AH102" s="17"/>
      <c r="AI102" s="17"/>
      <c r="AJ102" s="17"/>
      <c r="AK102" s="17"/>
      <c r="AL102" s="17"/>
      <c r="AM102" s="17"/>
      <c r="AN102" s="17"/>
      <c r="AO102" s="17"/>
      <c r="AP102" s="17"/>
      <c r="AQ102" s="17"/>
      <c r="AR102" s="17"/>
      <c r="AS102" s="17"/>
      <c r="AT102" s="17"/>
      <c r="AU102" s="17"/>
      <c r="AV102" s="17"/>
      <c r="AW102" s="17"/>
      <c r="AX102" s="17"/>
      <c r="AY102" s="17"/>
      <c r="AZ102" s="17"/>
      <c r="BA102" s="17"/>
      <c r="BB102" s="17"/>
      <c r="BC102" s="17"/>
      <c r="BD102" s="17"/>
      <c r="BE102" s="17"/>
      <c r="BF102" s="17"/>
      <c r="BG102" s="17"/>
      <c r="BH102" s="17"/>
      <c r="BI102" s="17"/>
      <c r="BJ102" s="17"/>
      <c r="BK102" s="17"/>
      <c r="BL102" s="17"/>
      <c r="BM102" s="17"/>
      <c r="BN102" s="17"/>
      <c r="BO102" s="17"/>
      <c r="BP102" s="17"/>
      <c r="BQ102" s="17"/>
      <c r="BR102" s="17"/>
      <c r="BS102" s="17"/>
      <c r="BT102" s="17"/>
      <c r="BU102" s="17"/>
      <c r="BV102" s="17"/>
      <c r="BW102" s="17"/>
      <c r="BX102" s="17"/>
      <c r="BY102" s="17"/>
      <c r="BZ102" s="17"/>
    </row>
    <row r="103" spans="1:78">
      <c r="A103" s="19"/>
      <c r="B103" s="19"/>
      <c r="C103" s="19"/>
      <c r="D103" s="19"/>
      <c r="E103" s="122"/>
      <c r="F103" s="122"/>
      <c r="G103" s="122"/>
      <c r="H103" s="122"/>
      <c r="I103" s="124"/>
      <c r="J103" s="124"/>
      <c r="K103" s="124"/>
      <c r="L103" s="124"/>
      <c r="M103" s="124"/>
      <c r="N103" s="124"/>
      <c r="O103" s="124"/>
      <c r="P103" s="124"/>
      <c r="Q103" s="124"/>
      <c r="R103" s="124"/>
      <c r="S103" s="124"/>
      <c r="T103" s="124"/>
      <c r="U103" s="124"/>
      <c r="V103" s="124"/>
      <c r="W103" s="17"/>
      <c r="X103" s="17"/>
      <c r="Y103" s="17"/>
      <c r="Z103" s="17"/>
      <c r="AA103" s="17"/>
      <c r="AB103" s="17"/>
      <c r="AC103" s="17"/>
      <c r="AD103" s="17"/>
      <c r="AE103" s="17"/>
      <c r="AF103" s="17"/>
      <c r="AG103" s="17"/>
      <c r="AH103" s="17"/>
      <c r="AI103" s="17"/>
      <c r="AJ103" s="17"/>
      <c r="AK103" s="17"/>
      <c r="AL103" s="17"/>
      <c r="AM103" s="17"/>
      <c r="AN103" s="17"/>
      <c r="AO103" s="17"/>
      <c r="AP103" s="17"/>
      <c r="AQ103" s="17"/>
      <c r="AR103" s="17"/>
      <c r="AS103" s="17"/>
      <c r="AT103" s="17"/>
      <c r="AU103" s="17"/>
      <c r="AV103" s="17"/>
      <c r="AW103" s="17"/>
      <c r="AX103" s="17"/>
      <c r="AY103" s="17"/>
      <c r="AZ103" s="17"/>
      <c r="BA103" s="17"/>
      <c r="BB103" s="17"/>
      <c r="BC103" s="17"/>
      <c r="BD103" s="17"/>
      <c r="BE103" s="17"/>
      <c r="BF103" s="17"/>
      <c r="BG103" s="17"/>
      <c r="BH103" s="17"/>
      <c r="BI103" s="17"/>
      <c r="BJ103" s="17"/>
      <c r="BK103" s="17"/>
      <c r="BL103" s="17"/>
      <c r="BM103" s="17"/>
      <c r="BN103" s="17"/>
      <c r="BO103" s="17"/>
      <c r="BP103" s="17"/>
      <c r="BQ103" s="17"/>
      <c r="BR103" s="17"/>
      <c r="BS103" s="17"/>
      <c r="BT103" s="17"/>
      <c r="BU103" s="17"/>
      <c r="BV103" s="17"/>
      <c r="BW103" s="17"/>
      <c r="BX103" s="17"/>
      <c r="BY103" s="17"/>
      <c r="BZ103" s="17"/>
    </row>
    <row r="104" spans="1:78">
      <c r="A104" s="19"/>
      <c r="B104" s="19"/>
      <c r="C104" s="19"/>
      <c r="D104" s="19"/>
      <c r="E104" s="122"/>
      <c r="F104" s="122"/>
      <c r="G104" s="122"/>
      <c r="H104" s="122"/>
      <c r="I104" s="124"/>
      <c r="J104" s="124"/>
      <c r="K104" s="124"/>
      <c r="L104" s="124"/>
      <c r="M104" s="124"/>
      <c r="N104" s="124"/>
      <c r="O104" s="124"/>
      <c r="P104" s="124"/>
      <c r="Q104" s="124"/>
      <c r="R104" s="124"/>
      <c r="S104" s="124"/>
      <c r="T104" s="124"/>
      <c r="U104" s="124"/>
      <c r="V104" s="124"/>
      <c r="W104" s="17"/>
      <c r="X104" s="17"/>
      <c r="Y104" s="17"/>
      <c r="Z104" s="17"/>
      <c r="AA104" s="17"/>
      <c r="AB104" s="17"/>
      <c r="AC104" s="17"/>
      <c r="AD104" s="17"/>
      <c r="AE104" s="17"/>
      <c r="AF104" s="17"/>
      <c r="AG104" s="17"/>
      <c r="AH104" s="17"/>
      <c r="AI104" s="17"/>
      <c r="AJ104" s="17"/>
      <c r="AK104" s="17"/>
      <c r="AL104" s="17"/>
      <c r="AM104" s="17"/>
      <c r="AN104" s="17"/>
      <c r="AO104" s="17"/>
      <c r="AP104" s="17"/>
      <c r="AQ104" s="17"/>
      <c r="AR104" s="17"/>
      <c r="AS104" s="17"/>
      <c r="AT104" s="17"/>
      <c r="AU104" s="17"/>
      <c r="AV104" s="17"/>
      <c r="AW104" s="17"/>
      <c r="AX104" s="17"/>
      <c r="AY104" s="17"/>
      <c r="AZ104" s="17"/>
      <c r="BA104" s="17"/>
      <c r="BB104" s="17"/>
      <c r="BC104" s="17"/>
      <c r="BD104" s="17"/>
      <c r="BE104" s="17"/>
      <c r="BF104" s="17"/>
      <c r="BG104" s="17"/>
      <c r="BH104" s="17"/>
      <c r="BI104" s="17"/>
      <c r="BJ104" s="17"/>
      <c r="BK104" s="17"/>
      <c r="BL104" s="17"/>
      <c r="BM104" s="17"/>
      <c r="BN104" s="17"/>
      <c r="BO104" s="17"/>
      <c r="BP104" s="17"/>
      <c r="BQ104" s="17"/>
      <c r="BR104" s="17"/>
      <c r="BS104" s="17"/>
      <c r="BT104" s="17"/>
      <c r="BU104" s="17"/>
      <c r="BV104" s="17"/>
      <c r="BW104" s="17"/>
      <c r="BX104" s="17"/>
      <c r="BY104" s="17"/>
      <c r="BZ104" s="17"/>
    </row>
    <row r="105" spans="1:78">
      <c r="A105" s="19"/>
      <c r="B105" s="19"/>
      <c r="C105" s="19"/>
      <c r="D105" s="19"/>
      <c r="E105" s="122"/>
      <c r="F105" s="122"/>
      <c r="G105" s="122"/>
      <c r="H105" s="122"/>
      <c r="I105" s="124"/>
      <c r="J105" s="124"/>
      <c r="K105" s="124"/>
      <c r="L105" s="124"/>
      <c r="M105" s="124"/>
      <c r="N105" s="124"/>
      <c r="O105" s="124"/>
      <c r="P105" s="124"/>
      <c r="Q105" s="124"/>
      <c r="R105" s="124"/>
      <c r="S105" s="124"/>
      <c r="T105" s="124"/>
      <c r="U105" s="124"/>
      <c r="V105" s="124"/>
      <c r="W105" s="17"/>
      <c r="X105" s="17"/>
      <c r="Y105" s="17"/>
      <c r="Z105" s="17"/>
      <c r="AA105" s="17"/>
      <c r="AB105" s="17"/>
      <c r="AC105" s="17"/>
      <c r="AD105" s="17"/>
      <c r="AE105" s="17"/>
      <c r="AF105" s="17"/>
      <c r="AG105" s="17"/>
      <c r="AH105" s="17"/>
      <c r="AI105" s="17"/>
      <c r="AJ105" s="17"/>
      <c r="AK105" s="17"/>
      <c r="AL105" s="17"/>
      <c r="AM105" s="17"/>
      <c r="AN105" s="17"/>
      <c r="AO105" s="17"/>
      <c r="AP105" s="17"/>
      <c r="AQ105" s="17"/>
      <c r="AR105" s="17"/>
      <c r="AS105" s="17"/>
      <c r="AT105" s="17"/>
      <c r="AU105" s="17"/>
      <c r="AV105" s="17"/>
      <c r="AW105" s="17"/>
      <c r="AX105" s="17"/>
      <c r="AY105" s="17"/>
      <c r="AZ105" s="17"/>
      <c r="BA105" s="17"/>
      <c r="BB105" s="17"/>
      <c r="BC105" s="17"/>
      <c r="BD105" s="17"/>
      <c r="BE105" s="17"/>
      <c r="BF105" s="17"/>
      <c r="BG105" s="17"/>
      <c r="BH105" s="17"/>
      <c r="BI105" s="17"/>
      <c r="BJ105" s="17"/>
      <c r="BK105" s="17"/>
      <c r="BL105" s="17"/>
      <c r="BM105" s="17"/>
      <c r="BN105" s="17"/>
      <c r="BO105" s="17"/>
      <c r="BP105" s="17"/>
      <c r="BQ105" s="17"/>
      <c r="BR105" s="17"/>
      <c r="BS105" s="17"/>
      <c r="BT105" s="17"/>
      <c r="BU105" s="17"/>
      <c r="BV105" s="17"/>
      <c r="BW105" s="17"/>
      <c r="BX105" s="17"/>
      <c r="BY105" s="17"/>
      <c r="BZ105" s="17"/>
    </row>
    <row r="106" spans="1:78">
      <c r="A106" s="19"/>
      <c r="B106" s="19"/>
      <c r="C106" s="19"/>
      <c r="D106" s="19"/>
      <c r="E106" s="122"/>
      <c r="F106" s="122"/>
      <c r="G106" s="122"/>
      <c r="H106" s="122"/>
      <c r="I106" s="124"/>
      <c r="J106" s="124"/>
      <c r="K106" s="124"/>
      <c r="L106" s="124"/>
      <c r="M106" s="124"/>
      <c r="N106" s="124"/>
      <c r="O106" s="124"/>
      <c r="P106" s="124"/>
      <c r="Q106" s="124"/>
      <c r="R106" s="124"/>
      <c r="S106" s="124"/>
      <c r="T106" s="124"/>
      <c r="U106" s="124"/>
      <c r="V106" s="124"/>
      <c r="W106" s="17"/>
      <c r="X106" s="17"/>
      <c r="Y106" s="17"/>
      <c r="Z106" s="17"/>
      <c r="AA106" s="17"/>
      <c r="AB106" s="17"/>
      <c r="AC106" s="17"/>
      <c r="AD106" s="17"/>
      <c r="AE106" s="17"/>
      <c r="AF106" s="17"/>
      <c r="AG106" s="17"/>
      <c r="AH106" s="17"/>
      <c r="AI106" s="17"/>
      <c r="AJ106" s="17"/>
      <c r="AK106" s="17"/>
      <c r="AL106" s="17"/>
      <c r="AM106" s="17"/>
      <c r="AN106" s="17"/>
      <c r="AO106" s="17"/>
      <c r="AP106" s="17"/>
      <c r="AQ106" s="17"/>
      <c r="AR106" s="17"/>
      <c r="AS106" s="17"/>
      <c r="AT106" s="17"/>
      <c r="AU106" s="17"/>
      <c r="AV106" s="17"/>
      <c r="AW106" s="17"/>
      <c r="AX106" s="17"/>
      <c r="AY106" s="17"/>
      <c r="AZ106" s="17"/>
      <c r="BA106" s="17"/>
      <c r="BB106" s="17"/>
      <c r="BC106" s="17"/>
      <c r="BD106" s="17"/>
      <c r="BE106" s="17"/>
      <c r="BF106" s="17"/>
      <c r="BG106" s="17"/>
      <c r="BH106" s="17"/>
      <c r="BI106" s="17"/>
      <c r="BJ106" s="17"/>
      <c r="BK106" s="17"/>
      <c r="BL106" s="17"/>
      <c r="BM106" s="17"/>
      <c r="BN106" s="17"/>
      <c r="BO106" s="17"/>
      <c r="BP106" s="17"/>
      <c r="BQ106" s="17"/>
      <c r="BR106" s="17"/>
      <c r="BS106" s="17"/>
      <c r="BT106" s="17"/>
      <c r="BU106" s="17"/>
      <c r="BV106" s="17"/>
      <c r="BW106" s="17"/>
      <c r="BX106" s="17"/>
      <c r="BY106" s="17"/>
      <c r="BZ106" s="17"/>
    </row>
    <row r="107" spans="1:78">
      <c r="A107" s="19"/>
      <c r="B107" s="19"/>
      <c r="C107" s="19"/>
      <c r="D107" s="19"/>
      <c r="E107" s="122"/>
      <c r="F107" s="122"/>
      <c r="G107" s="122"/>
      <c r="H107" s="122"/>
      <c r="I107" s="124"/>
      <c r="J107" s="124"/>
      <c r="K107" s="124"/>
      <c r="L107" s="124"/>
      <c r="M107" s="124"/>
      <c r="N107" s="124"/>
      <c r="O107" s="124"/>
      <c r="P107" s="124"/>
      <c r="Q107" s="124"/>
      <c r="R107" s="124"/>
      <c r="S107" s="124"/>
      <c r="T107" s="124"/>
      <c r="U107" s="124"/>
      <c r="V107" s="124"/>
      <c r="W107" s="17"/>
      <c r="X107" s="17"/>
      <c r="Y107" s="17"/>
      <c r="Z107" s="17"/>
      <c r="AA107" s="17"/>
      <c r="AB107" s="17"/>
      <c r="AC107" s="17"/>
      <c r="AD107" s="17"/>
      <c r="AE107" s="17"/>
      <c r="AF107" s="17"/>
      <c r="AG107" s="17"/>
      <c r="AH107" s="17"/>
      <c r="AI107" s="17"/>
      <c r="AJ107" s="17"/>
      <c r="AK107" s="17"/>
      <c r="AL107" s="17"/>
      <c r="AM107" s="17"/>
      <c r="AN107" s="17"/>
      <c r="AO107" s="17"/>
      <c r="AP107" s="17"/>
      <c r="AQ107" s="17"/>
      <c r="AR107" s="17"/>
      <c r="AS107" s="17"/>
      <c r="AT107" s="17"/>
      <c r="AU107" s="17"/>
      <c r="AV107" s="17"/>
      <c r="AW107" s="17"/>
      <c r="AX107" s="17"/>
      <c r="AY107" s="17"/>
      <c r="AZ107" s="17"/>
      <c r="BA107" s="17"/>
      <c r="BB107" s="17"/>
      <c r="BC107" s="17"/>
      <c r="BD107" s="17"/>
      <c r="BE107" s="17"/>
      <c r="BF107" s="17"/>
      <c r="BG107" s="17"/>
      <c r="BH107" s="17"/>
      <c r="BI107" s="17"/>
      <c r="BJ107" s="17"/>
      <c r="BK107" s="17"/>
      <c r="BL107" s="17"/>
      <c r="BM107" s="17"/>
      <c r="BN107" s="17"/>
      <c r="BO107" s="17"/>
      <c r="BP107" s="17"/>
      <c r="BQ107" s="17"/>
      <c r="BR107" s="17"/>
      <c r="BS107" s="17"/>
      <c r="BT107" s="17"/>
      <c r="BU107" s="17"/>
      <c r="BV107" s="17"/>
      <c r="BW107" s="17"/>
      <c r="BX107" s="17"/>
      <c r="BY107" s="17"/>
      <c r="BZ107" s="17"/>
    </row>
    <row r="108" spans="1:78">
      <c r="A108" s="19"/>
      <c r="B108" s="19"/>
      <c r="C108" s="19"/>
      <c r="D108" s="19"/>
      <c r="E108" s="122"/>
      <c r="F108" s="122"/>
      <c r="G108" s="122"/>
      <c r="H108" s="122"/>
      <c r="I108" s="124"/>
      <c r="J108" s="124"/>
      <c r="K108" s="124"/>
      <c r="L108" s="124"/>
      <c r="M108" s="124"/>
      <c r="N108" s="124"/>
      <c r="O108" s="124"/>
      <c r="P108" s="124"/>
      <c r="Q108" s="124"/>
      <c r="R108" s="124"/>
      <c r="S108" s="124"/>
      <c r="T108" s="124"/>
      <c r="U108" s="124"/>
      <c r="V108" s="124"/>
      <c r="W108" s="17"/>
      <c r="X108" s="17"/>
      <c r="Y108" s="17"/>
      <c r="Z108" s="17"/>
      <c r="AA108" s="17"/>
      <c r="AB108" s="17"/>
      <c r="AC108" s="17"/>
      <c r="AD108" s="17"/>
      <c r="AE108" s="17"/>
      <c r="AF108" s="17"/>
      <c r="AG108" s="17"/>
      <c r="AH108" s="17"/>
      <c r="AI108" s="17"/>
      <c r="AJ108" s="17"/>
      <c r="AK108" s="17"/>
      <c r="AL108" s="17"/>
      <c r="AM108" s="17"/>
      <c r="AN108" s="17"/>
      <c r="AO108" s="17"/>
      <c r="AP108" s="17"/>
      <c r="AQ108" s="17"/>
      <c r="AR108" s="17"/>
      <c r="AS108" s="17"/>
      <c r="AT108" s="17"/>
      <c r="AU108" s="17"/>
      <c r="AV108" s="17"/>
      <c r="AW108" s="17"/>
      <c r="AX108" s="17"/>
      <c r="AY108" s="17"/>
      <c r="AZ108" s="17"/>
      <c r="BA108" s="17"/>
      <c r="BB108" s="17"/>
      <c r="BC108" s="17"/>
      <c r="BD108" s="17"/>
      <c r="BE108" s="17"/>
      <c r="BF108" s="17"/>
      <c r="BG108" s="17"/>
      <c r="BH108" s="17"/>
      <c r="BI108" s="17"/>
      <c r="BJ108" s="17"/>
      <c r="BK108" s="17"/>
      <c r="BL108" s="17"/>
      <c r="BM108" s="17"/>
      <c r="BN108" s="17"/>
      <c r="BO108" s="17"/>
      <c r="BP108" s="17"/>
      <c r="BQ108" s="17"/>
      <c r="BR108" s="17"/>
      <c r="BS108" s="17"/>
      <c r="BT108" s="17"/>
      <c r="BU108" s="17"/>
      <c r="BV108" s="17"/>
      <c r="BW108" s="17"/>
      <c r="BX108" s="17"/>
      <c r="BY108" s="17"/>
      <c r="BZ108" s="17"/>
    </row>
    <row r="109" spans="1:78">
      <c r="A109" s="19"/>
      <c r="B109" s="19"/>
      <c r="C109" s="19"/>
      <c r="D109" s="19"/>
      <c r="E109" s="122"/>
      <c r="F109" s="122"/>
      <c r="G109" s="122"/>
      <c r="H109" s="122"/>
      <c r="I109" s="124"/>
      <c r="J109" s="124"/>
      <c r="K109" s="124"/>
      <c r="L109" s="124"/>
      <c r="M109" s="124"/>
      <c r="N109" s="124"/>
      <c r="O109" s="124"/>
      <c r="P109" s="124"/>
      <c r="Q109" s="124"/>
      <c r="R109" s="124"/>
      <c r="S109" s="124"/>
      <c r="T109" s="124"/>
      <c r="U109" s="124"/>
      <c r="V109" s="124"/>
      <c r="W109" s="17"/>
      <c r="X109" s="17"/>
      <c r="Y109" s="17"/>
      <c r="Z109" s="17"/>
      <c r="AA109" s="17"/>
      <c r="AB109" s="17"/>
      <c r="AC109" s="17"/>
      <c r="AD109" s="17"/>
      <c r="AE109" s="17"/>
      <c r="AF109" s="17"/>
      <c r="AG109" s="17"/>
      <c r="AH109" s="17"/>
      <c r="AI109" s="17"/>
      <c r="AJ109" s="17"/>
      <c r="AK109" s="17"/>
      <c r="AL109" s="17"/>
      <c r="AM109" s="17"/>
      <c r="AN109" s="17"/>
      <c r="AO109" s="17"/>
      <c r="AP109" s="17"/>
      <c r="AQ109" s="17"/>
      <c r="AR109" s="17"/>
      <c r="AS109" s="17"/>
      <c r="AT109" s="17"/>
      <c r="AU109" s="17"/>
      <c r="AV109" s="17"/>
      <c r="AW109" s="17"/>
      <c r="AX109" s="17"/>
      <c r="AY109" s="17"/>
      <c r="AZ109" s="17"/>
      <c r="BA109" s="17"/>
      <c r="BB109" s="17"/>
      <c r="BC109" s="17"/>
      <c r="BD109" s="17"/>
      <c r="BE109" s="17"/>
      <c r="BF109" s="17"/>
      <c r="BG109" s="17"/>
      <c r="BH109" s="17"/>
      <c r="BI109" s="17"/>
      <c r="BJ109" s="17"/>
      <c r="BK109" s="17"/>
      <c r="BL109" s="17"/>
      <c r="BM109" s="17"/>
      <c r="BN109" s="17"/>
      <c r="BO109" s="17"/>
      <c r="BP109" s="17"/>
      <c r="BQ109" s="17"/>
      <c r="BR109" s="17"/>
      <c r="BS109" s="17"/>
      <c r="BT109" s="17"/>
      <c r="BU109" s="17"/>
      <c r="BV109" s="17"/>
      <c r="BW109" s="17"/>
      <c r="BX109" s="17"/>
      <c r="BY109" s="17"/>
      <c r="BZ109" s="17"/>
    </row>
    <row r="110" spans="1:78">
      <c r="A110" s="19"/>
      <c r="B110" s="19"/>
      <c r="C110" s="19"/>
      <c r="D110" s="19"/>
      <c r="E110" s="122"/>
      <c r="F110" s="122"/>
      <c r="G110" s="122"/>
      <c r="H110" s="122"/>
      <c r="I110" s="124"/>
      <c r="J110" s="124"/>
      <c r="K110" s="124"/>
      <c r="L110" s="124"/>
      <c r="M110" s="124"/>
      <c r="N110" s="124"/>
      <c r="O110" s="124"/>
      <c r="P110" s="124"/>
      <c r="Q110" s="124"/>
      <c r="R110" s="124"/>
      <c r="S110" s="124"/>
      <c r="T110" s="124"/>
      <c r="U110" s="124"/>
      <c r="V110" s="124"/>
      <c r="W110" s="17"/>
      <c r="X110" s="17"/>
      <c r="Y110" s="17"/>
      <c r="Z110" s="17"/>
      <c r="AA110" s="17"/>
      <c r="AB110" s="17"/>
      <c r="AC110" s="17"/>
      <c r="AD110" s="17"/>
      <c r="AE110" s="17"/>
      <c r="AF110" s="17"/>
      <c r="AG110" s="17"/>
      <c r="AH110" s="17"/>
      <c r="AI110" s="17"/>
      <c r="AJ110" s="17"/>
      <c r="AK110" s="17"/>
      <c r="AL110" s="17"/>
      <c r="AM110" s="17"/>
      <c r="AN110" s="17"/>
      <c r="AO110" s="17"/>
      <c r="AP110" s="17"/>
      <c r="AQ110" s="17"/>
      <c r="AR110" s="17"/>
      <c r="AS110" s="17"/>
      <c r="AT110" s="17"/>
      <c r="AU110" s="17"/>
      <c r="AV110" s="17"/>
      <c r="AW110" s="17"/>
      <c r="AX110" s="17"/>
      <c r="AY110" s="17"/>
      <c r="AZ110" s="17"/>
      <c r="BA110" s="17"/>
      <c r="BB110" s="17"/>
      <c r="BC110" s="17"/>
      <c r="BD110" s="17"/>
      <c r="BE110" s="17"/>
      <c r="BF110" s="17"/>
      <c r="BG110" s="17"/>
      <c r="BH110" s="17"/>
      <c r="BI110" s="17"/>
      <c r="BJ110" s="17"/>
      <c r="BK110" s="17"/>
      <c r="BL110" s="17"/>
      <c r="BM110" s="17"/>
      <c r="BN110" s="17"/>
      <c r="BO110" s="17"/>
      <c r="BP110" s="17"/>
      <c r="BQ110" s="17"/>
      <c r="BR110" s="17"/>
      <c r="BS110" s="17"/>
      <c r="BT110" s="17"/>
      <c r="BU110" s="17"/>
      <c r="BV110" s="17"/>
      <c r="BW110" s="17"/>
      <c r="BX110" s="17"/>
      <c r="BY110" s="17"/>
      <c r="BZ110" s="17"/>
    </row>
    <row r="111" spans="1:78">
      <c r="A111" s="19"/>
      <c r="B111" s="19"/>
      <c r="C111" s="19"/>
      <c r="D111" s="19"/>
      <c r="E111" s="122"/>
      <c r="F111" s="122"/>
      <c r="G111" s="122"/>
      <c r="H111" s="122"/>
      <c r="I111" s="124"/>
      <c r="J111" s="124"/>
      <c r="K111" s="124"/>
      <c r="L111" s="124"/>
      <c r="M111" s="124"/>
      <c r="N111" s="124"/>
      <c r="O111" s="124"/>
      <c r="P111" s="124"/>
      <c r="Q111" s="124"/>
      <c r="R111" s="124"/>
      <c r="S111" s="124"/>
      <c r="T111" s="124"/>
      <c r="U111" s="124"/>
      <c r="V111" s="124"/>
      <c r="W111" s="17"/>
      <c r="X111" s="17"/>
      <c r="Y111" s="17"/>
      <c r="Z111" s="17"/>
      <c r="AA111" s="17"/>
      <c r="AB111" s="17"/>
      <c r="AC111" s="17"/>
      <c r="AD111" s="17"/>
      <c r="AE111" s="17"/>
      <c r="AF111" s="17"/>
      <c r="AG111" s="17"/>
      <c r="AH111" s="17"/>
      <c r="AI111" s="17"/>
      <c r="AJ111" s="17"/>
      <c r="AK111" s="17"/>
      <c r="AL111" s="17"/>
      <c r="AM111" s="17"/>
      <c r="AN111" s="17"/>
      <c r="AO111" s="17"/>
      <c r="AP111" s="17"/>
      <c r="AQ111" s="17"/>
      <c r="AR111" s="17"/>
      <c r="AS111" s="17"/>
      <c r="AT111" s="17"/>
      <c r="AU111" s="17"/>
      <c r="AV111" s="17"/>
      <c r="AW111" s="17"/>
      <c r="AX111" s="17"/>
      <c r="AY111" s="17"/>
      <c r="AZ111" s="17"/>
      <c r="BA111" s="17"/>
      <c r="BB111" s="17"/>
      <c r="BC111" s="17"/>
      <c r="BD111" s="17"/>
      <c r="BE111" s="17"/>
      <c r="BF111" s="17"/>
      <c r="BG111" s="17"/>
      <c r="BH111" s="17"/>
      <c r="BI111" s="17"/>
      <c r="BJ111" s="17"/>
      <c r="BK111" s="17"/>
      <c r="BL111" s="17"/>
      <c r="BM111" s="17"/>
      <c r="BN111" s="17"/>
      <c r="BO111" s="17"/>
      <c r="BP111" s="17"/>
      <c r="BQ111" s="17"/>
      <c r="BR111" s="17"/>
      <c r="BS111" s="17"/>
      <c r="BT111" s="17"/>
      <c r="BU111" s="17"/>
      <c r="BV111" s="17"/>
      <c r="BW111" s="17"/>
      <c r="BX111" s="17"/>
      <c r="BY111" s="17"/>
      <c r="BZ111" s="17"/>
    </row>
    <row r="112" spans="1:78">
      <c r="A112" s="19"/>
      <c r="B112" s="19"/>
      <c r="C112" s="19"/>
      <c r="D112" s="19"/>
      <c r="E112" s="122"/>
      <c r="F112" s="122"/>
      <c r="G112" s="122"/>
      <c r="H112" s="122"/>
      <c r="I112" s="124"/>
      <c r="J112" s="124"/>
      <c r="K112" s="124"/>
      <c r="L112" s="124"/>
      <c r="M112" s="124"/>
      <c r="N112" s="124"/>
      <c r="O112" s="124"/>
      <c r="P112" s="124"/>
      <c r="Q112" s="124"/>
      <c r="R112" s="124"/>
      <c r="S112" s="124"/>
      <c r="T112" s="124"/>
      <c r="U112" s="124"/>
      <c r="V112" s="124"/>
      <c r="W112" s="17"/>
      <c r="X112" s="17"/>
      <c r="Y112" s="17"/>
      <c r="Z112" s="17"/>
      <c r="AA112" s="17"/>
      <c r="AB112" s="17"/>
      <c r="AC112" s="17"/>
      <c r="AD112" s="17"/>
      <c r="AE112" s="17"/>
      <c r="AF112" s="17"/>
      <c r="AG112" s="17"/>
      <c r="AH112" s="17"/>
      <c r="AI112" s="17"/>
      <c r="AJ112" s="17"/>
      <c r="AK112" s="17"/>
      <c r="AL112" s="17"/>
      <c r="AM112" s="17"/>
      <c r="AN112" s="17"/>
      <c r="AO112" s="17"/>
      <c r="AP112" s="17"/>
      <c r="AQ112" s="17"/>
      <c r="AR112" s="17"/>
      <c r="AS112" s="17"/>
      <c r="AT112" s="17"/>
      <c r="AU112" s="17"/>
      <c r="AV112" s="17"/>
      <c r="AW112" s="17"/>
      <c r="AX112" s="17"/>
      <c r="AY112" s="17"/>
      <c r="AZ112" s="17"/>
      <c r="BA112" s="17"/>
      <c r="BB112" s="17"/>
      <c r="BC112" s="17"/>
      <c r="BD112" s="17"/>
      <c r="BE112" s="17"/>
      <c r="BF112" s="17"/>
      <c r="BG112" s="17"/>
      <c r="BH112" s="17"/>
      <c r="BI112" s="17"/>
      <c r="BJ112" s="17"/>
      <c r="BK112" s="17"/>
      <c r="BL112" s="17"/>
      <c r="BM112" s="17"/>
      <c r="BN112" s="17"/>
      <c r="BO112" s="17"/>
      <c r="BP112" s="17"/>
      <c r="BQ112" s="17"/>
      <c r="BR112" s="17"/>
      <c r="BS112" s="17"/>
      <c r="BT112" s="17"/>
      <c r="BU112" s="17"/>
      <c r="BV112" s="17"/>
      <c r="BW112" s="17"/>
      <c r="BX112" s="17"/>
      <c r="BY112" s="17"/>
      <c r="BZ112" s="17"/>
    </row>
    <row r="113" spans="1:78">
      <c r="A113" s="19"/>
      <c r="B113" s="19"/>
      <c r="C113" s="19"/>
      <c r="D113" s="19"/>
      <c r="E113" s="122"/>
      <c r="F113" s="122"/>
      <c r="G113" s="122"/>
      <c r="H113" s="122"/>
      <c r="I113" s="124"/>
      <c r="J113" s="124"/>
      <c r="K113" s="124"/>
      <c r="L113" s="124"/>
      <c r="M113" s="124"/>
      <c r="N113" s="124"/>
      <c r="O113" s="124"/>
      <c r="P113" s="124"/>
      <c r="Q113" s="124"/>
      <c r="R113" s="124"/>
      <c r="S113" s="124"/>
      <c r="T113" s="124"/>
      <c r="U113" s="124"/>
      <c r="V113" s="124"/>
      <c r="W113" s="17"/>
      <c r="X113" s="17"/>
      <c r="Y113" s="17"/>
      <c r="Z113" s="17"/>
      <c r="AA113" s="17"/>
      <c r="AB113" s="17"/>
      <c r="AC113" s="17"/>
      <c r="AD113" s="17"/>
      <c r="AE113" s="17"/>
      <c r="AF113" s="17"/>
      <c r="AG113" s="17"/>
      <c r="AH113" s="17"/>
      <c r="AI113" s="17"/>
      <c r="AJ113" s="17"/>
      <c r="AK113" s="17"/>
      <c r="AL113" s="17"/>
      <c r="AM113" s="17"/>
      <c r="AN113" s="17"/>
      <c r="AO113" s="17"/>
      <c r="AP113" s="17"/>
      <c r="AQ113" s="17"/>
      <c r="AR113" s="17"/>
      <c r="AS113" s="17"/>
      <c r="AT113" s="17"/>
      <c r="AU113" s="17"/>
      <c r="AV113" s="17"/>
      <c r="AW113" s="17"/>
      <c r="AX113" s="17"/>
      <c r="AY113" s="17"/>
      <c r="AZ113" s="17"/>
      <c r="BA113" s="17"/>
      <c r="BB113" s="17"/>
      <c r="BC113" s="17"/>
      <c r="BD113" s="17"/>
      <c r="BE113" s="17"/>
      <c r="BF113" s="17"/>
      <c r="BG113" s="17"/>
      <c r="BH113" s="17"/>
      <c r="BI113" s="17"/>
      <c r="BJ113" s="17"/>
      <c r="BK113" s="17"/>
      <c r="BL113" s="17"/>
      <c r="BM113" s="17"/>
      <c r="BN113" s="17"/>
      <c r="BO113" s="17"/>
      <c r="BP113" s="17"/>
      <c r="BQ113" s="17"/>
      <c r="BR113" s="17"/>
      <c r="BS113" s="17"/>
      <c r="BT113" s="17"/>
      <c r="BU113" s="17"/>
      <c r="BV113" s="17"/>
      <c r="BW113" s="17"/>
      <c r="BX113" s="17"/>
      <c r="BY113" s="17"/>
      <c r="BZ113" s="17"/>
    </row>
    <row r="114" spans="1:78">
      <c r="A114" s="19"/>
      <c r="B114" s="19"/>
      <c r="C114" s="19"/>
      <c r="D114" s="19"/>
      <c r="E114" s="122"/>
      <c r="F114" s="122"/>
      <c r="G114" s="122"/>
      <c r="H114" s="122"/>
      <c r="I114" s="124"/>
      <c r="J114" s="124"/>
      <c r="K114" s="124"/>
      <c r="L114" s="124"/>
      <c r="M114" s="124"/>
      <c r="N114" s="124"/>
      <c r="O114" s="124"/>
      <c r="P114" s="124"/>
      <c r="Q114" s="124"/>
      <c r="R114" s="124"/>
      <c r="S114" s="124"/>
      <c r="T114" s="124"/>
      <c r="U114" s="124"/>
      <c r="V114" s="124"/>
      <c r="W114" s="17"/>
      <c r="X114" s="17"/>
      <c r="Y114" s="17"/>
      <c r="Z114" s="17"/>
      <c r="AA114" s="17"/>
      <c r="AB114" s="17"/>
      <c r="AC114" s="17"/>
      <c r="AD114" s="17"/>
      <c r="AE114" s="17"/>
      <c r="AF114" s="17"/>
      <c r="AG114" s="17"/>
      <c r="AH114" s="17"/>
      <c r="AI114" s="17"/>
      <c r="AJ114" s="17"/>
      <c r="AK114" s="17"/>
      <c r="AL114" s="17"/>
      <c r="AM114" s="17"/>
      <c r="AN114" s="17"/>
      <c r="AO114" s="17"/>
      <c r="AP114" s="17"/>
      <c r="AQ114" s="17"/>
      <c r="AR114" s="17"/>
      <c r="AS114" s="17"/>
      <c r="AT114" s="17"/>
      <c r="AU114" s="17"/>
      <c r="AV114" s="17"/>
      <c r="AW114" s="17"/>
      <c r="AX114" s="17"/>
      <c r="AY114" s="17"/>
      <c r="AZ114" s="17"/>
      <c r="BA114" s="17"/>
      <c r="BB114" s="17"/>
      <c r="BC114" s="17"/>
      <c r="BD114" s="17"/>
      <c r="BE114" s="17"/>
      <c r="BF114" s="17"/>
      <c r="BG114" s="17"/>
      <c r="BH114" s="17"/>
      <c r="BI114" s="17"/>
      <c r="BJ114" s="17"/>
      <c r="BK114" s="17"/>
      <c r="BL114" s="17"/>
      <c r="BM114" s="17"/>
      <c r="BN114" s="17"/>
      <c r="BO114" s="17"/>
      <c r="BP114" s="17"/>
      <c r="BQ114" s="17"/>
      <c r="BR114" s="17"/>
      <c r="BS114" s="17"/>
      <c r="BT114" s="17"/>
      <c r="BU114" s="17"/>
      <c r="BV114" s="17"/>
      <c r="BW114" s="17"/>
      <c r="BX114" s="17"/>
      <c r="BY114" s="17"/>
      <c r="BZ114" s="17"/>
    </row>
    <row r="115" spans="1:78">
      <c r="A115" s="19"/>
      <c r="B115" s="19"/>
      <c r="C115" s="19"/>
      <c r="D115" s="19"/>
      <c r="E115" s="122"/>
      <c r="F115" s="122"/>
      <c r="G115" s="122"/>
      <c r="H115" s="122"/>
      <c r="I115" s="124"/>
      <c r="J115" s="124"/>
      <c r="K115" s="124"/>
      <c r="L115" s="124"/>
      <c r="M115" s="124"/>
      <c r="N115" s="124"/>
      <c r="O115" s="124"/>
      <c r="P115" s="124"/>
      <c r="Q115" s="124"/>
      <c r="R115" s="124"/>
      <c r="S115" s="124"/>
      <c r="T115" s="124"/>
      <c r="U115" s="124"/>
      <c r="V115" s="124"/>
      <c r="W115" s="17"/>
      <c r="X115" s="17"/>
      <c r="Y115" s="17"/>
      <c r="Z115" s="17"/>
      <c r="AA115" s="17"/>
      <c r="AB115" s="17"/>
      <c r="AC115" s="17"/>
      <c r="AD115" s="17"/>
      <c r="AE115" s="17"/>
      <c r="AF115" s="17"/>
      <c r="AG115" s="17"/>
      <c r="AH115" s="17"/>
      <c r="AI115" s="17"/>
      <c r="AJ115" s="17"/>
      <c r="AK115" s="17"/>
      <c r="AL115" s="17"/>
      <c r="AM115" s="17"/>
      <c r="AN115" s="17"/>
      <c r="AO115" s="17"/>
      <c r="AP115" s="17"/>
      <c r="AQ115" s="17"/>
      <c r="AR115" s="17"/>
      <c r="AS115" s="17"/>
      <c r="AT115" s="17"/>
      <c r="AU115" s="17"/>
      <c r="AV115" s="17"/>
      <c r="AW115" s="17"/>
      <c r="AX115" s="17"/>
      <c r="AY115" s="17"/>
      <c r="AZ115" s="17"/>
      <c r="BA115" s="17"/>
      <c r="BB115" s="17"/>
      <c r="BC115" s="17"/>
      <c r="BD115" s="17"/>
      <c r="BE115" s="17"/>
      <c r="BF115" s="17"/>
      <c r="BG115" s="17"/>
      <c r="BH115" s="17"/>
      <c r="BI115" s="17"/>
      <c r="BJ115" s="17"/>
      <c r="BK115" s="17"/>
      <c r="BL115" s="17"/>
      <c r="BM115" s="17"/>
      <c r="BN115" s="17"/>
      <c r="BO115" s="17"/>
      <c r="BP115" s="17"/>
      <c r="BQ115" s="17"/>
      <c r="BR115" s="17"/>
      <c r="BS115" s="17"/>
      <c r="BT115" s="17"/>
      <c r="BU115" s="17"/>
      <c r="BV115" s="17"/>
      <c r="BW115" s="17"/>
      <c r="BX115" s="17"/>
      <c r="BY115" s="17"/>
      <c r="BZ115" s="17"/>
    </row>
    <row r="116" spans="1:78">
      <c r="A116" s="19"/>
      <c r="B116" s="19"/>
      <c r="C116" s="19"/>
      <c r="D116" s="19"/>
      <c r="E116" s="122"/>
      <c r="F116" s="122"/>
      <c r="G116" s="122"/>
      <c r="H116" s="122"/>
      <c r="I116" s="124"/>
      <c r="J116" s="124"/>
      <c r="K116" s="124"/>
      <c r="L116" s="124"/>
      <c r="M116" s="124"/>
      <c r="N116" s="124"/>
      <c r="O116" s="124"/>
      <c r="P116" s="124"/>
      <c r="Q116" s="124"/>
      <c r="R116" s="124"/>
      <c r="S116" s="124"/>
      <c r="T116" s="124"/>
      <c r="U116" s="124"/>
      <c r="V116" s="124"/>
      <c r="W116" s="17"/>
      <c r="X116" s="17"/>
      <c r="Y116" s="17"/>
      <c r="Z116" s="17"/>
      <c r="AA116" s="17"/>
      <c r="AB116" s="17"/>
      <c r="AC116" s="17"/>
      <c r="AD116" s="17"/>
      <c r="AE116" s="17"/>
      <c r="AF116" s="17"/>
      <c r="AG116" s="17"/>
      <c r="AH116" s="17"/>
      <c r="AI116" s="17"/>
      <c r="AJ116" s="17"/>
      <c r="AK116" s="17"/>
      <c r="AL116" s="17"/>
      <c r="AM116" s="17"/>
      <c r="AN116" s="17"/>
      <c r="AO116" s="17"/>
      <c r="AP116" s="17"/>
      <c r="AQ116" s="17"/>
      <c r="AR116" s="17"/>
      <c r="AS116" s="17"/>
      <c r="AT116" s="17"/>
      <c r="AU116" s="17"/>
      <c r="AV116" s="17"/>
      <c r="AW116" s="17"/>
      <c r="AX116" s="17"/>
      <c r="AY116" s="17"/>
      <c r="AZ116" s="17"/>
      <c r="BA116" s="17"/>
      <c r="BB116" s="17"/>
      <c r="BC116" s="17"/>
      <c r="BD116" s="17"/>
      <c r="BE116" s="17"/>
      <c r="BF116" s="17"/>
      <c r="BG116" s="17"/>
      <c r="BH116" s="17"/>
      <c r="BI116" s="17"/>
      <c r="BJ116" s="17"/>
      <c r="BK116" s="17"/>
      <c r="BL116" s="17"/>
      <c r="BM116" s="17"/>
      <c r="BN116" s="17"/>
      <c r="BO116" s="17"/>
      <c r="BP116" s="17"/>
      <c r="BQ116" s="17"/>
      <c r="BR116" s="17"/>
      <c r="BS116" s="17"/>
      <c r="BT116" s="17"/>
      <c r="BU116" s="17"/>
      <c r="BV116" s="17"/>
      <c r="BW116" s="17"/>
      <c r="BX116" s="17"/>
      <c r="BY116" s="17"/>
      <c r="BZ116" s="17"/>
    </row>
    <row r="117" spans="1:78">
      <c r="A117" s="19"/>
      <c r="B117" s="19"/>
      <c r="C117" s="19"/>
      <c r="D117" s="19"/>
      <c r="E117" s="122"/>
      <c r="F117" s="122"/>
      <c r="G117" s="122"/>
      <c r="H117" s="122"/>
      <c r="I117" s="124"/>
      <c r="J117" s="124"/>
      <c r="K117" s="124"/>
      <c r="L117" s="124"/>
      <c r="M117" s="124"/>
      <c r="N117" s="124"/>
      <c r="O117" s="124"/>
      <c r="P117" s="124"/>
      <c r="Q117" s="124"/>
      <c r="R117" s="124"/>
      <c r="S117" s="124"/>
      <c r="T117" s="124"/>
      <c r="U117" s="124"/>
      <c r="V117" s="124"/>
      <c r="W117" s="17"/>
      <c r="X117" s="17"/>
      <c r="Y117" s="17"/>
      <c r="Z117" s="17"/>
      <c r="AA117" s="17"/>
      <c r="AB117" s="17"/>
      <c r="AC117" s="17"/>
      <c r="AD117" s="17"/>
      <c r="AE117" s="17"/>
      <c r="AF117" s="17"/>
      <c r="AG117" s="17"/>
      <c r="AH117" s="17"/>
      <c r="AI117" s="17"/>
      <c r="AJ117" s="17"/>
      <c r="AK117" s="17"/>
      <c r="AL117" s="17"/>
      <c r="AM117" s="17"/>
      <c r="AN117" s="17"/>
      <c r="AO117" s="17"/>
      <c r="AP117" s="17"/>
      <c r="AQ117" s="17"/>
      <c r="AR117" s="17"/>
      <c r="AS117" s="17"/>
      <c r="AT117" s="17"/>
      <c r="AU117" s="17"/>
      <c r="AV117" s="17"/>
      <c r="AW117" s="17"/>
      <c r="AX117" s="17"/>
      <c r="AY117" s="17"/>
      <c r="AZ117" s="17"/>
      <c r="BA117" s="17"/>
      <c r="BB117" s="17"/>
      <c r="BC117" s="17"/>
      <c r="BD117" s="17"/>
      <c r="BE117" s="17"/>
      <c r="BF117" s="17"/>
      <c r="BG117" s="17"/>
      <c r="BH117" s="17"/>
      <c r="BI117" s="17"/>
      <c r="BJ117" s="17"/>
      <c r="BK117" s="17"/>
      <c r="BL117" s="17"/>
      <c r="BM117" s="17"/>
      <c r="BN117" s="17"/>
      <c r="BO117" s="17"/>
      <c r="BP117" s="17"/>
      <c r="BQ117" s="17"/>
      <c r="BR117" s="17"/>
      <c r="BS117" s="17"/>
      <c r="BT117" s="17"/>
      <c r="BU117" s="17"/>
      <c r="BV117" s="17"/>
      <c r="BW117" s="17"/>
      <c r="BX117" s="17"/>
      <c r="BY117" s="17"/>
      <c r="BZ117" s="17"/>
    </row>
    <row r="118" spans="1:78">
      <c r="A118" s="19"/>
      <c r="B118" s="19"/>
      <c r="C118" s="19"/>
      <c r="D118" s="19"/>
      <c r="E118" s="122"/>
      <c r="F118" s="122"/>
      <c r="G118" s="122"/>
      <c r="H118" s="122"/>
      <c r="I118" s="124"/>
      <c r="J118" s="124"/>
      <c r="K118" s="124"/>
      <c r="L118" s="124"/>
      <c r="M118" s="124"/>
      <c r="N118" s="124"/>
      <c r="O118" s="124"/>
      <c r="P118" s="124"/>
      <c r="Q118" s="124"/>
      <c r="R118" s="124"/>
      <c r="S118" s="124"/>
      <c r="T118" s="124"/>
      <c r="U118" s="124"/>
      <c r="V118" s="124"/>
      <c r="W118" s="17"/>
      <c r="X118" s="17"/>
      <c r="Y118" s="17"/>
      <c r="Z118" s="17"/>
      <c r="AA118" s="17"/>
      <c r="AB118" s="17"/>
      <c r="AC118" s="17"/>
      <c r="AD118" s="17"/>
      <c r="AE118" s="17"/>
      <c r="AF118" s="17"/>
      <c r="AG118" s="17"/>
      <c r="AH118" s="17"/>
      <c r="AI118" s="17"/>
      <c r="AJ118" s="17"/>
      <c r="AK118" s="17"/>
      <c r="AL118" s="17"/>
      <c r="AM118" s="17"/>
      <c r="AN118" s="17"/>
      <c r="AO118" s="17"/>
      <c r="AP118" s="17"/>
      <c r="AQ118" s="17"/>
      <c r="AR118" s="17"/>
      <c r="AS118" s="17"/>
      <c r="AT118" s="17"/>
      <c r="AU118" s="17"/>
      <c r="AV118" s="17"/>
      <c r="AW118" s="17"/>
      <c r="AX118" s="17"/>
      <c r="AY118" s="17"/>
      <c r="AZ118" s="17"/>
      <c r="BA118" s="17"/>
      <c r="BB118" s="17"/>
      <c r="BC118" s="17"/>
      <c r="BD118" s="17"/>
      <c r="BE118" s="17"/>
      <c r="BF118" s="17"/>
      <c r="BG118" s="17"/>
      <c r="BH118" s="17"/>
      <c r="BI118" s="17"/>
      <c r="BJ118" s="17"/>
      <c r="BK118" s="17"/>
      <c r="BL118" s="17"/>
      <c r="BM118" s="17"/>
      <c r="BN118" s="17"/>
      <c r="BO118" s="17"/>
      <c r="BP118" s="17"/>
      <c r="BQ118" s="17"/>
      <c r="BR118" s="17"/>
      <c r="BS118" s="17"/>
      <c r="BT118" s="17"/>
      <c r="BU118" s="17"/>
      <c r="BV118" s="17"/>
      <c r="BW118" s="17"/>
      <c r="BX118" s="17"/>
      <c r="BY118" s="17"/>
      <c r="BZ118" s="17"/>
    </row>
    <row r="119" spans="1:78">
      <c r="A119" s="19"/>
      <c r="B119" s="19"/>
      <c r="C119" s="19"/>
      <c r="D119" s="19"/>
      <c r="E119" s="122"/>
      <c r="F119" s="122"/>
      <c r="G119" s="122"/>
      <c r="H119" s="122"/>
      <c r="I119" s="124"/>
      <c r="J119" s="124"/>
      <c r="K119" s="124"/>
      <c r="L119" s="124"/>
      <c r="M119" s="124"/>
      <c r="N119" s="124"/>
      <c r="O119" s="124"/>
      <c r="P119" s="124"/>
      <c r="Q119" s="124"/>
      <c r="R119" s="124"/>
      <c r="S119" s="124"/>
      <c r="T119" s="124"/>
      <c r="U119" s="124"/>
      <c r="V119" s="124"/>
      <c r="W119" s="17"/>
      <c r="X119" s="17"/>
      <c r="Y119" s="17"/>
      <c r="Z119" s="17"/>
      <c r="AA119" s="17"/>
      <c r="AB119" s="17"/>
      <c r="AC119" s="17"/>
      <c r="AD119" s="17"/>
      <c r="AE119" s="17"/>
      <c r="AF119" s="17"/>
      <c r="AG119" s="17"/>
      <c r="AH119" s="17"/>
      <c r="AI119" s="17"/>
      <c r="AJ119" s="17"/>
      <c r="AK119" s="17"/>
      <c r="AL119" s="17"/>
      <c r="AM119" s="17"/>
      <c r="AN119" s="17"/>
      <c r="AO119" s="17"/>
      <c r="AP119" s="17"/>
      <c r="AQ119" s="17"/>
      <c r="AR119" s="17"/>
      <c r="AS119" s="17"/>
      <c r="AT119" s="17"/>
      <c r="AU119" s="17"/>
      <c r="AV119" s="17"/>
      <c r="AW119" s="17"/>
      <c r="AX119" s="17"/>
      <c r="AY119" s="17"/>
      <c r="AZ119" s="17"/>
      <c r="BA119" s="17"/>
      <c r="BB119" s="17"/>
      <c r="BC119" s="17"/>
      <c r="BD119" s="17"/>
      <c r="BE119" s="17"/>
      <c r="BF119" s="17"/>
      <c r="BG119" s="17"/>
      <c r="BH119" s="17"/>
      <c r="BI119" s="17"/>
      <c r="BJ119" s="17"/>
      <c r="BK119" s="17"/>
      <c r="BL119" s="17"/>
      <c r="BM119" s="17"/>
      <c r="BN119" s="17"/>
      <c r="BO119" s="17"/>
      <c r="BP119" s="17"/>
      <c r="BQ119" s="17"/>
      <c r="BR119" s="17"/>
      <c r="BS119" s="17"/>
      <c r="BT119" s="17"/>
      <c r="BU119" s="17"/>
      <c r="BV119" s="17"/>
      <c r="BW119" s="17"/>
      <c r="BX119" s="17"/>
      <c r="BY119" s="17"/>
      <c r="BZ119" s="17"/>
    </row>
    <row r="120" spans="1:78">
      <c r="A120" s="19"/>
      <c r="B120" s="19"/>
      <c r="C120" s="19"/>
      <c r="D120" s="19"/>
      <c r="E120" s="122"/>
      <c r="F120" s="122"/>
      <c r="G120" s="122"/>
      <c r="H120" s="122"/>
      <c r="I120" s="124"/>
      <c r="J120" s="124"/>
      <c r="K120" s="124"/>
      <c r="L120" s="124"/>
      <c r="M120" s="124"/>
      <c r="N120" s="124"/>
      <c r="O120" s="124"/>
      <c r="P120" s="124"/>
      <c r="Q120" s="124"/>
      <c r="R120" s="124"/>
      <c r="S120" s="124"/>
      <c r="T120" s="124"/>
      <c r="U120" s="124"/>
      <c r="V120" s="124"/>
      <c r="W120" s="17"/>
      <c r="X120" s="17"/>
      <c r="Y120" s="17"/>
      <c r="Z120" s="17"/>
      <c r="AA120" s="17"/>
      <c r="AB120" s="17"/>
      <c r="AC120" s="17"/>
      <c r="AD120" s="17"/>
      <c r="AE120" s="17"/>
      <c r="AF120" s="17"/>
      <c r="AG120" s="17"/>
      <c r="AH120" s="17"/>
      <c r="AI120" s="17"/>
      <c r="AJ120" s="17"/>
      <c r="AK120" s="17"/>
      <c r="AL120" s="17"/>
      <c r="AM120" s="17"/>
      <c r="AN120" s="17"/>
      <c r="AO120" s="17"/>
      <c r="AP120" s="17"/>
      <c r="AQ120" s="17"/>
      <c r="AR120" s="17"/>
      <c r="AS120" s="17"/>
      <c r="AT120" s="17"/>
      <c r="AU120" s="17"/>
      <c r="AV120" s="17"/>
      <c r="AW120" s="17"/>
      <c r="AX120" s="17"/>
      <c r="AY120" s="17"/>
      <c r="AZ120" s="17"/>
      <c r="BA120" s="17"/>
      <c r="BB120" s="17"/>
      <c r="BC120" s="17"/>
      <c r="BD120" s="17"/>
      <c r="BE120" s="17"/>
      <c r="BF120" s="17"/>
      <c r="BG120" s="17"/>
      <c r="BH120" s="17"/>
      <c r="BI120" s="17"/>
      <c r="BJ120" s="17"/>
      <c r="BK120" s="17"/>
      <c r="BL120" s="17"/>
      <c r="BM120" s="17"/>
      <c r="BN120" s="17"/>
      <c r="BO120" s="17"/>
      <c r="BP120" s="17"/>
      <c r="BQ120" s="17"/>
      <c r="BR120" s="17"/>
      <c r="BS120" s="17"/>
      <c r="BT120" s="17"/>
      <c r="BU120" s="17"/>
      <c r="BV120" s="17"/>
      <c r="BW120" s="17"/>
      <c r="BX120" s="17"/>
      <c r="BY120" s="17"/>
      <c r="BZ120" s="17"/>
    </row>
    <row r="121" spans="1:78">
      <c r="A121" s="19"/>
      <c r="B121" s="19"/>
      <c r="C121" s="19"/>
      <c r="D121" s="19"/>
      <c r="E121" s="122"/>
      <c r="F121" s="122"/>
      <c r="G121" s="122"/>
      <c r="H121" s="122"/>
      <c r="I121" s="124"/>
      <c r="J121" s="124"/>
      <c r="K121" s="124"/>
      <c r="L121" s="124"/>
      <c r="M121" s="124"/>
      <c r="N121" s="124"/>
      <c r="O121" s="124"/>
      <c r="P121" s="124"/>
      <c r="Q121" s="124"/>
      <c r="R121" s="124"/>
      <c r="S121" s="124"/>
      <c r="T121" s="124"/>
      <c r="U121" s="124"/>
      <c r="V121" s="124"/>
      <c r="W121" s="17"/>
      <c r="X121" s="17"/>
      <c r="Y121" s="17"/>
      <c r="Z121" s="17"/>
      <c r="AA121" s="17"/>
      <c r="AB121" s="17"/>
      <c r="AC121" s="17"/>
      <c r="AD121" s="17"/>
      <c r="AE121" s="17"/>
      <c r="AF121" s="17"/>
      <c r="AG121" s="17"/>
      <c r="AH121" s="17"/>
      <c r="AI121" s="17"/>
      <c r="AJ121" s="17"/>
      <c r="AK121" s="17"/>
      <c r="AL121" s="17"/>
      <c r="AM121" s="17"/>
      <c r="AN121" s="17"/>
      <c r="AO121" s="17"/>
      <c r="AP121" s="17"/>
      <c r="AQ121" s="17"/>
      <c r="AR121" s="17"/>
      <c r="AS121" s="17"/>
      <c r="AT121" s="17"/>
      <c r="AU121" s="17"/>
      <c r="AV121" s="17"/>
      <c r="AW121" s="17"/>
      <c r="AX121" s="17"/>
      <c r="AY121" s="17"/>
      <c r="AZ121" s="17"/>
      <c r="BA121" s="17"/>
      <c r="BB121" s="17"/>
      <c r="BC121" s="17"/>
      <c r="BD121" s="17"/>
      <c r="BE121" s="17"/>
      <c r="BF121" s="17"/>
      <c r="BG121" s="17"/>
      <c r="BH121" s="17"/>
      <c r="BI121" s="17"/>
      <c r="BJ121" s="17"/>
      <c r="BK121" s="17"/>
      <c r="BL121" s="17"/>
      <c r="BM121" s="17"/>
      <c r="BN121" s="17"/>
      <c r="BO121" s="17"/>
      <c r="BP121" s="17"/>
      <c r="BQ121" s="17"/>
      <c r="BR121" s="17"/>
      <c r="BS121" s="17"/>
      <c r="BT121" s="17"/>
      <c r="BU121" s="17"/>
      <c r="BV121" s="17"/>
      <c r="BW121" s="17"/>
      <c r="BX121" s="17"/>
      <c r="BY121" s="17"/>
      <c r="BZ121" s="17"/>
    </row>
    <row r="122" spans="1:78">
      <c r="A122" s="19"/>
      <c r="B122" s="19"/>
      <c r="C122" s="19"/>
      <c r="D122" s="19"/>
      <c r="E122" s="122"/>
      <c r="F122" s="122"/>
      <c r="G122" s="122"/>
      <c r="H122" s="122"/>
      <c r="I122" s="124"/>
      <c r="J122" s="124"/>
      <c r="K122" s="124"/>
      <c r="L122" s="124"/>
      <c r="M122" s="124"/>
      <c r="N122" s="124"/>
      <c r="O122" s="124"/>
      <c r="P122" s="124"/>
      <c r="Q122" s="124"/>
      <c r="R122" s="124"/>
      <c r="S122" s="124"/>
      <c r="T122" s="124"/>
      <c r="U122" s="124"/>
      <c r="V122" s="124"/>
      <c r="W122" s="17"/>
      <c r="X122" s="17"/>
      <c r="Y122" s="17"/>
      <c r="Z122" s="17"/>
      <c r="AA122" s="17"/>
      <c r="AB122" s="17"/>
      <c r="AC122" s="17"/>
      <c r="AD122" s="17"/>
      <c r="AE122" s="17"/>
      <c r="AF122" s="17"/>
      <c r="AG122" s="17"/>
      <c r="AH122" s="17"/>
      <c r="AI122" s="17"/>
      <c r="AJ122" s="17"/>
      <c r="AK122" s="17"/>
      <c r="AL122" s="17"/>
      <c r="AM122" s="17"/>
      <c r="AN122" s="17"/>
      <c r="AO122" s="17"/>
      <c r="AP122" s="17"/>
      <c r="AQ122" s="17"/>
      <c r="AR122" s="17"/>
      <c r="AS122" s="17"/>
      <c r="AT122" s="17"/>
      <c r="AU122" s="17"/>
      <c r="AV122" s="17"/>
      <c r="AW122" s="17"/>
      <c r="AX122" s="17"/>
      <c r="AY122" s="17"/>
      <c r="AZ122" s="17"/>
      <c r="BA122" s="17"/>
      <c r="BB122" s="17"/>
      <c r="BC122" s="17"/>
      <c r="BD122" s="17"/>
      <c r="BE122" s="17"/>
      <c r="BF122" s="17"/>
      <c r="BG122" s="17"/>
      <c r="BH122" s="17"/>
      <c r="BI122" s="17"/>
      <c r="BJ122" s="17"/>
      <c r="BK122" s="17"/>
      <c r="BL122" s="17"/>
      <c r="BM122" s="17"/>
      <c r="BN122" s="17"/>
      <c r="BO122" s="17"/>
      <c r="BP122" s="17"/>
      <c r="BQ122" s="17"/>
      <c r="BR122" s="17"/>
      <c r="BS122" s="17"/>
      <c r="BT122" s="17"/>
      <c r="BU122" s="17"/>
      <c r="BV122" s="17"/>
      <c r="BW122" s="17"/>
      <c r="BX122" s="17"/>
      <c r="BY122" s="17"/>
      <c r="BZ122" s="17"/>
    </row>
    <row r="123" spans="1:78">
      <c r="A123" s="19"/>
      <c r="B123" s="19"/>
      <c r="C123" s="19"/>
      <c r="D123" s="19"/>
      <c r="E123" s="122"/>
      <c r="F123" s="122"/>
      <c r="G123" s="122"/>
      <c r="H123" s="122"/>
      <c r="I123" s="124"/>
      <c r="J123" s="124"/>
      <c r="K123" s="124"/>
      <c r="L123" s="124"/>
      <c r="M123" s="124"/>
      <c r="N123" s="124"/>
      <c r="O123" s="124"/>
      <c r="P123" s="124"/>
      <c r="Q123" s="124"/>
      <c r="R123" s="124"/>
      <c r="S123" s="124"/>
      <c r="T123" s="124"/>
      <c r="U123" s="124"/>
      <c r="V123" s="124"/>
      <c r="W123" s="17"/>
      <c r="X123" s="17"/>
      <c r="Y123" s="17"/>
      <c r="Z123" s="17"/>
      <c r="AA123" s="17"/>
      <c r="AB123" s="17"/>
      <c r="AC123" s="17"/>
      <c r="AD123" s="17"/>
      <c r="AE123" s="17"/>
      <c r="AF123" s="17"/>
      <c r="AG123" s="17"/>
      <c r="AH123" s="17"/>
      <c r="AI123" s="17"/>
      <c r="AJ123" s="17"/>
      <c r="AK123" s="17"/>
      <c r="AL123" s="17"/>
      <c r="AM123" s="17"/>
      <c r="AN123" s="17"/>
      <c r="AO123" s="17"/>
      <c r="AP123" s="17"/>
      <c r="AQ123" s="17"/>
      <c r="AR123" s="17"/>
      <c r="AS123" s="17"/>
      <c r="AT123" s="17"/>
      <c r="AU123" s="17"/>
      <c r="AV123" s="17"/>
      <c r="AW123" s="17"/>
      <c r="AX123" s="17"/>
      <c r="AY123" s="17"/>
      <c r="AZ123" s="17"/>
      <c r="BA123" s="17"/>
      <c r="BB123" s="17"/>
      <c r="BC123" s="17"/>
      <c r="BD123" s="17"/>
      <c r="BE123" s="17"/>
      <c r="BF123" s="17"/>
      <c r="BG123" s="17"/>
      <c r="BH123" s="17"/>
      <c r="BI123" s="17"/>
      <c r="BJ123" s="17"/>
      <c r="BK123" s="17"/>
      <c r="BL123" s="17"/>
      <c r="BM123" s="17"/>
      <c r="BN123" s="17"/>
      <c r="BO123" s="17"/>
      <c r="BP123" s="17"/>
      <c r="BQ123" s="17"/>
      <c r="BR123" s="17"/>
      <c r="BS123" s="17"/>
      <c r="BT123" s="17"/>
      <c r="BU123" s="17"/>
      <c r="BV123" s="17"/>
      <c r="BW123" s="17"/>
      <c r="BX123" s="17"/>
      <c r="BY123" s="17"/>
      <c r="BZ123" s="17"/>
    </row>
    <row r="124" spans="1:78">
      <c r="A124" s="19"/>
      <c r="B124" s="19"/>
      <c r="C124" s="19"/>
      <c r="D124" s="19"/>
      <c r="E124" s="122"/>
      <c r="F124" s="122"/>
      <c r="G124" s="122"/>
      <c r="H124" s="122"/>
      <c r="I124" s="124"/>
      <c r="J124" s="124"/>
      <c r="K124" s="124"/>
      <c r="L124" s="124"/>
      <c r="M124" s="124"/>
      <c r="N124" s="124"/>
      <c r="O124" s="124"/>
      <c r="P124" s="124"/>
      <c r="Q124" s="124"/>
      <c r="R124" s="124"/>
      <c r="S124" s="124"/>
      <c r="T124" s="124"/>
      <c r="U124" s="124"/>
      <c r="V124" s="124"/>
      <c r="W124" s="17"/>
      <c r="X124" s="17"/>
      <c r="Y124" s="17"/>
      <c r="Z124" s="17"/>
      <c r="AA124" s="17"/>
      <c r="AB124" s="17"/>
      <c r="AC124" s="17"/>
      <c r="AD124" s="17"/>
      <c r="AE124" s="17"/>
      <c r="AF124" s="17"/>
      <c r="AG124" s="17"/>
      <c r="AH124" s="17"/>
      <c r="AI124" s="17"/>
      <c r="AJ124" s="17"/>
      <c r="AK124" s="17"/>
      <c r="AL124" s="17"/>
      <c r="AM124" s="17"/>
      <c r="AN124" s="17"/>
      <c r="AO124" s="17"/>
      <c r="AP124" s="17"/>
      <c r="AQ124" s="17"/>
      <c r="AR124" s="17"/>
      <c r="AS124" s="17"/>
      <c r="AT124" s="17"/>
      <c r="AU124" s="17"/>
      <c r="AV124" s="17"/>
      <c r="AW124" s="17"/>
      <c r="AX124" s="17"/>
      <c r="AY124" s="17"/>
      <c r="AZ124" s="17"/>
      <c r="BA124" s="17"/>
      <c r="BB124" s="17"/>
      <c r="BC124" s="17"/>
      <c r="BD124" s="17"/>
      <c r="BE124" s="17"/>
      <c r="BF124" s="17"/>
      <c r="BG124" s="17"/>
      <c r="BH124" s="17"/>
      <c r="BI124" s="17"/>
      <c r="BJ124" s="17"/>
      <c r="BK124" s="17"/>
      <c r="BL124" s="17"/>
      <c r="BM124" s="17"/>
      <c r="BN124" s="17"/>
      <c r="BO124" s="17"/>
      <c r="BP124" s="17"/>
      <c r="BQ124" s="17"/>
      <c r="BR124" s="17"/>
      <c r="BS124" s="17"/>
      <c r="BT124" s="17"/>
      <c r="BU124" s="17"/>
      <c r="BV124" s="17"/>
      <c r="BW124" s="17"/>
      <c r="BX124" s="17"/>
      <c r="BY124" s="17"/>
      <c r="BZ124" s="17"/>
    </row>
    <row r="125" spans="1:78">
      <c r="A125" s="19"/>
      <c r="B125" s="19"/>
      <c r="C125" s="19"/>
      <c r="D125" s="19"/>
      <c r="E125" s="122"/>
      <c r="F125" s="122"/>
      <c r="G125" s="122"/>
      <c r="H125" s="122"/>
      <c r="I125" s="124"/>
      <c r="J125" s="124"/>
      <c r="K125" s="124"/>
      <c r="L125" s="124"/>
      <c r="M125" s="124"/>
      <c r="N125" s="124"/>
      <c r="O125" s="124"/>
      <c r="P125" s="124"/>
      <c r="Q125" s="124"/>
      <c r="R125" s="124"/>
      <c r="S125" s="124"/>
      <c r="T125" s="124"/>
      <c r="U125" s="124"/>
      <c r="V125" s="124"/>
      <c r="W125" s="17"/>
      <c r="X125" s="17"/>
      <c r="Y125" s="17"/>
      <c r="Z125" s="17"/>
      <c r="AA125" s="17"/>
      <c r="AB125" s="17"/>
      <c r="AC125" s="17"/>
      <c r="AD125" s="17"/>
      <c r="AE125" s="17"/>
      <c r="AF125" s="17"/>
      <c r="AG125" s="17"/>
      <c r="AH125" s="17"/>
      <c r="AI125" s="17"/>
      <c r="AJ125" s="17"/>
      <c r="AK125" s="17"/>
      <c r="AL125" s="17"/>
      <c r="AM125" s="17"/>
      <c r="AN125" s="17"/>
      <c r="AO125" s="17"/>
      <c r="AP125" s="17"/>
      <c r="AQ125" s="17"/>
      <c r="AR125" s="17"/>
      <c r="AS125" s="17"/>
      <c r="AT125" s="17"/>
      <c r="AU125" s="17"/>
      <c r="AV125" s="17"/>
      <c r="AW125" s="17"/>
      <c r="AX125" s="17"/>
      <c r="AY125" s="17"/>
      <c r="AZ125" s="17"/>
      <c r="BA125" s="17"/>
      <c r="BB125" s="17"/>
      <c r="BC125" s="17"/>
      <c r="BD125" s="17"/>
      <c r="BE125" s="17"/>
      <c r="BF125" s="17"/>
      <c r="BG125" s="17"/>
      <c r="BH125" s="17"/>
      <c r="BI125" s="17"/>
      <c r="BJ125" s="17"/>
      <c r="BK125" s="17"/>
      <c r="BL125" s="17"/>
      <c r="BM125" s="17"/>
      <c r="BN125" s="17"/>
      <c r="BO125" s="17"/>
      <c r="BP125" s="17"/>
      <c r="BQ125" s="17"/>
      <c r="BR125" s="17"/>
      <c r="BS125" s="17"/>
      <c r="BT125" s="17"/>
      <c r="BU125" s="17"/>
      <c r="BV125" s="17"/>
      <c r="BW125" s="17"/>
      <c r="BX125" s="17"/>
      <c r="BY125" s="17"/>
      <c r="BZ125" s="17"/>
    </row>
    <row r="126" spans="1:78">
      <c r="A126" s="19"/>
      <c r="B126" s="19"/>
      <c r="C126" s="19"/>
      <c r="D126" s="19"/>
      <c r="E126" s="122"/>
      <c r="F126" s="122"/>
      <c r="G126" s="122"/>
      <c r="H126" s="122"/>
      <c r="I126" s="124"/>
      <c r="J126" s="124"/>
      <c r="K126" s="124"/>
      <c r="L126" s="124"/>
      <c r="M126" s="124"/>
      <c r="N126" s="124"/>
      <c r="O126" s="124"/>
      <c r="P126" s="124"/>
      <c r="Q126" s="124"/>
      <c r="R126" s="124"/>
      <c r="S126" s="124"/>
      <c r="T126" s="124"/>
      <c r="U126" s="124"/>
      <c r="V126" s="124"/>
      <c r="W126" s="17"/>
      <c r="X126" s="17"/>
      <c r="Y126" s="17"/>
      <c r="Z126" s="17"/>
      <c r="AA126" s="17"/>
      <c r="AB126" s="17"/>
      <c r="AC126" s="17"/>
      <c r="AD126" s="17"/>
      <c r="AE126" s="17"/>
      <c r="AF126" s="17"/>
      <c r="AG126" s="17"/>
      <c r="AH126" s="17"/>
      <c r="AI126" s="17"/>
      <c r="AJ126" s="17"/>
      <c r="AK126" s="17"/>
      <c r="AL126" s="17"/>
      <c r="AM126" s="17"/>
      <c r="AN126" s="17"/>
      <c r="AO126" s="17"/>
      <c r="AP126" s="17"/>
      <c r="AQ126" s="17"/>
      <c r="AR126" s="17"/>
      <c r="AS126" s="17"/>
      <c r="AT126" s="17"/>
      <c r="AU126" s="17"/>
      <c r="AV126" s="17"/>
      <c r="AW126" s="17"/>
      <c r="AX126" s="17"/>
      <c r="AY126" s="17"/>
      <c r="AZ126" s="17"/>
      <c r="BA126" s="17"/>
      <c r="BB126" s="17"/>
      <c r="BC126" s="17"/>
      <c r="BD126" s="17"/>
      <c r="BE126" s="17"/>
      <c r="BF126" s="17"/>
      <c r="BG126" s="17"/>
      <c r="BH126" s="17"/>
      <c r="BI126" s="17"/>
      <c r="BJ126" s="17"/>
      <c r="BK126" s="17"/>
      <c r="BL126" s="17"/>
      <c r="BM126" s="17"/>
      <c r="BN126" s="17"/>
      <c r="BO126" s="17"/>
      <c r="BP126" s="17"/>
      <c r="BQ126" s="17"/>
      <c r="BR126" s="17"/>
      <c r="BS126" s="17"/>
      <c r="BT126" s="17"/>
      <c r="BU126" s="17"/>
      <c r="BV126" s="17"/>
      <c r="BW126" s="17"/>
      <c r="BX126" s="17"/>
      <c r="BY126" s="17"/>
      <c r="BZ126" s="17"/>
    </row>
    <row r="127" spans="1:78">
      <c r="A127" s="19"/>
      <c r="B127" s="19"/>
      <c r="C127" s="19"/>
      <c r="D127" s="19"/>
      <c r="E127" s="122"/>
      <c r="F127" s="122"/>
      <c r="G127" s="122"/>
      <c r="H127" s="122"/>
      <c r="I127" s="124"/>
      <c r="J127" s="124"/>
      <c r="K127" s="124"/>
      <c r="L127" s="124"/>
      <c r="M127" s="124"/>
      <c r="N127" s="124"/>
      <c r="O127" s="124"/>
      <c r="P127" s="124"/>
      <c r="Q127" s="124"/>
      <c r="R127" s="124"/>
      <c r="S127" s="124"/>
      <c r="T127" s="124"/>
      <c r="U127" s="124"/>
      <c r="V127" s="124"/>
      <c r="W127" s="17"/>
      <c r="X127" s="17"/>
      <c r="Y127" s="17"/>
      <c r="Z127" s="17"/>
      <c r="AA127" s="17"/>
      <c r="AB127" s="17"/>
      <c r="AC127" s="17"/>
      <c r="AD127" s="17"/>
      <c r="AE127" s="17"/>
      <c r="AF127" s="17"/>
      <c r="AG127" s="17"/>
      <c r="AH127" s="17"/>
      <c r="AI127" s="17"/>
      <c r="AJ127" s="17"/>
      <c r="AK127" s="17"/>
      <c r="AL127" s="17"/>
      <c r="AM127" s="17"/>
      <c r="AN127" s="17"/>
      <c r="AO127" s="17"/>
      <c r="AP127" s="17"/>
      <c r="AQ127" s="17"/>
      <c r="AR127" s="17"/>
      <c r="AS127" s="17"/>
      <c r="AT127" s="17"/>
      <c r="AU127" s="17"/>
      <c r="AV127" s="17"/>
      <c r="AW127" s="17"/>
      <c r="AX127" s="17"/>
      <c r="AY127" s="17"/>
      <c r="AZ127" s="17"/>
      <c r="BA127" s="17"/>
      <c r="BB127" s="17"/>
      <c r="BC127" s="17"/>
      <c r="BD127" s="17"/>
      <c r="BE127" s="17"/>
      <c r="BF127" s="17"/>
      <c r="BG127" s="17"/>
      <c r="BH127" s="17"/>
      <c r="BI127" s="17"/>
      <c r="BJ127" s="17"/>
      <c r="BK127" s="17"/>
      <c r="BL127" s="17"/>
      <c r="BM127" s="17"/>
      <c r="BN127" s="17"/>
      <c r="BO127" s="17"/>
      <c r="BP127" s="17"/>
      <c r="BQ127" s="17"/>
      <c r="BR127" s="17"/>
      <c r="BS127" s="17"/>
      <c r="BT127" s="17"/>
      <c r="BU127" s="17"/>
      <c r="BV127" s="17"/>
      <c r="BW127" s="17"/>
      <c r="BX127" s="17"/>
      <c r="BY127" s="17"/>
      <c r="BZ127" s="17"/>
    </row>
    <row r="128" spans="1:78">
      <c r="A128" s="19"/>
      <c r="B128" s="19"/>
      <c r="C128" s="19"/>
      <c r="D128" s="19"/>
      <c r="E128" s="122"/>
      <c r="F128" s="122"/>
      <c r="G128" s="122"/>
      <c r="H128" s="122"/>
      <c r="I128" s="124"/>
      <c r="J128" s="124"/>
      <c r="K128" s="124"/>
      <c r="L128" s="124"/>
      <c r="M128" s="124"/>
      <c r="N128" s="124"/>
      <c r="O128" s="124"/>
      <c r="P128" s="124"/>
      <c r="Q128" s="124"/>
      <c r="R128" s="124"/>
      <c r="S128" s="124"/>
      <c r="T128" s="124"/>
      <c r="U128" s="124"/>
      <c r="V128" s="124"/>
      <c r="W128" s="17"/>
      <c r="X128" s="17"/>
      <c r="Y128" s="17"/>
      <c r="Z128" s="17"/>
      <c r="AA128" s="17"/>
      <c r="AB128" s="17"/>
      <c r="AC128" s="17"/>
      <c r="AD128" s="17"/>
      <c r="AE128" s="17"/>
      <c r="AF128" s="17"/>
      <c r="AG128" s="17"/>
      <c r="AH128" s="17"/>
      <c r="AI128" s="17"/>
      <c r="AJ128" s="17"/>
      <c r="AK128" s="17"/>
      <c r="AL128" s="17"/>
      <c r="AM128" s="17"/>
      <c r="AN128" s="17"/>
      <c r="AO128" s="17"/>
      <c r="AP128" s="17"/>
      <c r="AQ128" s="17"/>
      <c r="AR128" s="17"/>
      <c r="AS128" s="17"/>
      <c r="AT128" s="17"/>
      <c r="AU128" s="17"/>
      <c r="AV128" s="17"/>
      <c r="AW128" s="17"/>
      <c r="AX128" s="17"/>
      <c r="AY128" s="17"/>
      <c r="AZ128" s="17"/>
      <c r="BA128" s="17"/>
      <c r="BB128" s="17"/>
      <c r="BC128" s="17"/>
      <c r="BD128" s="17"/>
      <c r="BE128" s="17"/>
      <c r="BF128" s="17"/>
      <c r="BG128" s="17"/>
      <c r="BH128" s="17"/>
      <c r="BI128" s="17"/>
      <c r="BJ128" s="17"/>
      <c r="BK128" s="17"/>
      <c r="BL128" s="17"/>
      <c r="BM128" s="17"/>
      <c r="BN128" s="17"/>
      <c r="BO128" s="17"/>
      <c r="BP128" s="17"/>
      <c r="BQ128" s="17"/>
      <c r="BR128" s="17"/>
      <c r="BS128" s="17"/>
      <c r="BT128" s="17"/>
      <c r="BU128" s="17"/>
      <c r="BV128" s="17"/>
      <c r="BW128" s="17"/>
      <c r="BX128" s="17"/>
      <c r="BY128" s="17"/>
      <c r="BZ128" s="17"/>
    </row>
    <row r="129" spans="1:78">
      <c r="A129" s="19"/>
      <c r="B129" s="19"/>
      <c r="C129" s="19"/>
      <c r="D129" s="19"/>
      <c r="E129" s="122"/>
      <c r="F129" s="122"/>
      <c r="G129" s="122"/>
      <c r="H129" s="122"/>
      <c r="I129" s="124"/>
      <c r="J129" s="124"/>
      <c r="K129" s="124"/>
      <c r="L129" s="124"/>
      <c r="M129" s="124"/>
      <c r="N129" s="124"/>
      <c r="O129" s="124"/>
      <c r="P129" s="124"/>
      <c r="Q129" s="124"/>
      <c r="R129" s="124"/>
      <c r="S129" s="124"/>
      <c r="T129" s="124"/>
      <c r="U129" s="124"/>
      <c r="V129" s="124"/>
      <c r="W129" s="17"/>
      <c r="X129" s="17"/>
      <c r="Y129" s="17"/>
      <c r="Z129" s="17"/>
      <c r="AA129" s="17"/>
      <c r="AB129" s="17"/>
      <c r="AC129" s="17"/>
      <c r="AD129" s="17"/>
      <c r="AE129" s="17"/>
      <c r="AF129" s="17"/>
      <c r="AG129" s="17"/>
      <c r="AH129" s="17"/>
      <c r="AI129" s="17"/>
      <c r="AJ129" s="17"/>
      <c r="AK129" s="17"/>
      <c r="AL129" s="17"/>
      <c r="AM129" s="17"/>
      <c r="AN129" s="17"/>
      <c r="AO129" s="17"/>
      <c r="AP129" s="17"/>
      <c r="AQ129" s="17"/>
      <c r="AR129" s="17"/>
      <c r="AS129" s="17"/>
      <c r="AT129" s="17"/>
      <c r="AU129" s="17"/>
      <c r="AV129" s="17"/>
      <c r="AW129" s="17"/>
      <c r="AX129" s="17"/>
      <c r="AY129" s="17"/>
      <c r="AZ129" s="17"/>
      <c r="BA129" s="17"/>
      <c r="BB129" s="17"/>
      <c r="BC129" s="17"/>
      <c r="BD129" s="17"/>
      <c r="BE129" s="17"/>
      <c r="BF129" s="17"/>
      <c r="BG129" s="17"/>
      <c r="BH129" s="17"/>
      <c r="BI129" s="17"/>
      <c r="BJ129" s="17"/>
      <c r="BK129" s="17"/>
      <c r="BL129" s="17"/>
      <c r="BM129" s="17"/>
      <c r="BN129" s="17"/>
      <c r="BO129" s="17"/>
      <c r="BP129" s="17"/>
      <c r="BQ129" s="17"/>
      <c r="BR129" s="17"/>
      <c r="BS129" s="17"/>
      <c r="BT129" s="17"/>
      <c r="BU129" s="17"/>
      <c r="BV129" s="17"/>
      <c r="BW129" s="17"/>
      <c r="BX129" s="17"/>
      <c r="BY129" s="17"/>
      <c r="BZ129" s="17"/>
    </row>
    <row r="130" spans="1:78">
      <c r="A130" s="19"/>
      <c r="B130" s="19"/>
      <c r="C130" s="19"/>
      <c r="D130" s="19"/>
      <c r="E130" s="122"/>
      <c r="F130" s="122"/>
      <c r="G130" s="122"/>
      <c r="H130" s="122"/>
      <c r="I130" s="124"/>
      <c r="J130" s="124"/>
      <c r="K130" s="124"/>
      <c r="L130" s="124"/>
      <c r="M130" s="124"/>
      <c r="N130" s="124"/>
      <c r="O130" s="124"/>
      <c r="P130" s="124"/>
      <c r="Q130" s="124"/>
      <c r="R130" s="124"/>
      <c r="S130" s="124"/>
      <c r="T130" s="124"/>
      <c r="U130" s="124"/>
      <c r="V130" s="124"/>
      <c r="W130" s="17"/>
      <c r="X130" s="17"/>
      <c r="Y130" s="17"/>
      <c r="Z130" s="17"/>
      <c r="AA130" s="17"/>
      <c r="AB130" s="17"/>
      <c r="AC130" s="17"/>
      <c r="AD130" s="17"/>
      <c r="AE130" s="17"/>
      <c r="AF130" s="17"/>
      <c r="AG130" s="17"/>
      <c r="AH130" s="17"/>
      <c r="AI130" s="17"/>
      <c r="AJ130" s="17"/>
      <c r="AK130" s="17"/>
      <c r="AL130" s="17"/>
      <c r="AM130" s="17"/>
      <c r="AN130" s="17"/>
      <c r="AO130" s="17"/>
      <c r="AP130" s="17"/>
      <c r="AQ130" s="17"/>
      <c r="AR130" s="17"/>
      <c r="AS130" s="17"/>
      <c r="AT130" s="17"/>
      <c r="AU130" s="17"/>
      <c r="AV130" s="17"/>
      <c r="AW130" s="17"/>
      <c r="AX130" s="17"/>
      <c r="AY130" s="17"/>
      <c r="AZ130" s="17"/>
      <c r="BA130" s="17"/>
      <c r="BB130" s="17"/>
      <c r="BC130" s="17"/>
      <c r="BD130" s="17"/>
      <c r="BE130" s="17"/>
      <c r="BF130" s="17"/>
      <c r="BG130" s="17"/>
      <c r="BH130" s="17"/>
      <c r="BI130" s="17"/>
      <c r="BJ130" s="17"/>
      <c r="BK130" s="17"/>
      <c r="BL130" s="17"/>
      <c r="BM130" s="17"/>
      <c r="BN130" s="17"/>
      <c r="BO130" s="17"/>
      <c r="BP130" s="17"/>
      <c r="BQ130" s="17"/>
      <c r="BR130" s="17"/>
      <c r="BS130" s="17"/>
      <c r="BT130" s="17"/>
      <c r="BU130" s="17"/>
      <c r="BV130" s="17"/>
      <c r="BW130" s="17"/>
      <c r="BX130" s="17"/>
      <c r="BY130" s="17"/>
      <c r="BZ130" s="17"/>
    </row>
    <row r="131" spans="1:78">
      <c r="A131" s="19"/>
      <c r="B131" s="19"/>
      <c r="C131" s="19"/>
      <c r="D131" s="19"/>
      <c r="E131" s="122"/>
      <c r="F131" s="122"/>
      <c r="G131" s="122"/>
      <c r="H131" s="122"/>
      <c r="I131" s="124"/>
      <c r="J131" s="124"/>
      <c r="K131" s="124"/>
      <c r="L131" s="124"/>
      <c r="M131" s="124"/>
      <c r="N131" s="124"/>
      <c r="O131" s="124"/>
      <c r="P131" s="124"/>
      <c r="Q131" s="124"/>
      <c r="R131" s="124"/>
      <c r="S131" s="124"/>
      <c r="T131" s="124"/>
      <c r="U131" s="124"/>
      <c r="V131" s="124"/>
      <c r="W131" s="17"/>
      <c r="X131" s="17"/>
      <c r="Y131" s="17"/>
      <c r="Z131" s="17"/>
      <c r="AA131" s="17"/>
      <c r="AB131" s="17"/>
      <c r="AC131" s="17"/>
      <c r="AD131" s="17"/>
      <c r="AE131" s="17"/>
      <c r="AF131" s="17"/>
      <c r="AG131" s="17"/>
      <c r="AH131" s="17"/>
      <c r="AI131" s="17"/>
      <c r="AJ131" s="17"/>
      <c r="AK131" s="17"/>
      <c r="AL131" s="17"/>
      <c r="AM131" s="17"/>
      <c r="AN131" s="17"/>
      <c r="AO131" s="17"/>
      <c r="AP131" s="17"/>
      <c r="AQ131" s="17"/>
      <c r="AR131" s="17"/>
      <c r="AS131" s="17"/>
      <c r="AT131" s="17"/>
      <c r="AU131" s="17"/>
      <c r="AV131" s="17"/>
      <c r="AW131" s="17"/>
      <c r="AX131" s="17"/>
      <c r="AY131" s="17"/>
      <c r="AZ131" s="17"/>
      <c r="BA131" s="17"/>
      <c r="BB131" s="17"/>
      <c r="BC131" s="17"/>
      <c r="BD131" s="17"/>
      <c r="BE131" s="17"/>
      <c r="BF131" s="17"/>
      <c r="BG131" s="17"/>
      <c r="BH131" s="17"/>
      <c r="BI131" s="17"/>
      <c r="BJ131" s="17"/>
      <c r="BK131" s="17"/>
      <c r="BL131" s="17"/>
      <c r="BM131" s="17"/>
      <c r="BN131" s="17"/>
      <c r="BO131" s="17"/>
      <c r="BP131" s="17"/>
      <c r="BQ131" s="17"/>
      <c r="BR131" s="17"/>
      <c r="BS131" s="17"/>
      <c r="BT131" s="17"/>
      <c r="BU131" s="17"/>
      <c r="BV131" s="17"/>
      <c r="BW131" s="17"/>
      <c r="BX131" s="17"/>
      <c r="BY131" s="17"/>
      <c r="BZ131" s="17"/>
    </row>
    <row r="132" spans="1:78">
      <c r="A132" s="19"/>
      <c r="B132" s="19"/>
      <c r="C132" s="19"/>
      <c r="D132" s="19"/>
      <c r="E132" s="122"/>
      <c r="F132" s="122"/>
      <c r="G132" s="122"/>
      <c r="H132" s="122"/>
      <c r="I132" s="124"/>
      <c r="J132" s="124"/>
      <c r="K132" s="124"/>
      <c r="L132" s="124"/>
      <c r="M132" s="124"/>
      <c r="N132" s="124"/>
      <c r="O132" s="124"/>
      <c r="P132" s="124"/>
      <c r="Q132" s="124"/>
      <c r="R132" s="124"/>
      <c r="S132" s="124"/>
      <c r="T132" s="124"/>
      <c r="U132" s="124"/>
      <c r="V132" s="124"/>
      <c r="W132" s="17"/>
      <c r="X132" s="17"/>
      <c r="Y132" s="17"/>
      <c r="Z132" s="17"/>
      <c r="AA132" s="17"/>
      <c r="AB132" s="17"/>
      <c r="AC132" s="17"/>
      <c r="AD132" s="17"/>
      <c r="AE132" s="17"/>
      <c r="AF132" s="17"/>
      <c r="AG132" s="17"/>
      <c r="AH132" s="17"/>
      <c r="AI132" s="17"/>
      <c r="AJ132" s="17"/>
      <c r="AK132" s="17"/>
      <c r="AL132" s="17"/>
      <c r="AM132" s="17"/>
      <c r="AN132" s="17"/>
      <c r="AO132" s="17"/>
      <c r="AP132" s="17"/>
      <c r="AQ132" s="17"/>
      <c r="AR132" s="17"/>
      <c r="AS132" s="17"/>
      <c r="AT132" s="17"/>
      <c r="AU132" s="17"/>
      <c r="AV132" s="17"/>
      <c r="AW132" s="17"/>
      <c r="AX132" s="17"/>
      <c r="AY132" s="17"/>
      <c r="AZ132" s="17"/>
      <c r="BA132" s="17"/>
      <c r="BB132" s="17"/>
      <c r="BC132" s="17"/>
      <c r="BD132" s="17"/>
      <c r="BE132" s="17"/>
      <c r="BF132" s="17"/>
      <c r="BG132" s="17"/>
      <c r="BH132" s="17"/>
      <c r="BI132" s="17"/>
      <c r="BJ132" s="17"/>
      <c r="BK132" s="17"/>
      <c r="BL132" s="17"/>
      <c r="BM132" s="17"/>
      <c r="BN132" s="17"/>
      <c r="BO132" s="17"/>
      <c r="BP132" s="17"/>
      <c r="BQ132" s="17"/>
      <c r="BR132" s="17"/>
      <c r="BS132" s="17"/>
      <c r="BT132" s="17"/>
      <c r="BU132" s="17"/>
      <c r="BV132" s="17"/>
      <c r="BW132" s="17"/>
      <c r="BX132" s="17"/>
      <c r="BY132" s="17"/>
      <c r="BZ132" s="17"/>
    </row>
    <row r="133" spans="1:78">
      <c r="A133" s="19"/>
      <c r="B133" s="19"/>
      <c r="C133" s="19"/>
      <c r="D133" s="19"/>
      <c r="E133" s="122"/>
      <c r="F133" s="122"/>
      <c r="G133" s="122"/>
      <c r="H133" s="122"/>
      <c r="I133" s="124"/>
      <c r="J133" s="124"/>
      <c r="K133" s="124"/>
      <c r="L133" s="124"/>
      <c r="M133" s="124"/>
      <c r="N133" s="124"/>
      <c r="O133" s="124"/>
      <c r="P133" s="124"/>
      <c r="Q133" s="124"/>
      <c r="R133" s="124"/>
      <c r="S133" s="124"/>
      <c r="T133" s="124"/>
      <c r="U133" s="124"/>
      <c r="V133" s="124"/>
      <c r="W133" s="17"/>
      <c r="X133" s="17"/>
      <c r="Y133" s="17"/>
      <c r="Z133" s="17"/>
      <c r="AA133" s="17"/>
      <c r="AB133" s="17"/>
      <c r="AC133" s="17"/>
      <c r="AD133" s="17"/>
      <c r="AE133" s="17"/>
      <c r="AF133" s="17"/>
      <c r="AG133" s="17"/>
      <c r="AH133" s="17"/>
      <c r="AI133" s="17"/>
      <c r="AJ133" s="17"/>
      <c r="AK133" s="17"/>
      <c r="AL133" s="17"/>
      <c r="AM133" s="17"/>
      <c r="AN133" s="17"/>
      <c r="AO133" s="17"/>
      <c r="AP133" s="17"/>
      <c r="AQ133" s="17"/>
      <c r="AR133" s="17"/>
      <c r="AS133" s="17"/>
      <c r="AT133" s="17"/>
      <c r="AU133" s="17"/>
      <c r="AV133" s="17"/>
      <c r="AW133" s="17"/>
      <c r="AX133" s="17"/>
      <c r="AY133" s="17"/>
      <c r="AZ133" s="17"/>
      <c r="BA133" s="17"/>
      <c r="BB133" s="17"/>
      <c r="BC133" s="17"/>
      <c r="BD133" s="17"/>
      <c r="BE133" s="17"/>
      <c r="BF133" s="17"/>
      <c r="BG133" s="17"/>
      <c r="BH133" s="17"/>
      <c r="BI133" s="17"/>
      <c r="BJ133" s="17"/>
      <c r="BK133" s="17"/>
      <c r="BL133" s="17"/>
      <c r="BM133" s="17"/>
      <c r="BN133" s="17"/>
      <c r="BO133" s="17"/>
      <c r="BP133" s="17"/>
      <c r="BQ133" s="17"/>
      <c r="BR133" s="17"/>
      <c r="BS133" s="17"/>
      <c r="BT133" s="17"/>
      <c r="BU133" s="17"/>
      <c r="BV133" s="17"/>
      <c r="BW133" s="17"/>
      <c r="BX133" s="17"/>
      <c r="BY133" s="17"/>
      <c r="BZ133" s="17"/>
    </row>
    <row r="134" spans="1:78">
      <c r="A134" s="19"/>
      <c r="B134" s="19"/>
      <c r="C134" s="19"/>
      <c r="D134" s="19"/>
      <c r="E134" s="122"/>
      <c r="F134" s="122"/>
      <c r="G134" s="122"/>
      <c r="H134" s="122"/>
      <c r="I134" s="124"/>
      <c r="J134" s="124"/>
      <c r="K134" s="124"/>
      <c r="L134" s="124"/>
      <c r="M134" s="124"/>
      <c r="N134" s="124"/>
      <c r="O134" s="124"/>
      <c r="P134" s="124"/>
      <c r="Q134" s="124"/>
      <c r="R134" s="124"/>
      <c r="S134" s="124"/>
      <c r="T134" s="124"/>
      <c r="U134" s="124"/>
      <c r="V134" s="124"/>
      <c r="W134" s="17"/>
      <c r="X134" s="17"/>
      <c r="Y134" s="17"/>
      <c r="Z134" s="17"/>
      <c r="AA134" s="17"/>
      <c r="AB134" s="17"/>
      <c r="AC134" s="17"/>
      <c r="AD134" s="17"/>
      <c r="AE134" s="17"/>
      <c r="AF134" s="17"/>
      <c r="AG134" s="17"/>
      <c r="AH134" s="17"/>
      <c r="AI134" s="17"/>
      <c r="AJ134" s="17"/>
      <c r="AK134" s="17"/>
      <c r="AL134" s="17"/>
      <c r="AM134" s="17"/>
      <c r="AN134" s="17"/>
      <c r="AO134" s="17"/>
      <c r="AP134" s="17"/>
      <c r="AQ134" s="17"/>
      <c r="AR134" s="17"/>
      <c r="AS134" s="17"/>
      <c r="AT134" s="17"/>
      <c r="AU134" s="17"/>
      <c r="AV134" s="17"/>
      <c r="AW134" s="17"/>
      <c r="AX134" s="17"/>
      <c r="AY134" s="17"/>
      <c r="AZ134" s="17"/>
      <c r="BA134" s="17"/>
      <c r="BB134" s="17"/>
      <c r="BC134" s="17"/>
      <c r="BD134" s="17"/>
      <c r="BE134" s="17"/>
      <c r="BF134" s="17"/>
      <c r="BG134" s="17"/>
      <c r="BH134" s="17"/>
      <c r="BI134" s="17"/>
      <c r="BJ134" s="17"/>
      <c r="BK134" s="17"/>
      <c r="BL134" s="17"/>
      <c r="BM134" s="17"/>
      <c r="BN134" s="17"/>
      <c r="BO134" s="17"/>
      <c r="BP134" s="17"/>
      <c r="BQ134" s="17"/>
      <c r="BR134" s="17"/>
      <c r="BS134" s="17"/>
      <c r="BT134" s="17"/>
      <c r="BU134" s="17"/>
      <c r="BV134" s="17"/>
      <c r="BW134" s="17"/>
      <c r="BX134" s="17"/>
      <c r="BY134" s="17"/>
      <c r="BZ134" s="17"/>
    </row>
    <row r="135" spans="1:78">
      <c r="A135" s="19"/>
      <c r="B135" s="19"/>
      <c r="C135" s="19"/>
      <c r="D135" s="19"/>
      <c r="E135" s="122"/>
      <c r="F135" s="122"/>
      <c r="G135" s="122"/>
      <c r="H135" s="122"/>
      <c r="I135" s="124"/>
      <c r="J135" s="124"/>
      <c r="K135" s="124"/>
      <c r="L135" s="124"/>
      <c r="M135" s="124"/>
      <c r="N135" s="124"/>
      <c r="O135" s="124"/>
      <c r="P135" s="124"/>
      <c r="Q135" s="124"/>
      <c r="R135" s="124"/>
      <c r="S135" s="124"/>
      <c r="T135" s="124"/>
      <c r="U135" s="124"/>
      <c r="V135" s="124"/>
      <c r="W135" s="17"/>
      <c r="X135" s="17"/>
      <c r="Y135" s="17"/>
      <c r="Z135" s="17"/>
      <c r="AA135" s="17"/>
      <c r="AB135" s="17"/>
      <c r="AC135" s="17"/>
      <c r="AD135" s="17"/>
      <c r="AE135" s="17"/>
      <c r="AF135" s="17"/>
      <c r="AG135" s="17"/>
      <c r="AH135" s="17"/>
      <c r="AI135" s="17"/>
      <c r="AJ135" s="17"/>
      <c r="AK135" s="17"/>
      <c r="AL135" s="17"/>
      <c r="AM135" s="17"/>
      <c r="AN135" s="17"/>
      <c r="AO135" s="17"/>
      <c r="AP135" s="17"/>
      <c r="AQ135" s="17"/>
      <c r="AR135" s="17"/>
      <c r="AS135" s="17"/>
      <c r="AT135" s="17"/>
      <c r="AU135" s="17"/>
      <c r="AV135" s="17"/>
      <c r="AW135" s="17"/>
      <c r="AX135" s="17"/>
      <c r="AY135" s="17"/>
      <c r="AZ135" s="17"/>
      <c r="BA135" s="17"/>
      <c r="BB135" s="17"/>
      <c r="BC135" s="17"/>
      <c r="BD135" s="17"/>
      <c r="BE135" s="17"/>
      <c r="BF135" s="17"/>
      <c r="BG135" s="17"/>
      <c r="BH135" s="17"/>
      <c r="BI135" s="17"/>
      <c r="BJ135" s="17"/>
      <c r="BK135" s="17"/>
      <c r="BL135" s="17"/>
      <c r="BM135" s="17"/>
      <c r="BN135" s="17"/>
      <c r="BO135" s="17"/>
      <c r="BP135" s="17"/>
      <c r="BQ135" s="17"/>
      <c r="BR135" s="17"/>
      <c r="BS135" s="17"/>
      <c r="BT135" s="17"/>
      <c r="BU135" s="17"/>
      <c r="BV135" s="17"/>
      <c r="BW135" s="17"/>
      <c r="BX135" s="17"/>
      <c r="BY135" s="17"/>
      <c r="BZ135" s="17"/>
    </row>
    <row r="136" spans="1:78">
      <c r="A136" s="19"/>
      <c r="B136" s="19"/>
      <c r="C136" s="19"/>
      <c r="D136" s="19"/>
      <c r="E136" s="122"/>
      <c r="F136" s="122"/>
      <c r="G136" s="122"/>
      <c r="H136" s="122"/>
      <c r="I136" s="124"/>
      <c r="J136" s="124"/>
      <c r="K136" s="124"/>
      <c r="L136" s="124"/>
      <c r="M136" s="124"/>
      <c r="N136" s="124"/>
      <c r="O136" s="124"/>
      <c r="P136" s="124"/>
      <c r="Q136" s="124"/>
      <c r="R136" s="124"/>
      <c r="S136" s="124"/>
      <c r="T136" s="124"/>
      <c r="U136" s="124"/>
      <c r="V136" s="124"/>
      <c r="W136" s="17"/>
      <c r="X136" s="17"/>
      <c r="Y136" s="17"/>
      <c r="Z136" s="17"/>
      <c r="AA136" s="17"/>
      <c r="AB136" s="17"/>
      <c r="AC136" s="17"/>
      <c r="AD136" s="17"/>
      <c r="AE136" s="17"/>
      <c r="AF136" s="17"/>
      <c r="AG136" s="17"/>
      <c r="AH136" s="17"/>
      <c r="AI136" s="17"/>
      <c r="AJ136" s="17"/>
      <c r="AK136" s="17"/>
      <c r="AL136" s="17"/>
      <c r="AM136" s="17"/>
      <c r="AN136" s="17"/>
      <c r="AO136" s="17"/>
      <c r="AP136" s="17"/>
      <c r="AQ136" s="17"/>
      <c r="AR136" s="17"/>
      <c r="AS136" s="17"/>
      <c r="AT136" s="17"/>
      <c r="AU136" s="17"/>
      <c r="AV136" s="17"/>
      <c r="AW136" s="17"/>
      <c r="AX136" s="17"/>
      <c r="AY136" s="17"/>
      <c r="AZ136" s="17"/>
      <c r="BA136" s="17"/>
      <c r="BB136" s="17"/>
      <c r="BC136" s="17"/>
      <c r="BD136" s="17"/>
      <c r="BE136" s="17"/>
      <c r="BF136" s="17"/>
      <c r="BG136" s="17"/>
      <c r="BH136" s="17"/>
      <c r="BI136" s="17"/>
      <c r="BJ136" s="17"/>
      <c r="BK136" s="17"/>
      <c r="BL136" s="17"/>
      <c r="BM136" s="17"/>
      <c r="BN136" s="17"/>
      <c r="BO136" s="17"/>
      <c r="BP136" s="17"/>
      <c r="BQ136" s="17"/>
      <c r="BR136" s="17"/>
      <c r="BS136" s="17"/>
      <c r="BT136" s="17"/>
      <c r="BU136" s="17"/>
      <c r="BV136" s="17"/>
      <c r="BW136" s="17"/>
      <c r="BX136" s="17"/>
      <c r="BY136" s="17"/>
      <c r="BZ136" s="17"/>
    </row>
    <row r="137" spans="1:78">
      <c r="A137" s="19"/>
      <c r="B137" s="19"/>
      <c r="C137" s="19"/>
      <c r="D137" s="19"/>
      <c r="E137" s="122"/>
      <c r="F137" s="122"/>
      <c r="G137" s="122"/>
      <c r="H137" s="122"/>
      <c r="I137" s="124"/>
      <c r="J137" s="124"/>
      <c r="K137" s="124"/>
      <c r="L137" s="124"/>
      <c r="M137" s="124"/>
      <c r="N137" s="124"/>
      <c r="O137" s="124"/>
      <c r="P137" s="124"/>
      <c r="Q137" s="124"/>
      <c r="R137" s="124"/>
      <c r="S137" s="124"/>
      <c r="T137" s="124"/>
      <c r="U137" s="124"/>
      <c r="V137" s="124"/>
      <c r="W137" s="17"/>
      <c r="X137" s="17"/>
      <c r="Y137" s="17"/>
      <c r="Z137" s="17"/>
      <c r="AA137" s="17"/>
      <c r="AB137" s="17"/>
      <c r="AC137" s="17"/>
      <c r="AD137" s="17"/>
      <c r="AE137" s="17"/>
      <c r="AF137" s="17"/>
      <c r="AG137" s="17"/>
      <c r="AH137" s="17"/>
      <c r="AI137" s="17"/>
      <c r="AJ137" s="17"/>
      <c r="AK137" s="17"/>
      <c r="AL137" s="17"/>
      <c r="AM137" s="17"/>
      <c r="AN137" s="17"/>
      <c r="AO137" s="17"/>
      <c r="AP137" s="17"/>
      <c r="AQ137" s="17"/>
      <c r="AR137" s="17"/>
      <c r="AS137" s="17"/>
      <c r="AT137" s="17"/>
      <c r="AU137" s="17"/>
      <c r="AV137" s="17"/>
      <c r="AW137" s="17"/>
      <c r="AX137" s="17"/>
      <c r="AY137" s="17"/>
      <c r="AZ137" s="17"/>
      <c r="BA137" s="17"/>
      <c r="BB137" s="17"/>
      <c r="BC137" s="17"/>
      <c r="BD137" s="17"/>
      <c r="BE137" s="17"/>
      <c r="BF137" s="17"/>
      <c r="BG137" s="17"/>
      <c r="BH137" s="17"/>
      <c r="BI137" s="17"/>
      <c r="BJ137" s="17"/>
      <c r="BK137" s="17"/>
      <c r="BL137" s="17"/>
      <c r="BM137" s="17"/>
      <c r="BN137" s="17"/>
      <c r="BO137" s="17"/>
      <c r="BP137" s="17"/>
      <c r="BQ137" s="17"/>
      <c r="BR137" s="17"/>
      <c r="BS137" s="17"/>
      <c r="BT137" s="17"/>
      <c r="BU137" s="17"/>
      <c r="BV137" s="17"/>
      <c r="BW137" s="17"/>
      <c r="BX137" s="17"/>
      <c r="BY137" s="17"/>
      <c r="BZ137" s="17"/>
    </row>
    <row r="138" spans="1:78">
      <c r="A138" s="19"/>
      <c r="B138" s="19"/>
      <c r="C138" s="19"/>
      <c r="D138" s="19"/>
      <c r="E138" s="122"/>
      <c r="F138" s="122"/>
      <c r="G138" s="122"/>
      <c r="H138" s="122"/>
      <c r="I138" s="124"/>
      <c r="J138" s="124"/>
      <c r="K138" s="124"/>
      <c r="L138" s="124"/>
      <c r="M138" s="124"/>
      <c r="N138" s="124"/>
      <c r="O138" s="124"/>
      <c r="P138" s="124"/>
      <c r="Q138" s="124"/>
      <c r="R138" s="124"/>
      <c r="S138" s="124"/>
      <c r="T138" s="124"/>
      <c r="U138" s="124"/>
      <c r="V138" s="124"/>
      <c r="W138" s="17"/>
      <c r="X138" s="17"/>
      <c r="Y138" s="17"/>
      <c r="Z138" s="17"/>
      <c r="AA138" s="17"/>
      <c r="AB138" s="17"/>
      <c r="AC138" s="17"/>
      <c r="AD138" s="17"/>
      <c r="AE138" s="17"/>
      <c r="AF138" s="17"/>
      <c r="AG138" s="17"/>
      <c r="AH138" s="17"/>
      <c r="AI138" s="17"/>
      <c r="AJ138" s="17"/>
      <c r="AK138" s="17"/>
      <c r="AL138" s="17"/>
      <c r="AM138" s="17"/>
      <c r="AN138" s="17"/>
      <c r="AO138" s="17"/>
      <c r="AP138" s="17"/>
      <c r="AQ138" s="17"/>
      <c r="AR138" s="17"/>
      <c r="AS138" s="17"/>
      <c r="AT138" s="17"/>
      <c r="AU138" s="17"/>
      <c r="AV138" s="17"/>
      <c r="AW138" s="17"/>
      <c r="AX138" s="17"/>
      <c r="AY138" s="17"/>
      <c r="AZ138" s="17"/>
      <c r="BA138" s="17"/>
      <c r="BB138" s="17"/>
      <c r="BC138" s="17"/>
      <c r="BD138" s="17"/>
      <c r="BE138" s="17"/>
      <c r="BF138" s="17"/>
      <c r="BG138" s="17"/>
      <c r="BH138" s="17"/>
      <c r="BI138" s="17"/>
      <c r="BJ138" s="17"/>
      <c r="BK138" s="17"/>
      <c r="BL138" s="17"/>
      <c r="BM138" s="17"/>
      <c r="BN138" s="17"/>
      <c r="BO138" s="17"/>
      <c r="BP138" s="17"/>
      <c r="BQ138" s="17"/>
      <c r="BR138" s="17"/>
      <c r="BS138" s="17"/>
      <c r="BT138" s="17"/>
      <c r="BU138" s="17"/>
      <c r="BV138" s="17"/>
      <c r="BW138" s="17"/>
      <c r="BX138" s="17"/>
      <c r="BY138" s="17"/>
      <c r="BZ138" s="17"/>
    </row>
    <row r="139" spans="1:78">
      <c r="A139" s="19"/>
      <c r="B139" s="19"/>
      <c r="C139" s="19"/>
      <c r="D139" s="19"/>
      <c r="E139" s="122"/>
      <c r="F139" s="122"/>
      <c r="G139" s="122"/>
      <c r="H139" s="122"/>
      <c r="I139" s="124"/>
      <c r="J139" s="124"/>
      <c r="K139" s="124"/>
      <c r="L139" s="124"/>
      <c r="M139" s="124"/>
      <c r="N139" s="124"/>
      <c r="O139" s="124"/>
      <c r="P139" s="124"/>
      <c r="Q139" s="124"/>
      <c r="R139" s="124"/>
      <c r="S139" s="124"/>
      <c r="T139" s="124"/>
      <c r="U139" s="124"/>
      <c r="V139" s="124"/>
      <c r="W139" s="17"/>
      <c r="X139" s="17"/>
      <c r="Y139" s="17"/>
      <c r="Z139" s="17"/>
      <c r="AA139" s="17"/>
      <c r="AB139" s="17"/>
      <c r="AC139" s="17"/>
      <c r="AD139" s="17"/>
      <c r="AE139" s="17"/>
      <c r="AF139" s="17"/>
      <c r="AG139" s="17"/>
      <c r="AH139" s="17"/>
      <c r="AI139" s="17"/>
      <c r="AJ139" s="17"/>
      <c r="AK139" s="17"/>
      <c r="AL139" s="17"/>
      <c r="AM139" s="17"/>
      <c r="AN139" s="17"/>
      <c r="AO139" s="17"/>
      <c r="AP139" s="17"/>
      <c r="AQ139" s="17"/>
      <c r="AR139" s="17"/>
      <c r="AS139" s="17"/>
      <c r="AT139" s="17"/>
      <c r="AU139" s="17"/>
      <c r="AV139" s="17"/>
      <c r="AW139" s="17"/>
      <c r="AX139" s="17"/>
      <c r="AY139" s="17"/>
      <c r="AZ139" s="17"/>
      <c r="BA139" s="17"/>
      <c r="BB139" s="17"/>
      <c r="BC139" s="17"/>
      <c r="BD139" s="17"/>
      <c r="BE139" s="17"/>
      <c r="BF139" s="17"/>
      <c r="BG139" s="17"/>
      <c r="BH139" s="17"/>
      <c r="BI139" s="17"/>
      <c r="BJ139" s="17"/>
      <c r="BK139" s="17"/>
      <c r="BL139" s="17"/>
      <c r="BM139" s="17"/>
      <c r="BN139" s="17"/>
      <c r="BO139" s="17"/>
      <c r="BP139" s="17"/>
      <c r="BQ139" s="17"/>
      <c r="BR139" s="17"/>
      <c r="BS139" s="17"/>
      <c r="BT139" s="17"/>
      <c r="BU139" s="17"/>
      <c r="BV139" s="17"/>
      <c r="BW139" s="17"/>
      <c r="BX139" s="17"/>
      <c r="BY139" s="17"/>
      <c r="BZ139" s="17"/>
    </row>
    <row r="140" spans="1:78">
      <c r="A140" s="19"/>
      <c r="B140" s="19"/>
      <c r="C140" s="19"/>
      <c r="D140" s="19"/>
      <c r="E140" s="122"/>
      <c r="F140" s="122"/>
      <c r="G140" s="122"/>
      <c r="H140" s="122"/>
      <c r="I140" s="124"/>
      <c r="J140" s="124"/>
      <c r="K140" s="124"/>
      <c r="L140" s="124"/>
      <c r="M140" s="124"/>
      <c r="N140" s="124"/>
      <c r="O140" s="124"/>
      <c r="P140" s="124"/>
      <c r="Q140" s="124"/>
      <c r="R140" s="124"/>
      <c r="S140" s="124"/>
      <c r="T140" s="124"/>
      <c r="U140" s="124"/>
      <c r="V140" s="124"/>
      <c r="W140" s="17"/>
      <c r="X140" s="17"/>
      <c r="Y140" s="17"/>
      <c r="Z140" s="17"/>
      <c r="AA140" s="17"/>
      <c r="AB140" s="17"/>
      <c r="AC140" s="17"/>
      <c r="AD140" s="17"/>
      <c r="AE140" s="17"/>
      <c r="AF140" s="17"/>
      <c r="AG140" s="17"/>
      <c r="AH140" s="17"/>
      <c r="AI140" s="17"/>
      <c r="AJ140" s="17"/>
      <c r="AK140" s="17"/>
      <c r="AL140" s="17"/>
      <c r="AM140" s="17"/>
      <c r="AN140" s="17"/>
      <c r="AO140" s="17"/>
      <c r="AP140" s="17"/>
      <c r="AQ140" s="17"/>
      <c r="AR140" s="17"/>
      <c r="AS140" s="17"/>
      <c r="AT140" s="17"/>
      <c r="AU140" s="17"/>
      <c r="AV140" s="17"/>
      <c r="AW140" s="17"/>
      <c r="AX140" s="17"/>
      <c r="AY140" s="17"/>
      <c r="AZ140" s="17"/>
      <c r="BA140" s="17"/>
      <c r="BB140" s="17"/>
      <c r="BC140" s="17"/>
      <c r="BD140" s="17"/>
      <c r="BE140" s="17"/>
      <c r="BF140" s="17"/>
      <c r="BG140" s="17"/>
      <c r="BH140" s="17"/>
      <c r="BI140" s="17"/>
      <c r="BJ140" s="17"/>
      <c r="BK140" s="17"/>
      <c r="BL140" s="17"/>
      <c r="BM140" s="17"/>
      <c r="BN140" s="17"/>
      <c r="BO140" s="17"/>
      <c r="BP140" s="17"/>
      <c r="BQ140" s="17"/>
      <c r="BR140" s="17"/>
      <c r="BS140" s="17"/>
      <c r="BT140" s="17"/>
      <c r="BU140" s="17"/>
      <c r="BV140" s="17"/>
      <c r="BW140" s="17"/>
      <c r="BX140" s="17"/>
      <c r="BY140" s="17"/>
      <c r="BZ140" s="17"/>
    </row>
    <row r="141" spans="1:78">
      <c r="A141" s="19"/>
      <c r="B141" s="19"/>
      <c r="C141" s="19"/>
      <c r="D141" s="19"/>
      <c r="E141" s="122"/>
      <c r="F141" s="122"/>
      <c r="G141" s="122"/>
      <c r="H141" s="122"/>
      <c r="I141" s="124"/>
      <c r="J141" s="124"/>
      <c r="K141" s="124"/>
      <c r="L141" s="124"/>
      <c r="M141" s="124"/>
      <c r="N141" s="124"/>
      <c r="O141" s="124"/>
      <c r="P141" s="124"/>
      <c r="Q141" s="124"/>
      <c r="R141" s="124"/>
      <c r="S141" s="124"/>
      <c r="T141" s="124"/>
      <c r="U141" s="124"/>
      <c r="V141" s="124"/>
      <c r="W141" s="17"/>
      <c r="X141" s="17"/>
      <c r="Y141" s="17"/>
      <c r="Z141" s="17"/>
      <c r="AA141" s="17"/>
      <c r="AB141" s="17"/>
      <c r="AC141" s="17"/>
      <c r="AD141" s="17"/>
      <c r="AE141" s="17"/>
      <c r="AF141" s="17"/>
      <c r="AG141" s="17"/>
      <c r="AH141" s="17"/>
      <c r="AI141" s="17"/>
      <c r="AJ141" s="17"/>
      <c r="AK141" s="17"/>
      <c r="AL141" s="17"/>
      <c r="AM141" s="17"/>
      <c r="AN141" s="17"/>
      <c r="AO141" s="17"/>
      <c r="AP141" s="17"/>
      <c r="AQ141" s="17"/>
      <c r="AR141" s="17"/>
      <c r="AS141" s="17"/>
      <c r="AT141" s="17"/>
      <c r="AU141" s="17"/>
      <c r="AV141" s="17"/>
      <c r="AW141" s="17"/>
      <c r="AX141" s="17"/>
      <c r="AY141" s="17"/>
      <c r="AZ141" s="17"/>
      <c r="BA141" s="17"/>
      <c r="BB141" s="17"/>
      <c r="BC141" s="17"/>
      <c r="BD141" s="17"/>
      <c r="BE141" s="17"/>
      <c r="BF141" s="17"/>
      <c r="BG141" s="17"/>
      <c r="BH141" s="17"/>
      <c r="BI141" s="17"/>
      <c r="BJ141" s="17"/>
      <c r="BK141" s="17"/>
      <c r="BL141" s="17"/>
      <c r="BM141" s="17"/>
      <c r="BN141" s="17"/>
      <c r="BO141" s="17"/>
      <c r="BP141" s="17"/>
      <c r="BQ141" s="17"/>
      <c r="BR141" s="17"/>
      <c r="BS141" s="17"/>
      <c r="BT141" s="17"/>
      <c r="BU141" s="17"/>
      <c r="BV141" s="17"/>
      <c r="BW141" s="17"/>
      <c r="BX141" s="17"/>
      <c r="BY141" s="17"/>
      <c r="BZ141" s="17"/>
    </row>
    <row r="142" spans="1:78">
      <c r="A142" s="19"/>
      <c r="B142" s="19"/>
      <c r="C142" s="19"/>
      <c r="D142" s="19"/>
      <c r="E142" s="122"/>
      <c r="F142" s="122"/>
      <c r="G142" s="122"/>
      <c r="H142" s="122"/>
      <c r="I142" s="124"/>
      <c r="J142" s="124"/>
      <c r="K142" s="124"/>
      <c r="L142" s="124"/>
      <c r="M142" s="124"/>
      <c r="N142" s="124"/>
      <c r="O142" s="124"/>
      <c r="P142" s="124"/>
      <c r="Q142" s="124"/>
      <c r="R142" s="124"/>
      <c r="S142" s="124"/>
      <c r="T142" s="124"/>
      <c r="U142" s="124"/>
      <c r="V142" s="124"/>
      <c r="W142" s="17"/>
      <c r="X142" s="17"/>
      <c r="Y142" s="17"/>
      <c r="Z142" s="17"/>
      <c r="AA142" s="17"/>
      <c r="AB142" s="17"/>
      <c r="AC142" s="17"/>
      <c r="AD142" s="17"/>
      <c r="AE142" s="17"/>
      <c r="AF142" s="17"/>
      <c r="AG142" s="17"/>
      <c r="AH142" s="17"/>
      <c r="AI142" s="17"/>
      <c r="AJ142" s="17"/>
      <c r="AK142" s="17"/>
      <c r="AL142" s="17"/>
      <c r="AM142" s="17"/>
      <c r="AN142" s="17"/>
      <c r="AO142" s="17"/>
      <c r="AP142" s="17"/>
      <c r="AQ142" s="17"/>
      <c r="AR142" s="17"/>
      <c r="AS142" s="17"/>
      <c r="AT142" s="17"/>
      <c r="AU142" s="17"/>
      <c r="AV142" s="17"/>
      <c r="AW142" s="17"/>
      <c r="AX142" s="17"/>
      <c r="AY142" s="17"/>
      <c r="AZ142" s="17"/>
      <c r="BA142" s="17"/>
      <c r="BB142" s="17"/>
      <c r="BC142" s="17"/>
      <c r="BD142" s="17"/>
      <c r="BE142" s="17"/>
      <c r="BF142" s="17"/>
      <c r="BG142" s="17"/>
      <c r="BH142" s="17"/>
      <c r="BI142" s="17"/>
      <c r="BJ142" s="17"/>
      <c r="BK142" s="17"/>
      <c r="BL142" s="17"/>
      <c r="BM142" s="17"/>
      <c r="BN142" s="17"/>
      <c r="BO142" s="17"/>
      <c r="BP142" s="17"/>
      <c r="BQ142" s="17"/>
      <c r="BR142" s="17"/>
      <c r="BS142" s="17"/>
      <c r="BT142" s="17"/>
      <c r="BU142" s="17"/>
      <c r="BV142" s="17"/>
      <c r="BW142" s="17"/>
      <c r="BX142" s="17"/>
      <c r="BY142" s="17"/>
      <c r="BZ142" s="17"/>
    </row>
    <row r="143" spans="1:78">
      <c r="A143" s="19"/>
      <c r="B143" s="19"/>
      <c r="C143" s="19"/>
      <c r="D143" s="19"/>
      <c r="E143" s="122"/>
      <c r="F143" s="122"/>
      <c r="G143" s="122"/>
      <c r="H143" s="122"/>
      <c r="I143" s="124"/>
      <c r="J143" s="124"/>
      <c r="K143" s="124"/>
      <c r="L143" s="124"/>
      <c r="M143" s="124"/>
      <c r="N143" s="124"/>
      <c r="O143" s="124"/>
      <c r="P143" s="124"/>
      <c r="Q143" s="124"/>
      <c r="R143" s="124"/>
      <c r="S143" s="124"/>
      <c r="T143" s="124"/>
      <c r="U143" s="124"/>
      <c r="V143" s="124"/>
      <c r="W143" s="17"/>
      <c r="X143" s="17"/>
      <c r="Y143" s="17"/>
      <c r="Z143" s="17"/>
      <c r="AA143" s="17"/>
      <c r="AB143" s="17"/>
      <c r="AC143" s="17"/>
      <c r="AD143" s="17"/>
      <c r="AE143" s="17"/>
      <c r="AF143" s="17"/>
      <c r="AG143" s="17"/>
      <c r="AH143" s="17"/>
      <c r="AI143" s="17"/>
      <c r="AJ143" s="17"/>
      <c r="AK143" s="17"/>
      <c r="AL143" s="17"/>
      <c r="AM143" s="17"/>
      <c r="AN143" s="17"/>
      <c r="AO143" s="17"/>
      <c r="AP143" s="17"/>
      <c r="AQ143" s="17"/>
      <c r="AR143" s="17"/>
      <c r="AS143" s="17"/>
      <c r="AT143" s="17"/>
      <c r="AU143" s="17"/>
      <c r="AV143" s="17"/>
      <c r="AW143" s="17"/>
      <c r="AX143" s="17"/>
      <c r="AY143" s="17"/>
      <c r="AZ143" s="17"/>
      <c r="BA143" s="17"/>
      <c r="BB143" s="17"/>
      <c r="BC143" s="17"/>
      <c r="BD143" s="17"/>
      <c r="BE143" s="17"/>
      <c r="BF143" s="17"/>
      <c r="BG143" s="17"/>
      <c r="BH143" s="17"/>
      <c r="BI143" s="17"/>
      <c r="BJ143" s="17"/>
      <c r="BK143" s="17"/>
      <c r="BL143" s="17"/>
      <c r="BM143" s="17"/>
      <c r="BN143" s="17"/>
      <c r="BO143" s="17"/>
      <c r="BP143" s="17"/>
      <c r="BQ143" s="17"/>
      <c r="BR143" s="17"/>
      <c r="BS143" s="17"/>
      <c r="BT143" s="17"/>
      <c r="BU143" s="17"/>
      <c r="BV143" s="17"/>
      <c r="BW143" s="17"/>
      <c r="BX143" s="17"/>
      <c r="BY143" s="17"/>
      <c r="BZ143" s="17"/>
    </row>
    <row r="144" spans="1:78">
      <c r="A144" s="19"/>
      <c r="B144" s="19"/>
      <c r="C144" s="19"/>
      <c r="D144" s="19"/>
      <c r="E144" s="122"/>
      <c r="F144" s="122"/>
      <c r="G144" s="122"/>
      <c r="H144" s="122"/>
      <c r="I144" s="124"/>
      <c r="J144" s="124"/>
      <c r="K144" s="124"/>
      <c r="L144" s="124"/>
      <c r="M144" s="124"/>
      <c r="N144" s="124"/>
      <c r="O144" s="124"/>
      <c r="P144" s="124"/>
      <c r="Q144" s="124"/>
      <c r="R144" s="124"/>
      <c r="S144" s="124"/>
      <c r="T144" s="124"/>
      <c r="U144" s="124"/>
      <c r="V144" s="124"/>
      <c r="W144" s="17"/>
      <c r="X144" s="17"/>
      <c r="Y144" s="17"/>
      <c r="Z144" s="17"/>
      <c r="AA144" s="17"/>
      <c r="AB144" s="17"/>
      <c r="AC144" s="17"/>
      <c r="AD144" s="17"/>
      <c r="AE144" s="17"/>
      <c r="AF144" s="17"/>
      <c r="AG144" s="17"/>
      <c r="AH144" s="17"/>
      <c r="AI144" s="17"/>
      <c r="AJ144" s="17"/>
      <c r="AK144" s="17"/>
      <c r="AL144" s="17"/>
      <c r="AM144" s="17"/>
      <c r="AN144" s="17"/>
      <c r="AO144" s="17"/>
      <c r="AP144" s="17"/>
      <c r="AQ144" s="17"/>
      <c r="AR144" s="17"/>
      <c r="AS144" s="17"/>
      <c r="AT144" s="17"/>
      <c r="AU144" s="17"/>
      <c r="AV144" s="17"/>
      <c r="AW144" s="17"/>
      <c r="AX144" s="17"/>
      <c r="AY144" s="17"/>
      <c r="AZ144" s="17"/>
      <c r="BA144" s="17"/>
      <c r="BB144" s="17"/>
      <c r="BC144" s="17"/>
      <c r="BD144" s="17"/>
      <c r="BE144" s="17"/>
      <c r="BF144" s="17"/>
      <c r="BG144" s="17"/>
      <c r="BH144" s="17"/>
      <c r="BI144" s="17"/>
      <c r="BJ144" s="17"/>
      <c r="BK144" s="17"/>
      <c r="BL144" s="17"/>
      <c r="BM144" s="17"/>
      <c r="BN144" s="17"/>
      <c r="BO144" s="17"/>
      <c r="BP144" s="17"/>
      <c r="BQ144" s="17"/>
      <c r="BR144" s="17"/>
      <c r="BS144" s="17"/>
      <c r="BT144" s="17"/>
      <c r="BU144" s="17"/>
      <c r="BV144" s="17"/>
      <c r="BW144" s="17"/>
      <c r="BX144" s="17"/>
      <c r="BY144" s="17"/>
      <c r="BZ144" s="17"/>
    </row>
    <row r="145" spans="1:78">
      <c r="A145" s="19"/>
      <c r="B145" s="19"/>
      <c r="C145" s="19"/>
      <c r="D145" s="19"/>
      <c r="E145" s="122"/>
      <c r="F145" s="122"/>
      <c r="G145" s="122"/>
      <c r="H145" s="122"/>
      <c r="I145" s="124"/>
      <c r="J145" s="124"/>
      <c r="K145" s="124"/>
      <c r="L145" s="124"/>
      <c r="M145" s="124"/>
      <c r="N145" s="124"/>
      <c r="O145" s="124"/>
      <c r="P145" s="124"/>
      <c r="Q145" s="124"/>
      <c r="R145" s="124"/>
      <c r="S145" s="124"/>
      <c r="T145" s="124"/>
      <c r="U145" s="124"/>
      <c r="V145" s="124"/>
      <c r="W145" s="17"/>
      <c r="X145" s="17"/>
      <c r="Y145" s="17"/>
      <c r="Z145" s="17"/>
      <c r="AA145" s="17"/>
      <c r="AB145" s="17"/>
      <c r="AC145" s="17"/>
      <c r="AD145" s="17"/>
      <c r="AE145" s="17"/>
      <c r="AF145" s="17"/>
      <c r="AG145" s="17"/>
      <c r="AH145" s="17"/>
      <c r="AI145" s="17"/>
      <c r="AJ145" s="17"/>
      <c r="AK145" s="17"/>
      <c r="AL145" s="17"/>
      <c r="AM145" s="17"/>
      <c r="AN145" s="17"/>
      <c r="AO145" s="17"/>
      <c r="AP145" s="17"/>
      <c r="AQ145" s="17"/>
      <c r="AR145" s="17"/>
      <c r="AS145" s="17"/>
      <c r="AT145" s="17"/>
      <c r="AU145" s="17"/>
      <c r="AV145" s="17"/>
      <c r="AW145" s="17"/>
      <c r="AX145" s="17"/>
      <c r="AY145" s="17"/>
      <c r="AZ145" s="17"/>
      <c r="BA145" s="17"/>
      <c r="BB145" s="17"/>
      <c r="BC145" s="17"/>
      <c r="BD145" s="17"/>
      <c r="BE145" s="17"/>
      <c r="BF145" s="17"/>
      <c r="BG145" s="17"/>
      <c r="BH145" s="17"/>
      <c r="BI145" s="17"/>
      <c r="BJ145" s="17"/>
      <c r="BK145" s="17"/>
      <c r="BL145" s="17"/>
      <c r="BM145" s="17"/>
      <c r="BN145" s="17"/>
      <c r="BO145" s="17"/>
      <c r="BP145" s="17"/>
      <c r="BQ145" s="17"/>
      <c r="BR145" s="17"/>
      <c r="BS145" s="17"/>
      <c r="BT145" s="17"/>
      <c r="BU145" s="17"/>
      <c r="BV145" s="17"/>
      <c r="BW145" s="17"/>
      <c r="BX145" s="17"/>
      <c r="BY145" s="17"/>
      <c r="BZ145" s="17"/>
    </row>
    <row r="146" spans="1:78">
      <c r="A146" s="19"/>
      <c r="B146" s="19"/>
      <c r="C146" s="19"/>
      <c r="D146" s="19"/>
      <c r="E146" s="122"/>
      <c r="F146" s="122"/>
      <c r="G146" s="122"/>
      <c r="H146" s="122"/>
      <c r="I146" s="124"/>
      <c r="J146" s="124"/>
      <c r="K146" s="124"/>
      <c r="L146" s="124"/>
      <c r="M146" s="124"/>
      <c r="N146" s="124"/>
      <c r="O146" s="124"/>
      <c r="P146" s="124"/>
      <c r="Q146" s="124"/>
      <c r="R146" s="124"/>
      <c r="S146" s="124"/>
      <c r="T146" s="124"/>
      <c r="U146" s="124"/>
      <c r="V146" s="124"/>
      <c r="W146" s="17"/>
      <c r="X146" s="17"/>
      <c r="Y146" s="17"/>
      <c r="Z146" s="17"/>
      <c r="AA146" s="17"/>
      <c r="AB146" s="17"/>
      <c r="AC146" s="17"/>
      <c r="AD146" s="17"/>
      <c r="AE146" s="17"/>
      <c r="AF146" s="17"/>
      <c r="AG146" s="17"/>
      <c r="AH146" s="17"/>
      <c r="AI146" s="17"/>
      <c r="AJ146" s="17"/>
      <c r="AK146" s="17"/>
      <c r="AL146" s="17"/>
      <c r="AM146" s="17"/>
      <c r="AN146" s="17"/>
      <c r="AO146" s="17"/>
      <c r="AP146" s="17"/>
      <c r="AQ146" s="17"/>
      <c r="AR146" s="17"/>
      <c r="AS146" s="17"/>
      <c r="AT146" s="17"/>
      <c r="AU146" s="17"/>
      <c r="AV146" s="17"/>
      <c r="AW146" s="17"/>
      <c r="AX146" s="17"/>
      <c r="AY146" s="17"/>
      <c r="AZ146" s="17"/>
      <c r="BA146" s="17"/>
      <c r="BB146" s="17"/>
      <c r="BC146" s="17"/>
      <c r="BD146" s="17"/>
      <c r="BE146" s="17"/>
      <c r="BF146" s="17"/>
      <c r="BG146" s="17"/>
      <c r="BH146" s="17"/>
      <c r="BI146" s="17"/>
      <c r="BJ146" s="17"/>
      <c r="BK146" s="17"/>
      <c r="BL146" s="17"/>
      <c r="BM146" s="17"/>
      <c r="BN146" s="17"/>
      <c r="BO146" s="17"/>
      <c r="BP146" s="17"/>
      <c r="BQ146" s="17"/>
      <c r="BR146" s="17"/>
      <c r="BS146" s="17"/>
      <c r="BT146" s="17"/>
      <c r="BU146" s="17"/>
      <c r="BV146" s="17"/>
      <c r="BW146" s="17"/>
      <c r="BX146" s="17"/>
      <c r="BY146" s="17"/>
      <c r="BZ146" s="17"/>
    </row>
    <row r="147" spans="1:78">
      <c r="A147" s="19"/>
      <c r="B147" s="19"/>
      <c r="C147" s="19"/>
      <c r="D147" s="19"/>
      <c r="E147" s="122"/>
      <c r="F147" s="122"/>
      <c r="G147" s="122"/>
      <c r="H147" s="122"/>
      <c r="I147" s="124"/>
      <c r="J147" s="124"/>
      <c r="K147" s="124"/>
      <c r="L147" s="124"/>
      <c r="M147" s="124"/>
      <c r="N147" s="124"/>
      <c r="O147" s="124"/>
      <c r="P147" s="124"/>
      <c r="Q147" s="124"/>
      <c r="R147" s="124"/>
      <c r="S147" s="124"/>
      <c r="T147" s="124"/>
      <c r="U147" s="124"/>
      <c r="V147" s="124"/>
      <c r="W147" s="17"/>
      <c r="X147" s="17"/>
      <c r="Y147" s="17"/>
      <c r="Z147" s="17"/>
      <c r="AA147" s="17"/>
      <c r="AB147" s="17"/>
      <c r="AC147" s="17"/>
      <c r="AD147" s="17"/>
      <c r="AE147" s="17"/>
      <c r="AF147" s="17"/>
      <c r="AG147" s="17"/>
      <c r="AH147" s="17"/>
      <c r="AI147" s="17"/>
      <c r="AJ147" s="17"/>
      <c r="AK147" s="17"/>
      <c r="AL147" s="17"/>
      <c r="AM147" s="17"/>
      <c r="AN147" s="17"/>
      <c r="AO147" s="17"/>
      <c r="AP147" s="17"/>
      <c r="AQ147" s="17"/>
      <c r="AR147" s="17"/>
      <c r="AS147" s="17"/>
      <c r="AT147" s="17"/>
      <c r="AU147" s="17"/>
      <c r="AV147" s="17"/>
      <c r="AW147" s="17"/>
      <c r="AX147" s="17"/>
      <c r="AY147" s="17"/>
      <c r="AZ147" s="17"/>
      <c r="BA147" s="17"/>
      <c r="BB147" s="17"/>
      <c r="BC147" s="17"/>
      <c r="BD147" s="17"/>
      <c r="BE147" s="17"/>
      <c r="BF147" s="17"/>
      <c r="BG147" s="17"/>
      <c r="BH147" s="17"/>
      <c r="BI147" s="17"/>
      <c r="BJ147" s="17"/>
      <c r="BK147" s="17"/>
      <c r="BL147" s="17"/>
      <c r="BM147" s="17"/>
      <c r="BN147" s="17"/>
      <c r="BO147" s="17"/>
      <c r="BP147" s="17"/>
      <c r="BQ147" s="17"/>
      <c r="BR147" s="17"/>
      <c r="BS147" s="17"/>
      <c r="BT147" s="17"/>
      <c r="BU147" s="17"/>
      <c r="BV147" s="17"/>
      <c r="BW147" s="17"/>
      <c r="BX147" s="17"/>
      <c r="BY147" s="17"/>
      <c r="BZ147" s="17"/>
    </row>
    <row r="148" spans="1:78">
      <c r="A148" s="19"/>
      <c r="B148" s="19"/>
      <c r="C148" s="19"/>
      <c r="D148" s="19"/>
      <c r="E148" s="122"/>
      <c r="F148" s="122"/>
      <c r="G148" s="122"/>
      <c r="H148" s="122"/>
      <c r="I148" s="124"/>
      <c r="J148" s="124"/>
      <c r="K148" s="124"/>
      <c r="L148" s="124"/>
      <c r="M148" s="124"/>
      <c r="N148" s="124"/>
      <c r="O148" s="124"/>
      <c r="P148" s="124"/>
      <c r="Q148" s="124"/>
      <c r="R148" s="124"/>
      <c r="S148" s="124"/>
      <c r="T148" s="124"/>
      <c r="U148" s="124"/>
      <c r="V148" s="124"/>
      <c r="W148" s="17"/>
      <c r="X148" s="17"/>
      <c r="Y148" s="17"/>
      <c r="Z148" s="17"/>
      <c r="AA148" s="17"/>
      <c r="AB148" s="17"/>
      <c r="AC148" s="17"/>
      <c r="AD148" s="17"/>
      <c r="AE148" s="17"/>
      <c r="AF148" s="17"/>
      <c r="AG148" s="17"/>
      <c r="AH148" s="17"/>
      <c r="AI148" s="17"/>
      <c r="AJ148" s="17"/>
      <c r="AK148" s="17"/>
      <c r="AL148" s="17"/>
      <c r="AM148" s="17"/>
      <c r="AN148" s="17"/>
      <c r="AO148" s="17"/>
      <c r="AP148" s="17"/>
      <c r="AQ148" s="17"/>
      <c r="AR148" s="17"/>
      <c r="AS148" s="17"/>
      <c r="AT148" s="17"/>
      <c r="AU148" s="17"/>
      <c r="AV148" s="17"/>
      <c r="AW148" s="17"/>
      <c r="AX148" s="17"/>
      <c r="AY148" s="17"/>
      <c r="AZ148" s="17"/>
      <c r="BA148" s="17"/>
      <c r="BB148" s="17"/>
      <c r="BC148" s="17"/>
      <c r="BD148" s="17"/>
      <c r="BE148" s="17"/>
      <c r="BF148" s="17"/>
      <c r="BG148" s="17"/>
      <c r="BH148" s="17"/>
      <c r="BI148" s="17"/>
      <c r="BJ148" s="17"/>
      <c r="BK148" s="17"/>
      <c r="BL148" s="17"/>
      <c r="BM148" s="17"/>
      <c r="BN148" s="17"/>
      <c r="BO148" s="17"/>
      <c r="BP148" s="17"/>
      <c r="BQ148" s="17"/>
      <c r="BR148" s="17"/>
      <c r="BS148" s="17"/>
      <c r="BT148" s="17"/>
      <c r="BU148" s="17"/>
      <c r="BV148" s="17"/>
      <c r="BW148" s="17"/>
      <c r="BX148" s="17"/>
      <c r="BY148" s="17"/>
      <c r="BZ148" s="17"/>
    </row>
    <row r="149" spans="1:78">
      <c r="A149" s="19"/>
      <c r="B149" s="19"/>
      <c r="C149" s="19"/>
      <c r="D149" s="19"/>
      <c r="E149" s="122"/>
      <c r="F149" s="122"/>
      <c r="G149" s="122"/>
      <c r="H149" s="122"/>
      <c r="I149" s="124"/>
      <c r="J149" s="124"/>
      <c r="K149" s="124"/>
      <c r="L149" s="124"/>
      <c r="M149" s="124"/>
      <c r="N149" s="124"/>
      <c r="O149" s="124"/>
      <c r="P149" s="124"/>
      <c r="Q149" s="124"/>
      <c r="R149" s="124"/>
      <c r="S149" s="124"/>
      <c r="T149" s="124"/>
      <c r="U149" s="124"/>
      <c r="V149" s="124"/>
      <c r="W149" s="17"/>
      <c r="X149" s="17"/>
      <c r="Y149" s="17"/>
      <c r="Z149" s="17"/>
      <c r="AA149" s="17"/>
      <c r="AB149" s="17"/>
      <c r="AC149" s="17"/>
      <c r="AD149" s="17"/>
      <c r="AE149" s="17"/>
      <c r="AF149" s="17"/>
      <c r="AG149" s="17"/>
      <c r="AH149" s="17"/>
      <c r="AI149" s="17"/>
      <c r="AJ149" s="17"/>
      <c r="AK149" s="17"/>
      <c r="AL149" s="17"/>
      <c r="AM149" s="17"/>
      <c r="AN149" s="17"/>
      <c r="AO149" s="17"/>
      <c r="AP149" s="17"/>
      <c r="AQ149" s="17"/>
      <c r="AR149" s="17"/>
      <c r="AS149" s="17"/>
      <c r="AT149" s="17"/>
      <c r="AU149" s="17"/>
      <c r="AV149" s="17"/>
      <c r="AW149" s="17"/>
      <c r="AX149" s="17"/>
      <c r="AY149" s="17"/>
      <c r="AZ149" s="17"/>
      <c r="BA149" s="17"/>
      <c r="BB149" s="17"/>
      <c r="BC149" s="17"/>
      <c r="BD149" s="17"/>
      <c r="BE149" s="17"/>
      <c r="BF149" s="17"/>
      <c r="BG149" s="17"/>
      <c r="BH149" s="17"/>
      <c r="BI149" s="17"/>
      <c r="BJ149" s="17"/>
      <c r="BK149" s="17"/>
      <c r="BL149" s="17"/>
      <c r="BM149" s="17"/>
      <c r="BN149" s="17"/>
      <c r="BO149" s="17"/>
      <c r="BP149" s="17"/>
      <c r="BQ149" s="17"/>
      <c r="BR149" s="17"/>
      <c r="BS149" s="17"/>
      <c r="BT149" s="17"/>
      <c r="BU149" s="17"/>
      <c r="BV149" s="17"/>
      <c r="BW149" s="17"/>
      <c r="BX149" s="17"/>
      <c r="BY149" s="17"/>
      <c r="BZ149" s="17"/>
    </row>
    <row r="150" spans="1:78">
      <c r="A150" s="19"/>
      <c r="B150" s="19"/>
      <c r="C150" s="19"/>
      <c r="D150" s="19"/>
      <c r="E150" s="122"/>
      <c r="F150" s="122"/>
      <c r="G150" s="122"/>
      <c r="H150" s="122"/>
      <c r="I150" s="124"/>
      <c r="J150" s="124"/>
      <c r="K150" s="124"/>
      <c r="L150" s="124"/>
      <c r="M150" s="124"/>
      <c r="N150" s="124"/>
      <c r="O150" s="124"/>
      <c r="P150" s="124"/>
      <c r="Q150" s="124"/>
      <c r="R150" s="124"/>
      <c r="S150" s="124"/>
      <c r="T150" s="124"/>
      <c r="U150" s="124"/>
      <c r="V150" s="124"/>
      <c r="W150" s="17"/>
      <c r="X150" s="17"/>
      <c r="Y150" s="17"/>
      <c r="Z150" s="17"/>
      <c r="AA150" s="17"/>
      <c r="AB150" s="17"/>
      <c r="AC150" s="17"/>
      <c r="AD150" s="17"/>
      <c r="AE150" s="17"/>
      <c r="AF150" s="17"/>
      <c r="AG150" s="17"/>
      <c r="AH150" s="17"/>
      <c r="AI150" s="17"/>
      <c r="AJ150" s="17"/>
      <c r="AK150" s="17"/>
      <c r="AL150" s="17"/>
      <c r="AM150" s="17"/>
      <c r="AN150" s="17"/>
      <c r="AO150" s="17"/>
      <c r="AP150" s="17"/>
      <c r="AQ150" s="17"/>
      <c r="AR150" s="17"/>
      <c r="AS150" s="17"/>
      <c r="AT150" s="17"/>
      <c r="AU150" s="17"/>
      <c r="AV150" s="17"/>
      <c r="AW150" s="17"/>
      <c r="AX150" s="17"/>
      <c r="AY150" s="17"/>
      <c r="AZ150" s="17"/>
      <c r="BA150" s="17"/>
      <c r="BB150" s="17"/>
      <c r="BC150" s="17"/>
      <c r="BD150" s="17"/>
      <c r="BE150" s="17"/>
      <c r="BF150" s="17"/>
      <c r="BG150" s="17"/>
      <c r="BH150" s="17"/>
      <c r="BI150" s="17"/>
      <c r="BJ150" s="17"/>
      <c r="BK150" s="17"/>
      <c r="BL150" s="17"/>
      <c r="BM150" s="17"/>
      <c r="BN150" s="17"/>
      <c r="BO150" s="17"/>
      <c r="BP150" s="17"/>
      <c r="BQ150" s="17"/>
      <c r="BR150" s="17"/>
      <c r="BS150" s="17"/>
      <c r="BT150" s="17"/>
      <c r="BU150" s="17"/>
      <c r="BV150" s="17"/>
      <c r="BW150" s="17"/>
      <c r="BX150" s="17"/>
      <c r="BY150" s="17"/>
      <c r="BZ150" s="17"/>
    </row>
    <row r="151" spans="1:78">
      <c r="A151" s="19"/>
      <c r="B151" s="19"/>
      <c r="C151" s="19"/>
      <c r="D151" s="19"/>
      <c r="E151" s="122"/>
      <c r="F151" s="122"/>
      <c r="G151" s="122"/>
      <c r="H151" s="122"/>
      <c r="I151" s="124"/>
      <c r="J151" s="124"/>
      <c r="K151" s="124"/>
      <c r="L151" s="124"/>
      <c r="M151" s="124"/>
      <c r="N151" s="124"/>
      <c r="O151" s="124"/>
      <c r="P151" s="124"/>
      <c r="Q151" s="124"/>
      <c r="R151" s="124"/>
      <c r="S151" s="124"/>
      <c r="T151" s="124"/>
      <c r="U151" s="124"/>
      <c r="V151" s="124"/>
      <c r="W151" s="17"/>
      <c r="X151" s="17"/>
      <c r="Y151" s="17"/>
      <c r="Z151" s="17"/>
      <c r="AA151" s="17"/>
      <c r="AB151" s="17"/>
      <c r="AC151" s="17"/>
      <c r="AD151" s="17"/>
      <c r="AE151" s="17"/>
      <c r="AF151" s="17"/>
      <c r="AG151" s="17"/>
      <c r="AH151" s="17"/>
      <c r="AI151" s="17"/>
      <c r="AJ151" s="17"/>
      <c r="AK151" s="17"/>
      <c r="AL151" s="17"/>
      <c r="AM151" s="17"/>
      <c r="AN151" s="17"/>
      <c r="AO151" s="17"/>
      <c r="AP151" s="17"/>
      <c r="AQ151" s="17"/>
      <c r="AR151" s="17"/>
      <c r="AS151" s="17"/>
      <c r="AT151" s="17"/>
      <c r="AU151" s="17"/>
      <c r="AV151" s="17"/>
      <c r="AW151" s="17"/>
      <c r="AX151" s="17"/>
      <c r="AY151" s="17"/>
      <c r="AZ151" s="17"/>
      <c r="BA151" s="17"/>
      <c r="BB151" s="17"/>
      <c r="BC151" s="17"/>
      <c r="BD151" s="17"/>
      <c r="BE151" s="17"/>
      <c r="BF151" s="17"/>
      <c r="BG151" s="17"/>
      <c r="BH151" s="17"/>
      <c r="BI151" s="17"/>
      <c r="BJ151" s="17"/>
      <c r="BK151" s="17"/>
      <c r="BL151" s="17"/>
      <c r="BM151" s="17"/>
      <c r="BN151" s="17"/>
      <c r="BO151" s="17"/>
      <c r="BP151" s="17"/>
      <c r="BQ151" s="17"/>
      <c r="BR151" s="17"/>
      <c r="BS151" s="17"/>
      <c r="BT151" s="17"/>
      <c r="BU151" s="17"/>
      <c r="BV151" s="17"/>
      <c r="BW151" s="17"/>
      <c r="BX151" s="17"/>
      <c r="BY151" s="17"/>
      <c r="BZ151" s="17"/>
    </row>
    <row r="152" spans="1:78">
      <c r="A152" s="19"/>
      <c r="B152" s="19"/>
      <c r="C152" s="19"/>
      <c r="D152" s="19"/>
      <c r="E152" s="122"/>
      <c r="F152" s="122"/>
      <c r="G152" s="122"/>
      <c r="H152" s="122"/>
      <c r="I152" s="124"/>
      <c r="J152" s="124"/>
      <c r="K152" s="124"/>
      <c r="L152" s="124"/>
      <c r="M152" s="124"/>
      <c r="N152" s="124"/>
      <c r="O152" s="124"/>
      <c r="P152" s="124"/>
      <c r="Q152" s="124"/>
      <c r="R152" s="124"/>
      <c r="S152" s="124"/>
      <c r="T152" s="124"/>
      <c r="U152" s="124"/>
      <c r="V152" s="124"/>
      <c r="W152" s="17"/>
      <c r="X152" s="17"/>
      <c r="Y152" s="17"/>
      <c r="Z152" s="17"/>
      <c r="AA152" s="17"/>
      <c r="AB152" s="17"/>
      <c r="AC152" s="17"/>
      <c r="AD152" s="17"/>
      <c r="AE152" s="17"/>
      <c r="AF152" s="17"/>
      <c r="AG152" s="17"/>
      <c r="AH152" s="17"/>
      <c r="AI152" s="17"/>
      <c r="AJ152" s="17"/>
      <c r="AK152" s="17"/>
      <c r="AL152" s="17"/>
      <c r="AM152" s="17"/>
      <c r="AN152" s="17"/>
      <c r="AO152" s="17"/>
      <c r="AP152" s="17"/>
      <c r="AQ152" s="17"/>
      <c r="AR152" s="17"/>
      <c r="AS152" s="17"/>
      <c r="AT152" s="17"/>
      <c r="AU152" s="17"/>
      <c r="AV152" s="17"/>
      <c r="AW152" s="17"/>
      <c r="AX152" s="17"/>
      <c r="AY152" s="17"/>
      <c r="AZ152" s="17"/>
      <c r="BA152" s="17"/>
      <c r="BB152" s="17"/>
      <c r="BC152" s="17"/>
      <c r="BD152" s="17"/>
      <c r="BE152" s="17"/>
      <c r="BF152" s="17"/>
      <c r="BG152" s="17"/>
      <c r="BH152" s="17"/>
      <c r="BI152" s="17"/>
      <c r="BJ152" s="17"/>
      <c r="BK152" s="17"/>
      <c r="BL152" s="17"/>
      <c r="BM152" s="17"/>
      <c r="BN152" s="17"/>
      <c r="BO152" s="17"/>
      <c r="BP152" s="17"/>
      <c r="BQ152" s="17"/>
      <c r="BR152" s="17"/>
      <c r="BS152" s="17"/>
      <c r="BT152" s="17"/>
      <c r="BU152" s="17"/>
      <c r="BV152" s="17"/>
      <c r="BW152" s="17"/>
      <c r="BX152" s="17"/>
      <c r="BY152" s="17"/>
      <c r="BZ152" s="17"/>
    </row>
    <row r="153" spans="1:78">
      <c r="A153" s="19"/>
      <c r="B153" s="19"/>
      <c r="C153" s="19"/>
      <c r="D153" s="19"/>
      <c r="E153" s="122"/>
      <c r="F153" s="122"/>
      <c r="G153" s="122"/>
      <c r="H153" s="122"/>
      <c r="I153" s="124"/>
      <c r="J153" s="124"/>
      <c r="K153" s="124"/>
      <c r="L153" s="124"/>
      <c r="M153" s="124"/>
      <c r="N153" s="124"/>
      <c r="O153" s="124"/>
      <c r="P153" s="124"/>
      <c r="Q153" s="124"/>
      <c r="R153" s="124"/>
      <c r="S153" s="124"/>
      <c r="T153" s="124"/>
      <c r="U153" s="124"/>
      <c r="V153" s="124"/>
      <c r="W153" s="17"/>
      <c r="X153" s="17"/>
      <c r="Y153" s="17"/>
      <c r="Z153" s="17"/>
      <c r="AA153" s="17"/>
      <c r="AB153" s="17"/>
      <c r="AC153" s="17"/>
      <c r="AD153" s="17"/>
      <c r="AE153" s="17"/>
      <c r="AF153" s="17"/>
      <c r="AG153" s="17"/>
      <c r="AH153" s="17"/>
      <c r="AI153" s="17"/>
      <c r="AJ153" s="17"/>
      <c r="AK153" s="17"/>
      <c r="AL153" s="17"/>
      <c r="AM153" s="17"/>
      <c r="AN153" s="17"/>
      <c r="AO153" s="17"/>
      <c r="AP153" s="17"/>
      <c r="AQ153" s="17"/>
      <c r="AR153" s="17"/>
      <c r="AS153" s="17"/>
      <c r="AT153" s="17"/>
      <c r="AU153" s="17"/>
      <c r="AV153" s="17"/>
      <c r="AW153" s="17"/>
      <c r="AX153" s="17"/>
      <c r="AY153" s="17"/>
      <c r="AZ153" s="17"/>
      <c r="BA153" s="17"/>
      <c r="BB153" s="17"/>
      <c r="BC153" s="17"/>
      <c r="BD153" s="17"/>
      <c r="BE153" s="17"/>
      <c r="BF153" s="17"/>
      <c r="BG153" s="17"/>
      <c r="BH153" s="17"/>
      <c r="BI153" s="17"/>
      <c r="BJ153" s="17"/>
      <c r="BK153" s="17"/>
      <c r="BL153" s="17"/>
      <c r="BM153" s="17"/>
      <c r="BN153" s="17"/>
      <c r="BO153" s="17"/>
      <c r="BP153" s="17"/>
      <c r="BQ153" s="17"/>
      <c r="BR153" s="17"/>
      <c r="BS153" s="17"/>
      <c r="BT153" s="17"/>
      <c r="BU153" s="17"/>
      <c r="BV153" s="17"/>
      <c r="BW153" s="17"/>
      <c r="BX153" s="17"/>
      <c r="BY153" s="17"/>
      <c r="BZ153" s="17"/>
    </row>
    <row r="154" spans="1:78">
      <c r="A154" s="19"/>
      <c r="B154" s="19"/>
      <c r="C154" s="19"/>
      <c r="D154" s="19"/>
      <c r="E154" s="122"/>
      <c r="F154" s="122"/>
      <c r="G154" s="122"/>
      <c r="H154" s="122"/>
      <c r="I154" s="124"/>
      <c r="J154" s="124"/>
      <c r="K154" s="124"/>
      <c r="L154" s="124"/>
      <c r="M154" s="124"/>
      <c r="N154" s="124"/>
      <c r="O154" s="124"/>
      <c r="P154" s="124"/>
      <c r="Q154" s="124"/>
      <c r="R154" s="124"/>
      <c r="S154" s="124"/>
      <c r="T154" s="124"/>
      <c r="U154" s="124"/>
      <c r="V154" s="124"/>
      <c r="W154" s="17"/>
      <c r="X154" s="17"/>
      <c r="Y154" s="17"/>
      <c r="Z154" s="17"/>
      <c r="AA154" s="17"/>
      <c r="AB154" s="17"/>
      <c r="AC154" s="17"/>
      <c r="AD154" s="17"/>
      <c r="AE154" s="17"/>
      <c r="AF154" s="17"/>
      <c r="AG154" s="17"/>
      <c r="AH154" s="17"/>
      <c r="AI154" s="17"/>
      <c r="AJ154" s="17"/>
      <c r="AK154" s="17"/>
      <c r="AL154" s="17"/>
      <c r="AM154" s="17"/>
      <c r="AN154" s="17"/>
      <c r="AO154" s="17"/>
      <c r="AP154" s="17"/>
      <c r="AQ154" s="17"/>
      <c r="AR154" s="17"/>
      <c r="AS154" s="17"/>
      <c r="AT154" s="17"/>
      <c r="AU154" s="17"/>
      <c r="AV154" s="17"/>
      <c r="AW154" s="17"/>
      <c r="AX154" s="17"/>
      <c r="AY154" s="17"/>
      <c r="AZ154" s="17"/>
      <c r="BA154" s="17"/>
      <c r="BB154" s="17"/>
      <c r="BC154" s="17"/>
      <c r="BD154" s="17"/>
      <c r="BE154" s="17"/>
      <c r="BF154" s="17"/>
      <c r="BG154" s="17"/>
      <c r="BH154" s="17"/>
      <c r="BI154" s="17"/>
      <c r="BJ154" s="17"/>
      <c r="BK154" s="17"/>
      <c r="BL154" s="17"/>
      <c r="BM154" s="17"/>
      <c r="BN154" s="17"/>
      <c r="BO154" s="17"/>
      <c r="BP154" s="17"/>
      <c r="BQ154" s="17"/>
      <c r="BR154" s="17"/>
      <c r="BS154" s="17"/>
      <c r="BT154" s="17"/>
      <c r="BU154" s="17"/>
      <c r="BV154" s="17"/>
      <c r="BW154" s="17"/>
      <c r="BX154" s="17"/>
      <c r="BY154" s="17"/>
      <c r="BZ154" s="17"/>
    </row>
    <row r="155" spans="1:78">
      <c r="A155" s="19"/>
      <c r="B155" s="19"/>
      <c r="C155" s="19"/>
      <c r="D155" s="19"/>
      <c r="E155" s="122"/>
      <c r="F155" s="122"/>
      <c r="G155" s="122"/>
      <c r="H155" s="122"/>
      <c r="I155" s="124"/>
      <c r="J155" s="124"/>
      <c r="K155" s="124"/>
      <c r="L155" s="124"/>
      <c r="M155" s="124"/>
      <c r="N155" s="124"/>
      <c r="O155" s="124"/>
      <c r="P155" s="124"/>
      <c r="Q155" s="124"/>
      <c r="R155" s="124"/>
      <c r="S155" s="124"/>
      <c r="T155" s="124"/>
      <c r="U155" s="124"/>
      <c r="V155" s="124"/>
      <c r="W155" s="17"/>
      <c r="X155" s="17"/>
      <c r="Y155" s="17"/>
      <c r="Z155" s="17"/>
      <c r="AA155" s="17"/>
      <c r="AB155" s="17"/>
      <c r="AC155" s="17"/>
      <c r="AD155" s="17"/>
      <c r="AE155" s="17"/>
      <c r="AF155" s="17"/>
      <c r="AG155" s="17"/>
      <c r="AH155" s="17"/>
      <c r="AI155" s="17"/>
      <c r="AJ155" s="17"/>
      <c r="AK155" s="17"/>
      <c r="AL155" s="17"/>
      <c r="AM155" s="17"/>
      <c r="AN155" s="17"/>
      <c r="AO155" s="17"/>
      <c r="AP155" s="17"/>
      <c r="AQ155" s="17"/>
      <c r="AR155" s="17"/>
      <c r="AS155" s="17"/>
      <c r="AT155" s="17"/>
      <c r="AU155" s="17"/>
      <c r="AV155" s="17"/>
      <c r="AW155" s="17"/>
      <c r="AX155" s="17"/>
      <c r="AY155" s="17"/>
      <c r="AZ155" s="17"/>
      <c r="BA155" s="17"/>
      <c r="BB155" s="17"/>
      <c r="BC155" s="17"/>
      <c r="BD155" s="17"/>
      <c r="BE155" s="17"/>
      <c r="BF155" s="17"/>
      <c r="BG155" s="17"/>
      <c r="BH155" s="17"/>
      <c r="BI155" s="17"/>
      <c r="BJ155" s="17"/>
      <c r="BK155" s="17"/>
      <c r="BL155" s="17"/>
      <c r="BM155" s="17"/>
      <c r="BN155" s="17"/>
      <c r="BO155" s="17"/>
      <c r="BP155" s="17"/>
      <c r="BQ155" s="17"/>
      <c r="BR155" s="17"/>
      <c r="BS155" s="17"/>
      <c r="BT155" s="17"/>
      <c r="BU155" s="17"/>
      <c r="BV155" s="17"/>
      <c r="BW155" s="17"/>
      <c r="BX155" s="17"/>
      <c r="BY155" s="17"/>
      <c r="BZ155" s="17"/>
    </row>
    <row r="156" spans="1:78">
      <c r="A156" s="19"/>
      <c r="B156" s="19"/>
      <c r="C156" s="19"/>
      <c r="D156" s="19"/>
      <c r="E156" s="122"/>
      <c r="F156" s="122"/>
      <c r="G156" s="122"/>
      <c r="H156" s="122"/>
      <c r="I156" s="124"/>
      <c r="J156" s="124"/>
      <c r="K156" s="124"/>
      <c r="L156" s="124"/>
      <c r="M156" s="124"/>
      <c r="N156" s="124"/>
      <c r="O156" s="124"/>
      <c r="P156" s="124"/>
      <c r="Q156" s="124"/>
      <c r="R156" s="124"/>
      <c r="S156" s="124"/>
      <c r="T156" s="124"/>
      <c r="U156" s="124"/>
      <c r="V156" s="124"/>
      <c r="W156" s="17"/>
      <c r="X156" s="17"/>
      <c r="Y156" s="17"/>
      <c r="Z156" s="17"/>
      <c r="AA156" s="17"/>
      <c r="AB156" s="17"/>
      <c r="AC156" s="17"/>
      <c r="AD156" s="17"/>
      <c r="AE156" s="17"/>
      <c r="AF156" s="17"/>
      <c r="AG156" s="17"/>
      <c r="AH156" s="17"/>
      <c r="AI156" s="17"/>
      <c r="AJ156" s="17"/>
      <c r="AK156" s="17"/>
      <c r="AL156" s="17"/>
      <c r="AM156" s="17"/>
      <c r="AN156" s="17"/>
      <c r="AO156" s="17"/>
      <c r="AP156" s="17"/>
      <c r="AQ156" s="17"/>
      <c r="AR156" s="17"/>
      <c r="AS156" s="17"/>
      <c r="AT156" s="17"/>
      <c r="AU156" s="17"/>
      <c r="AV156" s="17"/>
      <c r="AW156" s="17"/>
      <c r="AX156" s="17"/>
      <c r="AY156" s="17"/>
      <c r="AZ156" s="17"/>
      <c r="BA156" s="17"/>
      <c r="BB156" s="17"/>
      <c r="BC156" s="17"/>
      <c r="BD156" s="17"/>
      <c r="BE156" s="17"/>
      <c r="BF156" s="17"/>
      <c r="BG156" s="17"/>
      <c r="BH156" s="17"/>
      <c r="BI156" s="17"/>
      <c r="BJ156" s="17"/>
      <c r="BK156" s="17"/>
      <c r="BL156" s="17"/>
      <c r="BM156" s="17"/>
      <c r="BN156" s="17"/>
      <c r="BO156" s="17"/>
      <c r="BP156" s="17"/>
      <c r="BQ156" s="17"/>
      <c r="BR156" s="17"/>
      <c r="BS156" s="17"/>
      <c r="BT156" s="17"/>
      <c r="BU156" s="17"/>
      <c r="BV156" s="17"/>
      <c r="BW156" s="17"/>
      <c r="BX156" s="17"/>
      <c r="BY156" s="17"/>
      <c r="BZ156" s="17"/>
    </row>
    <row r="157" spans="1:78">
      <c r="A157" s="19"/>
      <c r="B157" s="19"/>
      <c r="C157" s="19"/>
      <c r="D157" s="19"/>
      <c r="E157" s="122"/>
      <c r="F157" s="122"/>
      <c r="G157" s="122"/>
      <c r="H157" s="122"/>
      <c r="I157" s="124"/>
      <c r="J157" s="124"/>
      <c r="K157" s="124"/>
      <c r="L157" s="124"/>
      <c r="M157" s="124"/>
      <c r="N157" s="124"/>
      <c r="O157" s="124"/>
      <c r="P157" s="124"/>
      <c r="Q157" s="124"/>
      <c r="R157" s="124"/>
      <c r="S157" s="124"/>
      <c r="T157" s="124"/>
      <c r="U157" s="124"/>
      <c r="V157" s="124"/>
      <c r="W157" s="17"/>
      <c r="X157" s="17"/>
      <c r="Y157" s="17"/>
      <c r="Z157" s="17"/>
      <c r="AA157" s="17"/>
      <c r="AB157" s="17"/>
      <c r="AC157" s="17"/>
      <c r="AD157" s="17"/>
      <c r="AE157" s="17"/>
      <c r="AF157" s="17"/>
      <c r="AG157" s="17"/>
      <c r="AH157" s="17"/>
      <c r="AI157" s="17"/>
      <c r="AJ157" s="17"/>
      <c r="AK157" s="17"/>
      <c r="AL157" s="17"/>
      <c r="AM157" s="17"/>
      <c r="AN157" s="17"/>
      <c r="AO157" s="17"/>
      <c r="AP157" s="17"/>
      <c r="AQ157" s="17"/>
      <c r="AR157" s="17"/>
      <c r="AS157" s="17"/>
      <c r="AT157" s="17"/>
      <c r="AU157" s="17"/>
      <c r="AV157" s="17"/>
      <c r="AW157" s="17"/>
      <c r="AX157" s="17"/>
      <c r="AY157" s="17"/>
      <c r="AZ157" s="17"/>
      <c r="BA157" s="17"/>
      <c r="BB157" s="17"/>
      <c r="BC157" s="17"/>
      <c r="BD157" s="17"/>
      <c r="BE157" s="17"/>
      <c r="BF157" s="17"/>
      <c r="BG157" s="17"/>
      <c r="BH157" s="17"/>
      <c r="BI157" s="17"/>
      <c r="BJ157" s="17"/>
      <c r="BK157" s="17"/>
      <c r="BL157" s="17"/>
      <c r="BM157" s="17"/>
      <c r="BN157" s="17"/>
      <c r="BO157" s="17"/>
      <c r="BP157" s="17"/>
      <c r="BQ157" s="17"/>
      <c r="BR157" s="17"/>
      <c r="BS157" s="17"/>
      <c r="BT157" s="17"/>
      <c r="BU157" s="17"/>
      <c r="BV157" s="17"/>
      <c r="BW157" s="17"/>
      <c r="BX157" s="17"/>
      <c r="BY157" s="17"/>
      <c r="BZ157" s="17"/>
    </row>
    <row r="158" spans="1:78">
      <c r="A158" s="19"/>
      <c r="B158" s="19"/>
      <c r="C158" s="19"/>
      <c r="D158" s="19"/>
      <c r="E158" s="122"/>
      <c r="F158" s="122"/>
      <c r="G158" s="122"/>
      <c r="H158" s="122"/>
      <c r="I158" s="124"/>
      <c r="J158" s="124"/>
      <c r="K158" s="124"/>
      <c r="L158" s="124"/>
      <c r="M158" s="124"/>
      <c r="N158" s="124"/>
      <c r="O158" s="124"/>
      <c r="P158" s="124"/>
      <c r="Q158" s="124"/>
      <c r="R158" s="124"/>
      <c r="S158" s="124"/>
      <c r="T158" s="124"/>
      <c r="U158" s="124"/>
      <c r="V158" s="124"/>
      <c r="W158" s="17"/>
      <c r="X158" s="17"/>
      <c r="Y158" s="17"/>
      <c r="Z158" s="17"/>
      <c r="AA158" s="17"/>
      <c r="AB158" s="17"/>
      <c r="AC158" s="17"/>
      <c r="AD158" s="17"/>
      <c r="AE158" s="17"/>
      <c r="AF158" s="17"/>
      <c r="AG158" s="17"/>
      <c r="AH158" s="17"/>
      <c r="AI158" s="17"/>
      <c r="AJ158" s="17"/>
      <c r="AK158" s="17"/>
      <c r="AL158" s="17"/>
      <c r="AM158" s="17"/>
      <c r="AN158" s="17"/>
      <c r="AO158" s="17"/>
      <c r="AP158" s="17"/>
      <c r="AQ158" s="17"/>
      <c r="AR158" s="17"/>
      <c r="AS158" s="17"/>
      <c r="AT158" s="17"/>
      <c r="AU158" s="17"/>
      <c r="AV158" s="17"/>
      <c r="AW158" s="17"/>
      <c r="AX158" s="17"/>
      <c r="AY158" s="17"/>
      <c r="AZ158" s="17"/>
      <c r="BA158" s="17"/>
      <c r="BB158" s="17"/>
      <c r="BC158" s="17"/>
      <c r="BD158" s="17"/>
      <c r="BE158" s="17"/>
      <c r="BF158" s="17"/>
      <c r="BG158" s="17"/>
      <c r="BH158" s="17"/>
      <c r="BI158" s="17"/>
      <c r="BJ158" s="17"/>
      <c r="BK158" s="17"/>
      <c r="BL158" s="17"/>
      <c r="BM158" s="17"/>
      <c r="BN158" s="17"/>
      <c r="BO158" s="17"/>
      <c r="BP158" s="17"/>
      <c r="BQ158" s="17"/>
      <c r="BR158" s="17"/>
      <c r="BS158" s="17"/>
      <c r="BT158" s="17"/>
      <c r="BU158" s="17"/>
      <c r="BV158" s="17"/>
      <c r="BW158" s="17"/>
      <c r="BX158" s="17"/>
      <c r="BY158" s="17"/>
      <c r="BZ158" s="17"/>
    </row>
    <row r="159" spans="1:78">
      <c r="A159" s="19"/>
      <c r="B159" s="19"/>
      <c r="C159" s="19"/>
      <c r="D159" s="19"/>
      <c r="E159" s="122"/>
      <c r="F159" s="122"/>
      <c r="G159" s="122"/>
      <c r="H159" s="122"/>
      <c r="I159" s="124"/>
      <c r="J159" s="124"/>
      <c r="K159" s="124"/>
      <c r="L159" s="124"/>
      <c r="M159" s="124"/>
      <c r="N159" s="124"/>
      <c r="O159" s="124"/>
      <c r="P159" s="124"/>
      <c r="Q159" s="124"/>
      <c r="R159" s="124"/>
      <c r="S159" s="124"/>
      <c r="T159" s="124"/>
      <c r="U159" s="124"/>
      <c r="V159" s="124"/>
      <c r="W159" s="17"/>
      <c r="X159" s="17"/>
      <c r="Y159" s="17"/>
      <c r="Z159" s="17"/>
      <c r="AA159" s="17"/>
      <c r="AB159" s="17"/>
      <c r="AC159" s="17"/>
      <c r="AD159" s="17"/>
      <c r="AE159" s="17"/>
      <c r="AF159" s="17"/>
      <c r="AG159" s="17"/>
      <c r="AH159" s="17"/>
      <c r="AI159" s="17"/>
      <c r="AJ159" s="17"/>
      <c r="AK159" s="17"/>
      <c r="AL159" s="17"/>
      <c r="AM159" s="17"/>
      <c r="AN159" s="17"/>
      <c r="AO159" s="17"/>
      <c r="AP159" s="17"/>
      <c r="AQ159" s="17"/>
      <c r="AR159" s="17"/>
      <c r="AS159" s="17"/>
      <c r="AT159" s="17"/>
      <c r="AU159" s="17"/>
      <c r="AV159" s="17"/>
      <c r="AW159" s="17"/>
      <c r="AX159" s="17"/>
      <c r="AY159" s="17"/>
      <c r="AZ159" s="17"/>
      <c r="BA159" s="17"/>
      <c r="BB159" s="17"/>
      <c r="BC159" s="17"/>
      <c r="BD159" s="17"/>
      <c r="BE159" s="17"/>
      <c r="BF159" s="17"/>
      <c r="BG159" s="17"/>
      <c r="BH159" s="17"/>
      <c r="BI159" s="17"/>
      <c r="BJ159" s="17"/>
      <c r="BK159" s="17"/>
      <c r="BL159" s="17"/>
      <c r="BM159" s="17"/>
      <c r="BN159" s="17"/>
      <c r="BO159" s="17"/>
      <c r="BP159" s="17"/>
      <c r="BQ159" s="17"/>
      <c r="BR159" s="17"/>
      <c r="BS159" s="17"/>
      <c r="BT159" s="17"/>
      <c r="BU159" s="17"/>
      <c r="BV159" s="17"/>
      <c r="BW159" s="17"/>
      <c r="BX159" s="17"/>
      <c r="BY159" s="17"/>
      <c r="BZ159" s="17"/>
    </row>
    <row r="160" spans="1:78">
      <c r="A160" s="19"/>
      <c r="B160" s="19"/>
      <c r="C160" s="19"/>
      <c r="D160" s="19"/>
      <c r="E160" s="122"/>
      <c r="F160" s="122"/>
      <c r="G160" s="122"/>
      <c r="H160" s="122"/>
      <c r="I160" s="124"/>
      <c r="J160" s="124"/>
      <c r="K160" s="124"/>
      <c r="L160" s="124"/>
      <c r="M160" s="124"/>
      <c r="N160" s="124"/>
      <c r="O160" s="124"/>
      <c r="P160" s="124"/>
      <c r="Q160" s="124"/>
      <c r="R160" s="124"/>
      <c r="S160" s="124"/>
      <c r="T160" s="124"/>
      <c r="U160" s="124"/>
      <c r="V160" s="124"/>
      <c r="W160" s="17"/>
      <c r="X160" s="17"/>
      <c r="Y160" s="17"/>
      <c r="Z160" s="17"/>
      <c r="AA160" s="17"/>
      <c r="AB160" s="17"/>
      <c r="AC160" s="17"/>
      <c r="AD160" s="17"/>
      <c r="AE160" s="17"/>
      <c r="AF160" s="17"/>
      <c r="AG160" s="17"/>
      <c r="AH160" s="17"/>
      <c r="AI160" s="17"/>
      <c r="AJ160" s="17"/>
      <c r="AK160" s="17"/>
      <c r="AL160" s="17"/>
      <c r="AM160" s="17"/>
      <c r="AN160" s="17"/>
      <c r="AO160" s="17"/>
      <c r="AP160" s="17"/>
      <c r="AQ160" s="17"/>
      <c r="AR160" s="17"/>
      <c r="AS160" s="17"/>
      <c r="AT160" s="17"/>
      <c r="AU160" s="17"/>
      <c r="AV160" s="17"/>
      <c r="AW160" s="17"/>
      <c r="AX160" s="17"/>
      <c r="AY160" s="17"/>
      <c r="AZ160" s="17"/>
      <c r="BA160" s="17"/>
      <c r="BB160" s="17"/>
      <c r="BC160" s="17"/>
      <c r="BD160" s="17"/>
      <c r="BE160" s="17"/>
      <c r="BF160" s="17"/>
      <c r="BG160" s="17"/>
      <c r="BH160" s="17"/>
      <c r="BI160" s="17"/>
      <c r="BJ160" s="17"/>
      <c r="BK160" s="17"/>
      <c r="BL160" s="17"/>
      <c r="BM160" s="17"/>
      <c r="BN160" s="17"/>
      <c r="BO160" s="17"/>
      <c r="BP160" s="17"/>
      <c r="BQ160" s="17"/>
      <c r="BR160" s="17"/>
      <c r="BS160" s="17"/>
      <c r="BT160" s="17"/>
      <c r="BU160" s="17"/>
      <c r="BV160" s="17"/>
      <c r="BW160" s="17"/>
      <c r="BX160" s="17"/>
      <c r="BY160" s="17"/>
      <c r="BZ160" s="17"/>
    </row>
    <row r="161" spans="1:78">
      <c r="A161" s="19"/>
      <c r="B161" s="19"/>
      <c r="C161" s="19"/>
      <c r="D161" s="19"/>
      <c r="E161" s="122"/>
      <c r="F161" s="122"/>
      <c r="G161" s="122"/>
      <c r="H161" s="122"/>
      <c r="I161" s="124"/>
      <c r="J161" s="124"/>
      <c r="K161" s="124"/>
      <c r="L161" s="124"/>
      <c r="M161" s="124"/>
      <c r="N161" s="124"/>
      <c r="O161" s="124"/>
      <c r="P161" s="124"/>
      <c r="Q161" s="124"/>
      <c r="R161" s="124"/>
      <c r="S161" s="124"/>
      <c r="T161" s="124"/>
      <c r="U161" s="124"/>
      <c r="V161" s="124"/>
      <c r="W161" s="17"/>
      <c r="X161" s="17"/>
      <c r="Y161" s="17"/>
      <c r="Z161" s="17"/>
      <c r="AA161" s="17"/>
      <c r="AB161" s="17"/>
      <c r="AC161" s="17"/>
      <c r="AD161" s="17"/>
      <c r="AE161" s="17"/>
      <c r="AF161" s="17"/>
      <c r="AG161" s="17"/>
      <c r="AH161" s="17"/>
      <c r="AI161" s="17"/>
      <c r="AJ161" s="17"/>
      <c r="AK161" s="17"/>
      <c r="AL161" s="17"/>
      <c r="AM161" s="17"/>
      <c r="AN161" s="17"/>
      <c r="AO161" s="17"/>
      <c r="AP161" s="17"/>
      <c r="AQ161" s="17"/>
      <c r="AR161" s="17"/>
      <c r="AS161" s="17"/>
      <c r="AT161" s="17"/>
      <c r="AU161" s="17"/>
      <c r="AV161" s="17"/>
      <c r="AW161" s="17"/>
      <c r="AX161" s="17"/>
      <c r="AY161" s="17"/>
      <c r="AZ161" s="17"/>
      <c r="BA161" s="17"/>
      <c r="BB161" s="17"/>
      <c r="BC161" s="17"/>
      <c r="BD161" s="17"/>
      <c r="BE161" s="17"/>
      <c r="BF161" s="17"/>
      <c r="BG161" s="17"/>
      <c r="BH161" s="17"/>
      <c r="BI161" s="17"/>
      <c r="BJ161" s="17"/>
      <c r="BK161" s="17"/>
      <c r="BL161" s="17"/>
      <c r="BM161" s="17"/>
      <c r="BN161" s="17"/>
      <c r="BO161" s="17"/>
      <c r="BP161" s="17"/>
      <c r="BQ161" s="17"/>
      <c r="BR161" s="17"/>
      <c r="BS161" s="17"/>
      <c r="BT161" s="17"/>
      <c r="BU161" s="17"/>
      <c r="BV161" s="17"/>
      <c r="BW161" s="17"/>
      <c r="BX161" s="17"/>
      <c r="BY161" s="17"/>
      <c r="BZ161" s="17"/>
    </row>
    <row r="162" spans="1:78">
      <c r="A162" s="19"/>
      <c r="B162" s="19"/>
      <c r="C162" s="19"/>
      <c r="D162" s="19"/>
      <c r="E162" s="122"/>
      <c r="F162" s="122"/>
      <c r="G162" s="122"/>
      <c r="H162" s="122"/>
      <c r="I162" s="124"/>
      <c r="J162" s="124"/>
      <c r="K162" s="124"/>
      <c r="L162" s="124"/>
      <c r="M162" s="124"/>
      <c r="N162" s="124"/>
      <c r="O162" s="124"/>
      <c r="P162" s="124"/>
      <c r="Q162" s="124"/>
      <c r="R162" s="124"/>
      <c r="S162" s="124"/>
      <c r="T162" s="124"/>
      <c r="U162" s="124"/>
      <c r="V162" s="124"/>
      <c r="W162" s="17"/>
      <c r="X162" s="17"/>
      <c r="Y162" s="17"/>
      <c r="Z162" s="17"/>
      <c r="AA162" s="17"/>
      <c r="AB162" s="17"/>
      <c r="AC162" s="17"/>
      <c r="AD162" s="17"/>
      <c r="AE162" s="17"/>
      <c r="AF162" s="17"/>
      <c r="AG162" s="17"/>
      <c r="AH162" s="17"/>
      <c r="AI162" s="17"/>
      <c r="AJ162" s="17"/>
      <c r="AK162" s="17"/>
      <c r="AL162" s="17"/>
      <c r="AM162" s="17"/>
      <c r="AN162" s="17"/>
      <c r="AO162" s="17"/>
      <c r="AP162" s="17"/>
      <c r="AQ162" s="17"/>
      <c r="AR162" s="17"/>
      <c r="AS162" s="17"/>
      <c r="AT162" s="17"/>
      <c r="AU162" s="17"/>
      <c r="AV162" s="17"/>
      <c r="AW162" s="17"/>
      <c r="AX162" s="17"/>
      <c r="AY162" s="17"/>
      <c r="AZ162" s="17"/>
      <c r="BA162" s="17"/>
      <c r="BB162" s="17"/>
      <c r="BC162" s="17"/>
      <c r="BD162" s="17"/>
      <c r="BE162" s="17"/>
      <c r="BF162" s="17"/>
      <c r="BG162" s="17"/>
      <c r="BH162" s="17"/>
      <c r="BI162" s="17"/>
      <c r="BJ162" s="17"/>
      <c r="BK162" s="17"/>
      <c r="BL162" s="17"/>
      <c r="BM162" s="17"/>
      <c r="BN162" s="17"/>
      <c r="BO162" s="17"/>
      <c r="BP162" s="17"/>
      <c r="BQ162" s="17"/>
      <c r="BR162" s="17"/>
      <c r="BS162" s="17"/>
      <c r="BT162" s="17"/>
      <c r="BU162" s="17"/>
      <c r="BV162" s="17"/>
      <c r="BW162" s="17"/>
      <c r="BX162" s="17"/>
      <c r="BY162" s="17"/>
      <c r="BZ162" s="17"/>
    </row>
  </sheetData>
  <protectedRanges>
    <protectedRange sqref="I13" name="Intervalo2_1"/>
  </protectedRanges>
  <phoneticPr fontId="0" type="noConversion"/>
  <pageMargins left="0.78740157499999996" right="0.78740157499999996" top="0.984251969" bottom="0.984251969" header="0.49212598499999999" footer="0.49212598499999999"/>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47461" r:id="rId4" name="Button 5">
              <controlPr defaultSize="0" print="0" autoFill="0" autoPict="0" macro="[0]!Sim_dpH_cte">
                <anchor moveWithCells="1" sizeWithCells="1">
                  <from>
                    <xdr:col>0</xdr:col>
                    <xdr:colOff>123825</xdr:colOff>
                    <xdr:row>25</xdr:row>
                    <xdr:rowOff>123825</xdr:rowOff>
                  </from>
                  <to>
                    <xdr:col>2</xdr:col>
                    <xdr:colOff>19050</xdr:colOff>
                    <xdr:row>27</xdr:row>
                    <xdr:rowOff>219075</xdr:rowOff>
                  </to>
                </anchor>
              </controlPr>
            </control>
          </mc:Choice>
        </mc:AlternateContent>
        <mc:AlternateContent xmlns:mc="http://schemas.openxmlformats.org/markup-compatibility/2006">
          <mc:Choice Requires="x14">
            <control shapeId="147460" r:id="rId5" name="Button 4">
              <controlPr defaultSize="0" print="0" autoFill="0" autoPict="0" macro="[0]!Sim_dVol_cte">
                <anchor moveWithCells="1" sizeWithCells="1">
                  <from>
                    <xdr:col>0</xdr:col>
                    <xdr:colOff>95250</xdr:colOff>
                    <xdr:row>28</xdr:row>
                    <xdr:rowOff>66675</xdr:rowOff>
                  </from>
                  <to>
                    <xdr:col>2</xdr:col>
                    <xdr:colOff>9525</xdr:colOff>
                    <xdr:row>30</xdr:row>
                    <xdr:rowOff>152400</xdr:rowOff>
                  </to>
                </anchor>
              </controlPr>
            </control>
          </mc:Choice>
        </mc:AlternateContent>
        <mc:AlternateContent xmlns:mc="http://schemas.openxmlformats.org/markup-compatibility/2006">
          <mc:Choice Requires="x14">
            <control shapeId="147462" r:id="rId6" name="Button 6">
              <controlPr defaultSize="0" print="0" autoFill="0" autoPict="0" macro="[0]!Sim_Retain_Curve">
                <anchor moveWithCells="1" sizeWithCells="1">
                  <from>
                    <xdr:col>0</xdr:col>
                    <xdr:colOff>85725</xdr:colOff>
                    <xdr:row>30</xdr:row>
                    <xdr:rowOff>247650</xdr:rowOff>
                  </from>
                  <to>
                    <xdr:col>2</xdr:col>
                    <xdr:colOff>9525</xdr:colOff>
                    <xdr:row>32</xdr:row>
                    <xdr:rowOff>57150</xdr:rowOff>
                  </to>
                </anchor>
              </controlPr>
            </control>
          </mc:Choice>
        </mc:AlternateContent>
        <mc:AlternateContent xmlns:mc="http://schemas.openxmlformats.org/markup-compatibility/2006">
          <mc:Choice Requires="x14">
            <control shapeId="147463" r:id="rId7" name="Button 7">
              <controlPr defaultSize="0" print="0" autoFill="0" autoPict="0" macro="[0]!Sim_delete_retained_curves">
                <anchor moveWithCells="1" sizeWithCells="1">
                  <from>
                    <xdr:col>0</xdr:col>
                    <xdr:colOff>95250</xdr:colOff>
                    <xdr:row>32</xdr:row>
                    <xdr:rowOff>161925</xdr:rowOff>
                  </from>
                  <to>
                    <xdr:col>2</xdr:col>
                    <xdr:colOff>0</xdr:colOff>
                    <xdr:row>33</xdr:row>
                    <xdr:rowOff>228600</xdr:rowOff>
                  </to>
                </anchor>
              </controlPr>
            </control>
          </mc:Choice>
        </mc:AlternateContent>
        <mc:AlternateContent xmlns:mc="http://schemas.openxmlformats.org/markup-compatibility/2006">
          <mc:Choice Requires="x14">
            <control shapeId="148336" r:id="rId8" name="Button 880">
              <controlPr defaultSize="0" print="0" autoFill="0" autoPict="0" macro="[0]!Sim_Copy_pKas">
                <anchor moveWithCells="1" sizeWithCells="1">
                  <from>
                    <xdr:col>9</xdr:col>
                    <xdr:colOff>47625</xdr:colOff>
                    <xdr:row>0</xdr:row>
                    <xdr:rowOff>57150</xdr:rowOff>
                  </from>
                  <to>
                    <xdr:col>9</xdr:col>
                    <xdr:colOff>1019175</xdr:colOff>
                    <xdr:row>2</xdr:row>
                    <xdr:rowOff>85725</xdr:rowOff>
                  </to>
                </anchor>
              </controlPr>
            </control>
          </mc:Choice>
        </mc:AlternateContent>
        <mc:AlternateContent xmlns:mc="http://schemas.openxmlformats.org/markup-compatibility/2006">
          <mc:Choice Requires="x14">
            <control shapeId="148346" r:id="rId9" name="Drop Down 890">
              <controlPr defaultSize="0" autoLine="0" autoPict="0">
                <anchor moveWithCells="1">
                  <from>
                    <xdr:col>10</xdr:col>
                    <xdr:colOff>0</xdr:colOff>
                    <xdr:row>1</xdr:row>
                    <xdr:rowOff>0</xdr:rowOff>
                  </from>
                  <to>
                    <xdr:col>11</xdr:col>
                    <xdr:colOff>533400</xdr:colOff>
                    <xdr:row>2</xdr:row>
                    <xdr:rowOff>0</xdr:rowOff>
                  </to>
                </anchor>
              </controlPr>
            </control>
          </mc:Choice>
        </mc:AlternateContent>
        <mc:AlternateContent xmlns:mc="http://schemas.openxmlformats.org/markup-compatibility/2006">
          <mc:Choice Requires="x14">
            <control shapeId="148347" r:id="rId10" name="Drop Down 891">
              <controlPr defaultSize="0" autoLine="0" autoPict="0">
                <anchor moveWithCells="1">
                  <from>
                    <xdr:col>11</xdr:col>
                    <xdr:colOff>0</xdr:colOff>
                    <xdr:row>1</xdr:row>
                    <xdr:rowOff>0</xdr:rowOff>
                  </from>
                  <to>
                    <xdr:col>12</xdr:col>
                    <xdr:colOff>523875</xdr:colOff>
                    <xdr:row>2</xdr:row>
                    <xdr:rowOff>0</xdr:rowOff>
                  </to>
                </anchor>
              </controlPr>
            </control>
          </mc:Choice>
        </mc:AlternateContent>
        <mc:AlternateContent xmlns:mc="http://schemas.openxmlformats.org/markup-compatibility/2006">
          <mc:Choice Requires="x14">
            <control shapeId="148348" r:id="rId11" name="Drop Down 892">
              <controlPr defaultSize="0" autoLine="0" autoPict="0">
                <anchor moveWithCells="1">
                  <from>
                    <xdr:col>12</xdr:col>
                    <xdr:colOff>0</xdr:colOff>
                    <xdr:row>1</xdr:row>
                    <xdr:rowOff>0</xdr:rowOff>
                  </from>
                  <to>
                    <xdr:col>13</xdr:col>
                    <xdr:colOff>552450</xdr:colOff>
                    <xdr:row>2</xdr:row>
                    <xdr:rowOff>0</xdr:rowOff>
                  </to>
                </anchor>
              </controlPr>
            </control>
          </mc:Choice>
        </mc:AlternateContent>
        <mc:AlternateContent xmlns:mc="http://schemas.openxmlformats.org/markup-compatibility/2006">
          <mc:Choice Requires="x14">
            <control shapeId="148349" r:id="rId12" name="Drop Down 893">
              <controlPr defaultSize="0" autoLine="0" autoPict="0">
                <anchor moveWithCells="1">
                  <from>
                    <xdr:col>13</xdr:col>
                    <xdr:colOff>0</xdr:colOff>
                    <xdr:row>1</xdr:row>
                    <xdr:rowOff>0</xdr:rowOff>
                  </from>
                  <to>
                    <xdr:col>14</xdr:col>
                    <xdr:colOff>457200</xdr:colOff>
                    <xdr:row>2</xdr:row>
                    <xdr:rowOff>0</xdr:rowOff>
                  </to>
                </anchor>
              </controlPr>
            </control>
          </mc:Choice>
        </mc:AlternateContent>
        <mc:AlternateContent xmlns:mc="http://schemas.openxmlformats.org/markup-compatibility/2006">
          <mc:Choice Requires="x14">
            <control shapeId="148350" r:id="rId13" name="Drop Down 894">
              <controlPr defaultSize="0" autoLine="0" autoPict="0">
                <anchor moveWithCells="1">
                  <from>
                    <xdr:col>14</xdr:col>
                    <xdr:colOff>0</xdr:colOff>
                    <xdr:row>1</xdr:row>
                    <xdr:rowOff>0</xdr:rowOff>
                  </from>
                  <to>
                    <xdr:col>15</xdr:col>
                    <xdr:colOff>542925</xdr:colOff>
                    <xdr:row>2</xdr:row>
                    <xdr:rowOff>0</xdr:rowOff>
                  </to>
                </anchor>
              </controlPr>
            </control>
          </mc:Choice>
        </mc:AlternateContent>
        <mc:AlternateContent xmlns:mc="http://schemas.openxmlformats.org/markup-compatibility/2006">
          <mc:Choice Requires="x14">
            <control shapeId="148351" r:id="rId14" name="Drop Down 895">
              <controlPr defaultSize="0" autoLine="0" autoPict="0">
                <anchor moveWithCells="1">
                  <from>
                    <xdr:col>15</xdr:col>
                    <xdr:colOff>0</xdr:colOff>
                    <xdr:row>1</xdr:row>
                    <xdr:rowOff>0</xdr:rowOff>
                  </from>
                  <to>
                    <xdr:col>16</xdr:col>
                    <xdr:colOff>457200</xdr:colOff>
                    <xdr:row>2</xdr:row>
                    <xdr:rowOff>0</xdr:rowOff>
                  </to>
                </anchor>
              </controlPr>
            </control>
          </mc:Choice>
        </mc:AlternateContent>
        <mc:AlternateContent xmlns:mc="http://schemas.openxmlformats.org/markup-compatibility/2006">
          <mc:Choice Requires="x14">
            <control shapeId="148352" r:id="rId15" name="Drop Down 896">
              <controlPr defaultSize="0" autoLine="0" autoPict="0">
                <anchor moveWithCells="1">
                  <from>
                    <xdr:col>16</xdr:col>
                    <xdr:colOff>0</xdr:colOff>
                    <xdr:row>1</xdr:row>
                    <xdr:rowOff>0</xdr:rowOff>
                  </from>
                  <to>
                    <xdr:col>17</xdr:col>
                    <xdr:colOff>228600</xdr:colOff>
                    <xdr:row>2</xdr:row>
                    <xdr:rowOff>0</xdr:rowOff>
                  </to>
                </anchor>
              </controlPr>
            </control>
          </mc:Choice>
        </mc:AlternateContent>
        <mc:AlternateContent xmlns:mc="http://schemas.openxmlformats.org/markup-compatibility/2006">
          <mc:Choice Requires="x14">
            <control shapeId="148391" r:id="rId16" name="Group Box 935">
              <controlPr defaultSize="0" autoFill="0" autoPict="0">
                <anchor moveWithCells="1">
                  <from>
                    <xdr:col>0</xdr:col>
                    <xdr:colOff>104775</xdr:colOff>
                    <xdr:row>20</xdr:row>
                    <xdr:rowOff>171450</xdr:rowOff>
                  </from>
                  <to>
                    <xdr:col>2</xdr:col>
                    <xdr:colOff>38100</xdr:colOff>
                    <xdr:row>23</xdr:row>
                    <xdr:rowOff>66675</xdr:rowOff>
                  </to>
                </anchor>
              </controlPr>
            </control>
          </mc:Choice>
        </mc:AlternateContent>
        <mc:AlternateContent xmlns:mc="http://schemas.openxmlformats.org/markup-compatibility/2006">
          <mc:Choice Requires="x14">
            <control shapeId="148392" r:id="rId17" name="Option Button 936">
              <controlPr defaultSize="0" autoFill="0" autoLine="0" autoPict="0">
                <anchor moveWithCells="1">
                  <from>
                    <xdr:col>0</xdr:col>
                    <xdr:colOff>190500</xdr:colOff>
                    <xdr:row>21</xdr:row>
                    <xdr:rowOff>38100</xdr:rowOff>
                  </from>
                  <to>
                    <xdr:col>1</xdr:col>
                    <xdr:colOff>609600</xdr:colOff>
                    <xdr:row>22</xdr:row>
                    <xdr:rowOff>9525</xdr:rowOff>
                  </to>
                </anchor>
              </controlPr>
            </control>
          </mc:Choice>
        </mc:AlternateContent>
        <mc:AlternateContent xmlns:mc="http://schemas.openxmlformats.org/markup-compatibility/2006">
          <mc:Choice Requires="x14">
            <control shapeId="148393" r:id="rId18" name="Option Button 937">
              <controlPr defaultSize="0" autoFill="0" autoLine="0" autoPict="0">
                <anchor moveWithCells="1">
                  <from>
                    <xdr:col>0</xdr:col>
                    <xdr:colOff>190500</xdr:colOff>
                    <xdr:row>22</xdr:row>
                    <xdr:rowOff>47625</xdr:rowOff>
                  </from>
                  <to>
                    <xdr:col>1</xdr:col>
                    <xdr:colOff>581025</xdr:colOff>
                    <xdr:row>23</xdr:row>
                    <xdr:rowOff>0</xdr:rowOff>
                  </to>
                </anchor>
              </controlPr>
            </control>
          </mc:Choice>
        </mc:AlternateContent>
        <mc:AlternateContent xmlns:mc="http://schemas.openxmlformats.org/markup-compatibility/2006">
          <mc:Choice Requires="x14">
            <control shapeId="148431" r:id="rId19" name="Button 975">
              <controlPr defaultSize="0" print="0" autoFill="0" autoPict="0" macro="[0]!Sim_delete_all_curves">
                <anchor moveWithCells="1" sizeWithCells="1">
                  <from>
                    <xdr:col>0</xdr:col>
                    <xdr:colOff>133350</xdr:colOff>
                    <xdr:row>23</xdr:row>
                    <xdr:rowOff>171450</xdr:rowOff>
                  </from>
                  <to>
                    <xdr:col>2</xdr:col>
                    <xdr:colOff>28575</xdr:colOff>
                    <xdr:row>24</xdr:row>
                    <xdr:rowOff>247650</xdr:rowOff>
                  </to>
                </anchor>
              </controlPr>
            </control>
          </mc:Choice>
        </mc:AlternateContent>
        <mc:AlternateContent xmlns:mc="http://schemas.openxmlformats.org/markup-compatibility/2006">
          <mc:Choice Requires="x14">
            <control shapeId="148432" r:id="rId20" name="Button 976">
              <controlPr defaultSize="0" print="0" autoFill="0" autoPict="0" macro="[0]!Sim_copy_data_Evaluationn">
                <anchor moveWithCells="1" sizeWithCells="1">
                  <from>
                    <xdr:col>0</xdr:col>
                    <xdr:colOff>76200</xdr:colOff>
                    <xdr:row>34</xdr:row>
                    <xdr:rowOff>85725</xdr:rowOff>
                  </from>
                  <to>
                    <xdr:col>1</xdr:col>
                    <xdr:colOff>771525</xdr:colOff>
                    <xdr:row>35</xdr:row>
                    <xdr:rowOff>152400</xdr:rowOff>
                  </to>
                </anchor>
              </controlPr>
            </control>
          </mc:Choice>
        </mc:AlternateContent>
        <mc:AlternateContent xmlns:mc="http://schemas.openxmlformats.org/markup-compatibility/2006">
          <mc:Choice Requires="x14">
            <control shapeId="148447" r:id="rId21" name="Button 991">
              <controlPr defaultSize="0" print="0" autoFill="0" autoPict="0" macro="[0]!Sim_copy_data_Regression">
                <anchor moveWithCells="1" sizeWithCells="1">
                  <from>
                    <xdr:col>0</xdr:col>
                    <xdr:colOff>66675</xdr:colOff>
                    <xdr:row>36</xdr:row>
                    <xdr:rowOff>19050</xdr:rowOff>
                  </from>
                  <to>
                    <xdr:col>1</xdr:col>
                    <xdr:colOff>771525</xdr:colOff>
                    <xdr:row>37</xdr:row>
                    <xdr:rowOff>85725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1"/>
  <dimension ref="A1:BN158"/>
  <sheetViews>
    <sheetView zoomScale="85" zoomScaleNormal="85" workbookViewId="0"/>
  </sheetViews>
  <sheetFormatPr defaultRowHeight="12.75"/>
  <cols>
    <col min="1" max="1" width="14.5703125" customWidth="1"/>
    <col min="2" max="2" width="11.85546875" customWidth="1"/>
    <col min="3" max="3" width="13.28515625" customWidth="1"/>
    <col min="4" max="4" width="19.85546875" customWidth="1"/>
    <col min="5" max="5" width="13.140625" customWidth="1"/>
    <col min="6" max="6" width="15.7109375" customWidth="1"/>
    <col min="7" max="7" width="14.85546875" customWidth="1"/>
    <col min="8" max="8" width="16.7109375" customWidth="1"/>
    <col min="9" max="9" width="15.7109375" customWidth="1"/>
    <col min="10" max="10" width="15.85546875" customWidth="1"/>
    <col min="11" max="14" width="20.7109375" customWidth="1"/>
    <col min="15" max="15" width="12.5703125" customWidth="1"/>
    <col min="16" max="16" width="11.28515625" customWidth="1"/>
    <col min="17" max="20" width="9.28515625" bestFit="1" customWidth="1"/>
    <col min="24" max="24" width="13.5703125" customWidth="1"/>
    <col min="25" max="26" width="9.28515625" bestFit="1" customWidth="1"/>
    <col min="27" max="31" width="12.42578125" bestFit="1" customWidth="1"/>
    <col min="35" max="36" width="9.28515625" bestFit="1" customWidth="1"/>
    <col min="38" max="39" width="9.28515625" bestFit="1" customWidth="1"/>
    <col min="40" max="40" width="13.140625" bestFit="1" customWidth="1"/>
    <col min="41" max="43" width="9.28515625" bestFit="1" customWidth="1"/>
    <col min="48" max="48" width="9.28515625" bestFit="1" customWidth="1"/>
    <col min="49" max="49" width="8.42578125" customWidth="1"/>
    <col min="50" max="50" width="13.140625" bestFit="1" customWidth="1"/>
    <col min="51" max="53" width="9.28515625" bestFit="1" customWidth="1"/>
    <col min="57" max="57" width="12.7109375" customWidth="1"/>
    <col min="58" max="58" width="11.5703125" customWidth="1"/>
    <col min="64" max="64" width="10.42578125" customWidth="1"/>
  </cols>
  <sheetData>
    <row r="1" spans="1:66" ht="24" customHeight="1">
      <c r="A1" s="399"/>
      <c r="B1" s="88" t="s">
        <v>791</v>
      </c>
      <c r="C1" s="88"/>
      <c r="D1" s="208"/>
      <c r="E1" s="208"/>
      <c r="F1" s="208"/>
      <c r="G1" s="208"/>
      <c r="H1" s="531" t="s">
        <v>746</v>
      </c>
      <c r="I1" s="208"/>
      <c r="J1" s="401"/>
      <c r="K1" s="93"/>
      <c r="L1" s="59"/>
      <c r="M1" s="59"/>
      <c r="N1" s="57"/>
      <c r="O1" s="57"/>
      <c r="P1" s="57"/>
      <c r="Q1" s="57"/>
      <c r="R1" s="57"/>
      <c r="S1" s="57"/>
      <c r="T1" s="57"/>
      <c r="U1" s="57"/>
      <c r="V1" s="57"/>
      <c r="W1" s="57"/>
      <c r="X1" s="57"/>
      <c r="Y1" s="57"/>
      <c r="Z1" s="587" t="s">
        <v>778</v>
      </c>
      <c r="AA1" s="26"/>
      <c r="AB1" s="26"/>
      <c r="AC1" s="57"/>
      <c r="AD1" s="57"/>
      <c r="AE1" s="57"/>
      <c r="AF1" s="57"/>
      <c r="AG1" s="57"/>
      <c r="AH1" s="57"/>
      <c r="AI1" s="57"/>
      <c r="AJ1" s="57"/>
      <c r="AK1" s="57"/>
      <c r="AL1" s="57"/>
      <c r="AM1" s="57"/>
      <c r="AN1" s="57"/>
      <c r="AO1" s="57"/>
      <c r="AP1" s="57"/>
      <c r="AQ1" s="57"/>
      <c r="AR1" s="57"/>
      <c r="AS1" s="57"/>
      <c r="AT1" s="57"/>
      <c r="AU1" s="57"/>
      <c r="AV1" s="57"/>
      <c r="AW1" s="57"/>
      <c r="AX1" s="57"/>
      <c r="AY1" s="57"/>
      <c r="AZ1" s="57"/>
      <c r="BA1" s="57"/>
      <c r="BB1" s="57"/>
      <c r="BC1" s="57"/>
      <c r="BD1" s="57"/>
      <c r="BE1" s="57"/>
      <c r="BF1" s="57"/>
      <c r="BG1" s="57"/>
      <c r="BH1" s="57"/>
      <c r="BI1" s="57"/>
      <c r="BJ1" s="57"/>
      <c r="BK1" s="57"/>
      <c r="BL1" s="57"/>
      <c r="BM1" s="26"/>
      <c r="BN1" s="26"/>
    </row>
    <row r="2" spans="1:66" ht="20.25">
      <c r="A2" s="280"/>
      <c r="B2" s="281"/>
      <c r="C2" s="282"/>
      <c r="D2" s="205" t="s">
        <v>659</v>
      </c>
      <c r="E2" s="206"/>
      <c r="F2" s="1081" t="s">
        <v>1032</v>
      </c>
      <c r="G2" s="1082"/>
      <c r="H2" s="1083" t="s">
        <v>1033</v>
      </c>
      <c r="I2" s="1084" t="s">
        <v>1034</v>
      </c>
      <c r="J2" s="1085" t="s">
        <v>1035</v>
      </c>
      <c r="K2" s="93"/>
      <c r="L2" s="2"/>
      <c r="M2" s="1127"/>
      <c r="N2" s="1128" t="s">
        <v>598</v>
      </c>
      <c r="O2" s="1129"/>
      <c r="P2" s="26"/>
      <c r="Q2" s="26"/>
      <c r="R2" s="26"/>
      <c r="S2" s="26"/>
      <c r="T2" s="26"/>
      <c r="U2" s="26"/>
      <c r="V2" s="26"/>
      <c r="W2" s="26"/>
      <c r="X2" s="26"/>
      <c r="Y2" s="26"/>
      <c r="Z2" s="416" t="s">
        <v>1137</v>
      </c>
      <c r="AA2" s="417"/>
      <c r="AB2" s="418"/>
      <c r="AC2" s="26"/>
      <c r="AD2" s="26"/>
      <c r="AE2" s="26"/>
      <c r="AF2" s="26"/>
      <c r="AG2" s="26"/>
      <c r="AH2" s="26"/>
      <c r="AI2" s="26"/>
      <c r="AJ2" s="26"/>
      <c r="AK2" s="26"/>
      <c r="AL2" s="26"/>
      <c r="AM2" s="26"/>
      <c r="AN2" s="26"/>
      <c r="AO2" s="26"/>
      <c r="AP2" s="26"/>
      <c r="AQ2" s="26"/>
      <c r="AR2" s="26"/>
      <c r="AS2" s="26"/>
      <c r="AT2" s="26"/>
      <c r="AU2" s="26"/>
      <c r="AV2" s="26"/>
      <c r="AW2" s="26"/>
      <c r="AX2" s="26"/>
      <c r="AY2" s="26"/>
      <c r="AZ2" s="26"/>
      <c r="BA2" s="26"/>
      <c r="BB2" s="26"/>
      <c r="BC2" s="26"/>
      <c r="BD2" s="26"/>
      <c r="BE2" s="26"/>
      <c r="BF2" s="57"/>
      <c r="BG2" s="57"/>
      <c r="BH2" s="57"/>
      <c r="BI2" s="57"/>
      <c r="BJ2" s="57"/>
      <c r="BK2" s="57"/>
      <c r="BL2" s="57"/>
      <c r="BM2" s="26"/>
      <c r="BN2" s="26"/>
    </row>
    <row r="3" spans="1:66" ht="15.75">
      <c r="A3" s="283"/>
      <c r="B3" s="284"/>
      <c r="C3" s="285"/>
      <c r="D3" s="204"/>
      <c r="E3" s="203">
        <v>8</v>
      </c>
      <c r="F3" s="1086" t="s">
        <v>1036</v>
      </c>
      <c r="G3" s="1087">
        <v>0</v>
      </c>
      <c r="H3" s="1088">
        <f>IF(C7&lt;0,0,IF(C7&gt;3,3,C7))</f>
        <v>0.1</v>
      </c>
      <c r="I3" s="528" t="s">
        <v>739</v>
      </c>
      <c r="J3" s="1089"/>
      <c r="K3" s="93"/>
      <c r="L3" s="2"/>
      <c r="M3" s="298"/>
      <c r="N3" s="313" t="s">
        <v>599</v>
      </c>
      <c r="O3" s="343"/>
      <c r="P3" s="26"/>
      <c r="Q3" s="26"/>
      <c r="R3" s="26"/>
      <c r="S3" s="26"/>
      <c r="T3" s="26"/>
      <c r="U3" s="26"/>
      <c r="V3" s="26"/>
      <c r="W3" s="26"/>
      <c r="X3" s="26"/>
      <c r="Y3" s="26"/>
      <c r="Z3" s="882" t="s">
        <v>907</v>
      </c>
      <c r="AA3" s="18"/>
      <c r="AB3" s="412"/>
      <c r="AC3" s="26"/>
      <c r="AD3" s="26"/>
      <c r="AE3" s="26"/>
      <c r="AF3" s="26"/>
      <c r="AG3" s="26"/>
      <c r="AH3" s="26"/>
      <c r="AI3" s="26"/>
      <c r="AJ3" s="26"/>
      <c r="AK3" s="26"/>
      <c r="AL3" s="26"/>
      <c r="AM3" s="26"/>
      <c r="AN3" s="26"/>
      <c r="AO3" s="26"/>
      <c r="AP3" s="26"/>
      <c r="AQ3" s="26"/>
      <c r="AR3" s="26"/>
      <c r="AS3" s="26"/>
      <c r="AT3" s="26"/>
      <c r="AU3" s="26"/>
      <c r="AV3" s="26"/>
      <c r="AW3" s="26"/>
      <c r="AX3" s="26"/>
      <c r="AY3" s="26"/>
      <c r="AZ3" s="26"/>
      <c r="BA3" s="26"/>
      <c r="BB3" s="26"/>
      <c r="BC3" s="26"/>
      <c r="BD3" s="26"/>
      <c r="BE3" s="26"/>
      <c r="BF3" s="57"/>
      <c r="BG3" s="57"/>
      <c r="BH3" s="57"/>
      <c r="BI3" s="57"/>
      <c r="BJ3" s="57"/>
      <c r="BK3" s="57"/>
      <c r="BL3" s="57"/>
      <c r="BM3" s="26"/>
      <c r="BN3" s="26"/>
    </row>
    <row r="4" spans="1:66" ht="19.5">
      <c r="A4" s="286"/>
      <c r="B4" s="287"/>
      <c r="C4" s="288"/>
      <c r="D4" s="528" t="s">
        <v>973</v>
      </c>
      <c r="E4" s="1107">
        <f>IF(VLOOKUP(E$3,Database!$B$22:$N$301,4)="","",VLOOKUP(E$3,Database!$B$22:$N$301,4))</f>
        <v>2.1480000000000001</v>
      </c>
      <c r="F4" s="1090" t="s">
        <v>487</v>
      </c>
      <c r="G4" s="1091">
        <f>IF(E4="","",IF(E5="",10^E4,(IF(E6="",10^E5,(IF(E7="",10^E6,(IF(E8="",10^E7,(IF(E9="",10^E8,10^E9))))))))))</f>
        <v>2238721138568.3457</v>
      </c>
      <c r="H4" s="1092">
        <f>IF(G4="","",(G4*$H$10^(-2*$E$10)))</f>
        <v>510372321828.43945</v>
      </c>
      <c r="I4" s="529" t="s">
        <v>740</v>
      </c>
      <c r="J4" s="1093"/>
      <c r="K4" s="93"/>
      <c r="L4" s="2"/>
      <c r="M4" s="299"/>
      <c r="N4" s="299" t="s">
        <v>600</v>
      </c>
      <c r="O4" s="300"/>
      <c r="P4" s="26"/>
      <c r="Q4" s="26"/>
      <c r="R4" s="26"/>
      <c r="S4" s="26"/>
      <c r="T4" s="26"/>
      <c r="U4" s="26"/>
      <c r="V4" s="26"/>
      <c r="W4" s="26"/>
      <c r="X4" s="26"/>
      <c r="Y4" s="26"/>
      <c r="Z4" s="882" t="s">
        <v>908</v>
      </c>
      <c r="AA4" s="18"/>
      <c r="AB4" s="412"/>
      <c r="AC4" s="26"/>
      <c r="AD4" s="26"/>
      <c r="AE4" s="26"/>
      <c r="AF4" s="26"/>
      <c r="AG4" s="26"/>
      <c r="AH4" s="26"/>
      <c r="AI4" s="26"/>
      <c r="AJ4" s="26"/>
      <c r="AK4" s="26"/>
      <c r="AL4" s="26"/>
      <c r="AM4" s="26"/>
      <c r="AN4" s="26"/>
      <c r="AO4" s="26"/>
      <c r="AP4" s="26"/>
      <c r="AQ4" s="26"/>
      <c r="AR4" s="26"/>
      <c r="AS4" s="26"/>
      <c r="AT4" s="26"/>
      <c r="AU4" s="26"/>
      <c r="AV4" s="26"/>
      <c r="AW4" s="26"/>
      <c r="AX4" s="26"/>
      <c r="AY4" s="26"/>
      <c r="AZ4" s="26"/>
      <c r="BA4" s="26"/>
      <c r="BB4" s="26"/>
      <c r="BC4" s="26"/>
      <c r="BD4" s="26"/>
      <c r="BE4" s="26"/>
      <c r="BF4" s="57"/>
      <c r="BG4" s="57"/>
      <c r="BH4" s="57"/>
      <c r="BI4" s="57"/>
      <c r="BJ4" s="57"/>
      <c r="BK4" s="57"/>
      <c r="BL4" s="57"/>
      <c r="BM4" s="26"/>
      <c r="BN4" s="26"/>
    </row>
    <row r="5" spans="1:66" ht="19.5">
      <c r="A5" s="289"/>
      <c r="B5" s="290" t="s">
        <v>1025</v>
      </c>
      <c r="C5" s="291"/>
      <c r="D5" s="529" t="s">
        <v>974</v>
      </c>
      <c r="E5" s="235">
        <f>IF(VLOOKUP(E$3,Database!$B$22:$N$301,5)="","",VLOOKUP(E$3,Database!$B$22:$N$301,5))</f>
        <v>7.1989999999999998</v>
      </c>
      <c r="F5" s="1094" t="s">
        <v>489</v>
      </c>
      <c r="G5" s="1095">
        <f>IF(E5="","",IF(E6="",G4*10^E4,(IF(E7="",G4*10^E5,(IF(E8="",G4*10^E6,(IF(E9="",G4*10^E7,G4*10^E8))))))))</f>
        <v>3.539973410834362E+19</v>
      </c>
      <c r="H5" s="1096">
        <f>IF(G5="","",(G5*$H$10^(-4*$E$10-2)))</f>
        <v>3.0117010241596421E+18</v>
      </c>
      <c r="I5" s="529" t="s">
        <v>741</v>
      </c>
      <c r="J5" s="1097"/>
      <c r="K5" s="93"/>
      <c r="L5" s="2"/>
      <c r="M5" s="314"/>
      <c r="N5" s="314" t="s">
        <v>601</v>
      </c>
      <c r="O5" s="315"/>
      <c r="P5" s="26"/>
      <c r="Q5" s="26"/>
      <c r="R5" s="26"/>
      <c r="S5" s="26"/>
      <c r="T5" s="26"/>
      <c r="U5" s="26"/>
      <c r="V5" s="26"/>
      <c r="W5" s="26"/>
      <c r="X5" s="26"/>
      <c r="Y5" s="26"/>
      <c r="Z5" s="882" t="s">
        <v>909</v>
      </c>
      <c r="AA5" s="18"/>
      <c r="AB5" s="412"/>
      <c r="AC5" s="26"/>
      <c r="AD5" s="26"/>
      <c r="AE5" s="26"/>
      <c r="AF5" s="26"/>
      <c r="AG5" s="26"/>
      <c r="AH5" s="26"/>
      <c r="AI5" s="26"/>
      <c r="AJ5" s="26"/>
      <c r="AK5" s="26"/>
      <c r="AL5" s="26"/>
      <c r="AM5" s="26"/>
      <c r="AN5" s="26"/>
      <c r="AO5" s="26"/>
      <c r="AP5" s="26"/>
      <c r="AQ5" s="26"/>
      <c r="AR5" s="26"/>
      <c r="AS5" s="26"/>
      <c r="AT5" s="26"/>
      <c r="AU5" s="26"/>
      <c r="AV5" s="26"/>
      <c r="AW5" s="26"/>
      <c r="AX5" s="26"/>
      <c r="AY5" s="26"/>
      <c r="AZ5" s="26"/>
      <c r="BA5" s="26"/>
      <c r="BB5" s="26"/>
      <c r="BC5" s="26"/>
      <c r="BD5" s="26"/>
      <c r="BE5" s="26"/>
      <c r="BF5" s="57"/>
      <c r="BG5" s="57"/>
      <c r="BH5" s="57"/>
      <c r="BI5" s="57"/>
      <c r="BJ5" s="57"/>
      <c r="BK5" s="57"/>
      <c r="BL5" s="57"/>
      <c r="BM5" s="26"/>
      <c r="BN5" s="26"/>
    </row>
    <row r="6" spans="1:66" ht="19.5">
      <c r="A6" s="277"/>
      <c r="B6" s="278" t="str">
        <f>IF(VLOOKUP(E$3,Database!$B$22:$N$301,2)="","",VLOOKUP(E$3,Database!$B$22:$N$301,2))</f>
        <v>Phosphoric acid</v>
      </c>
      <c r="C6" s="279"/>
      <c r="D6" s="529" t="s">
        <v>975</v>
      </c>
      <c r="E6" s="235">
        <f>IF(VLOOKUP(E$3,Database!$B$22:$N$301,6)="","",VLOOKUP(E$3,Database!$B$22:$N$301,6))</f>
        <v>12.35</v>
      </c>
      <c r="F6" s="1094" t="s">
        <v>491</v>
      </c>
      <c r="G6" s="1095">
        <f>IF(E6="","",IF(E7="",G5*10^E4,(IF(E8="",G5*10^E5,(IF(E9="",G5*10^E6,G5*10^E7))))))</f>
        <v>4.9773708497893867E+21</v>
      </c>
      <c r="H6" s="1096">
        <f>IF(G6="","",(G6*$H$10^(-6*$E$10-6)))</f>
        <v>2.5868677582221171E+20</v>
      </c>
      <c r="I6" s="529" t="s">
        <v>742</v>
      </c>
      <c r="J6" s="1098"/>
      <c r="K6" s="93"/>
      <c r="L6" s="2"/>
      <c r="M6" s="2"/>
      <c r="N6" s="26"/>
      <c r="O6" s="26"/>
      <c r="P6" s="26"/>
      <c r="Q6" s="26"/>
      <c r="R6" s="26"/>
      <c r="S6" s="26"/>
      <c r="T6" s="26"/>
      <c r="U6" s="26"/>
      <c r="V6" s="26"/>
      <c r="W6" s="26"/>
      <c r="X6" s="26"/>
      <c r="Y6" s="26"/>
      <c r="Z6" s="882" t="s">
        <v>910</v>
      </c>
      <c r="AA6" s="18"/>
      <c r="AB6" s="412"/>
      <c r="AC6" s="26"/>
      <c r="AD6" s="26"/>
      <c r="AE6" s="26"/>
      <c r="AF6" s="26"/>
      <c r="AG6" s="26"/>
      <c r="AH6" s="26"/>
      <c r="AI6" s="26"/>
      <c r="AJ6" s="26"/>
      <c r="AK6" s="26"/>
      <c r="AL6" s="26"/>
      <c r="AM6" s="26"/>
      <c r="AN6" s="26"/>
      <c r="AO6" s="26"/>
      <c r="AP6" s="26"/>
      <c r="AQ6" s="26"/>
      <c r="AR6" s="26"/>
      <c r="AS6" s="26"/>
      <c r="AT6" s="26"/>
      <c r="AU6" s="26"/>
      <c r="AV6" s="26"/>
      <c r="AW6" s="26"/>
      <c r="AX6" s="26"/>
      <c r="AY6" s="26"/>
      <c r="AZ6" s="26"/>
      <c r="BA6" s="26"/>
      <c r="BB6" s="26"/>
      <c r="BC6" s="26"/>
      <c r="BD6" s="26"/>
      <c r="BE6" s="26"/>
      <c r="BF6" s="57"/>
      <c r="BG6" s="57"/>
      <c r="BH6" s="57"/>
      <c r="BI6" s="57"/>
      <c r="BJ6" s="57"/>
      <c r="BK6" s="57"/>
      <c r="BL6" s="57"/>
      <c r="BM6" s="26"/>
      <c r="BN6" s="26"/>
    </row>
    <row r="7" spans="1:66" ht="19.5">
      <c r="A7" s="1058"/>
      <c r="B7" s="1059" t="s">
        <v>1026</v>
      </c>
      <c r="C7" s="1060">
        <v>0.1</v>
      </c>
      <c r="D7" s="529" t="s">
        <v>976</v>
      </c>
      <c r="E7" s="235" t="str">
        <f>IF(VLOOKUP(E$3,Database!$B$22:$N$301,7)="","",VLOOKUP(E$3,Database!$B$22:$N$301,7))</f>
        <v/>
      </c>
      <c r="F7" s="1094" t="s">
        <v>493</v>
      </c>
      <c r="G7" s="1095" t="str">
        <f>IF(E7="","",IF(E8="",G6*10^E4,(IF(E9="",G6*10^E5,G6*10^E6))))</f>
        <v/>
      </c>
      <c r="H7" s="1096" t="str">
        <f>IF(G7="","",(G7*$H$10^(-8*$E$10-12)))</f>
        <v/>
      </c>
      <c r="I7" s="529" t="s">
        <v>743</v>
      </c>
      <c r="J7" s="1099"/>
      <c r="K7" s="93"/>
      <c r="L7" s="2"/>
      <c r="M7" s="1105" t="s">
        <v>613</v>
      </c>
      <c r="N7" s="26"/>
      <c r="O7" s="26"/>
      <c r="P7" s="26"/>
      <c r="Q7" s="26"/>
      <c r="R7" s="26"/>
      <c r="S7" s="26"/>
      <c r="T7" s="26"/>
      <c r="U7" s="26"/>
      <c r="V7" s="26"/>
      <c r="W7" s="26"/>
      <c r="X7" s="26"/>
      <c r="Y7" s="26"/>
      <c r="Z7" s="413" t="s">
        <v>658</v>
      </c>
      <c r="AA7" s="414"/>
      <c r="AB7" s="415"/>
      <c r="AC7" s="26"/>
      <c r="AD7" s="26"/>
      <c r="AE7" s="26"/>
      <c r="AF7" s="26"/>
      <c r="AG7" s="26"/>
      <c r="AH7" s="26"/>
      <c r="AI7" s="26"/>
      <c r="AJ7" s="26"/>
      <c r="AK7" s="26"/>
      <c r="AL7" s="26"/>
      <c r="AM7" s="26"/>
      <c r="AN7" s="26"/>
      <c r="AO7" s="26"/>
      <c r="AP7" s="26"/>
      <c r="AQ7" s="26"/>
      <c r="AR7" s="26"/>
      <c r="AS7" s="26"/>
      <c r="AT7" s="26"/>
      <c r="AU7" s="26"/>
      <c r="AV7" s="26"/>
      <c r="AW7" s="26"/>
      <c r="AX7" s="26"/>
      <c r="AY7" s="26"/>
      <c r="AZ7" s="26"/>
      <c r="BA7" s="26"/>
      <c r="BB7" s="26"/>
      <c r="BC7" s="26"/>
      <c r="BD7" s="26"/>
      <c r="BE7" s="26"/>
      <c r="BF7" s="57"/>
      <c r="BG7" s="57"/>
      <c r="BH7" s="57"/>
      <c r="BI7" s="57"/>
      <c r="BJ7" s="57"/>
      <c r="BK7" s="57"/>
      <c r="BL7" s="57"/>
      <c r="BM7" s="26"/>
      <c r="BN7" s="26"/>
    </row>
    <row r="8" spans="1:66" ht="19.5">
      <c r="A8" s="1058"/>
      <c r="B8" s="1059" t="s">
        <v>1107</v>
      </c>
      <c r="C8" s="1061"/>
      <c r="D8" s="529" t="s">
        <v>977</v>
      </c>
      <c r="E8" s="235" t="str">
        <f>IF(VLOOKUP(E$3,Database!$B$22:$N$301,8)="","",VLOOKUP(E$3,Database!$B$22:$N$301,8))</f>
        <v/>
      </c>
      <c r="F8" s="1094" t="s">
        <v>495</v>
      </c>
      <c r="G8" s="1095" t="str">
        <f>IF(E8="","",IF(E9="",G7*10^E4,G7*10^E5))</f>
        <v/>
      </c>
      <c r="H8" s="1096" t="str">
        <f>IF(G8="","",(G8*$H$10^(-10*$E$10-20)))</f>
        <v/>
      </c>
      <c r="I8" s="1100" t="s">
        <v>744</v>
      </c>
      <c r="J8" s="1101"/>
      <c r="K8" s="93"/>
      <c r="L8" s="2"/>
      <c r="M8" s="1106" t="s">
        <v>614</v>
      </c>
      <c r="N8" s="26"/>
      <c r="O8" s="26"/>
      <c r="P8" s="26"/>
      <c r="Q8" s="26"/>
      <c r="R8" s="26"/>
      <c r="S8" s="26"/>
      <c r="T8" s="26"/>
      <c r="U8" s="26"/>
      <c r="V8" s="26"/>
      <c r="W8" s="26"/>
      <c r="X8" s="26"/>
      <c r="Y8" s="26"/>
      <c r="Z8" s="26"/>
      <c r="AA8" s="26"/>
      <c r="AB8" s="26"/>
      <c r="AC8" s="26"/>
      <c r="AD8" s="26"/>
      <c r="AE8" s="26"/>
      <c r="AF8" s="26"/>
      <c r="AG8" s="26"/>
      <c r="AH8" s="26"/>
      <c r="AI8" s="26"/>
      <c r="AJ8" s="26"/>
      <c r="AK8" s="26"/>
      <c r="AL8" s="26"/>
      <c r="AM8" s="26"/>
      <c r="AN8" s="26"/>
      <c r="AO8" s="26"/>
      <c r="AP8" s="26"/>
      <c r="AQ8" s="26"/>
      <c r="AR8" s="26"/>
      <c r="AS8" s="26"/>
      <c r="AT8" s="26"/>
      <c r="AU8" s="26"/>
      <c r="AV8" s="26"/>
      <c r="AW8" s="26"/>
      <c r="AX8" s="26"/>
      <c r="AY8" s="26"/>
      <c r="AZ8" s="26"/>
      <c r="BA8" s="26"/>
      <c r="BB8" s="26"/>
      <c r="BC8" s="26"/>
      <c r="BD8" s="26"/>
      <c r="BE8" s="26"/>
      <c r="BF8" s="57"/>
      <c r="BG8" s="57"/>
      <c r="BH8" s="57"/>
      <c r="BI8" s="57"/>
      <c r="BJ8" s="57"/>
      <c r="BK8" s="57"/>
      <c r="BL8" s="57"/>
      <c r="BM8" s="26"/>
      <c r="BN8" s="26"/>
    </row>
    <row r="9" spans="1:66" ht="19.5">
      <c r="A9" s="1062"/>
      <c r="B9" s="1059" t="s">
        <v>1027</v>
      </c>
      <c r="C9" s="1060">
        <v>0.05</v>
      </c>
      <c r="D9" s="530" t="s">
        <v>978</v>
      </c>
      <c r="E9" s="235" t="str">
        <f>IF(VLOOKUP(E$3,Database!$B$22:$N$301,9)="","",VLOOKUP(E$3,Database!$B$22:$N$301,9))</f>
        <v/>
      </c>
      <c r="F9" s="1094" t="s">
        <v>497</v>
      </c>
      <c r="G9" s="1095" t="str">
        <f>IF(E9="","",G8*10^E4)</f>
        <v/>
      </c>
      <c r="H9" s="1102" t="str">
        <f>IF(G9="","",(G9*$H$10^(-12*$E$10-30)))</f>
        <v/>
      </c>
      <c r="I9" s="529" t="s">
        <v>745</v>
      </c>
      <c r="J9" s="1103"/>
      <c r="K9" s="93"/>
      <c r="L9" s="2"/>
      <c r="M9" s="1105" t="s">
        <v>615</v>
      </c>
      <c r="N9" s="26"/>
      <c r="O9" s="157"/>
      <c r="P9" s="582" t="s">
        <v>1088</v>
      </c>
      <c r="Q9" s="157"/>
      <c r="R9" s="157"/>
      <c r="S9" s="157"/>
      <c r="T9" s="157"/>
      <c r="U9" s="157"/>
      <c r="V9" s="157"/>
      <c r="W9" s="157"/>
      <c r="X9" s="546"/>
      <c r="Y9" s="157"/>
      <c r="Z9" s="157" t="s">
        <v>660</v>
      </c>
      <c r="AA9" s="157"/>
      <c r="AB9" s="157"/>
      <c r="AC9" s="157"/>
      <c r="AD9" s="157"/>
      <c r="AE9" s="157"/>
      <c r="AF9" s="157"/>
      <c r="AG9" s="157"/>
      <c r="AH9" s="157"/>
      <c r="AI9" s="157"/>
      <c r="AJ9" s="157"/>
      <c r="AK9" s="157"/>
      <c r="AL9" s="546"/>
      <c r="AM9" s="582" t="s">
        <v>1089</v>
      </c>
      <c r="AN9" s="157"/>
      <c r="AO9" s="157"/>
      <c r="AP9" s="157"/>
      <c r="AQ9" s="157"/>
      <c r="AR9" s="157"/>
      <c r="AS9" s="157"/>
      <c r="AT9" s="157"/>
      <c r="AU9" s="546"/>
      <c r="AV9" s="157"/>
      <c r="AW9" s="202"/>
      <c r="AX9" s="157" t="s">
        <v>670</v>
      </c>
      <c r="AY9" s="202"/>
      <c r="AZ9" s="157"/>
      <c r="BA9" s="157"/>
      <c r="BB9" s="157"/>
      <c r="BC9" s="157"/>
      <c r="BD9" s="157"/>
      <c r="BE9" s="157"/>
      <c r="BF9" s="157"/>
      <c r="BG9" s="546"/>
      <c r="BH9" s="157"/>
      <c r="BI9" s="582" t="s">
        <v>773</v>
      </c>
      <c r="BJ9" s="582"/>
      <c r="BK9" s="157"/>
      <c r="BL9" s="546"/>
      <c r="BM9" s="26"/>
      <c r="BN9" s="26"/>
    </row>
    <row r="10" spans="1:66" ht="16.5" customHeight="1">
      <c r="A10" s="1062"/>
      <c r="B10" s="1063" t="str">
        <f>IF(C9&gt;C7,"Generally C9 &lt; C7","")</f>
        <v/>
      </c>
      <c r="C10" s="1061"/>
      <c r="D10" s="548" t="s">
        <v>594</v>
      </c>
      <c r="E10" s="549">
        <f>IF(VLOOKUP(E$3,Database!$B$22:$N$301,3)="","",VLOOKUP(E$3,Database!$B$22:$N$301,3))</f>
        <v>-3</v>
      </c>
      <c r="F10" s="1068" t="s">
        <v>1028</v>
      </c>
      <c r="G10" s="1069">
        <v>1</v>
      </c>
      <c r="H10" s="1070">
        <f>10^(-0.509*(H3^0.5/(1+H3^0.5)-0.3*H3))</f>
        <v>0.78159394394683346</v>
      </c>
      <c r="I10" s="1062"/>
      <c r="J10" s="1061"/>
      <c r="K10" s="93"/>
      <c r="L10" s="2"/>
      <c r="M10" s="2"/>
      <c r="N10" s="26"/>
      <c r="O10" s="158"/>
      <c r="P10" s="91"/>
      <c r="Q10" s="384" t="s">
        <v>661</v>
      </c>
      <c r="R10" s="385" t="s">
        <v>662</v>
      </c>
      <c r="S10" s="386" t="s">
        <v>663</v>
      </c>
      <c r="T10" s="387" t="s">
        <v>664</v>
      </c>
      <c r="U10" s="388" t="s">
        <v>665</v>
      </c>
      <c r="V10" s="389" t="s">
        <v>666</v>
      </c>
      <c r="W10" s="390" t="s">
        <v>667</v>
      </c>
      <c r="X10" s="547" t="s">
        <v>752</v>
      </c>
      <c r="Y10" s="158"/>
      <c r="Z10" s="158"/>
      <c r="AA10" s="91"/>
      <c r="AB10" s="384" t="s">
        <v>661</v>
      </c>
      <c r="AC10" s="385" t="s">
        <v>662</v>
      </c>
      <c r="AD10" s="386" t="s">
        <v>663</v>
      </c>
      <c r="AE10" s="387" t="s">
        <v>664</v>
      </c>
      <c r="AF10" s="388" t="s">
        <v>665</v>
      </c>
      <c r="AG10" s="389" t="s">
        <v>666</v>
      </c>
      <c r="AH10" s="390" t="s">
        <v>667</v>
      </c>
      <c r="AI10" s="390" t="s">
        <v>668</v>
      </c>
      <c r="AJ10" s="390" t="s">
        <v>668</v>
      </c>
      <c r="AK10" s="390" t="s">
        <v>668</v>
      </c>
      <c r="AL10" s="547" t="s">
        <v>752</v>
      </c>
      <c r="AM10" s="91"/>
      <c r="AN10" s="209" t="s">
        <v>671</v>
      </c>
      <c r="AO10" s="159" t="s">
        <v>672</v>
      </c>
      <c r="AP10" s="160" t="s">
        <v>673</v>
      </c>
      <c r="AQ10" s="161" t="s">
        <v>674</v>
      </c>
      <c r="AR10" s="162" t="s">
        <v>675</v>
      </c>
      <c r="AS10" s="163" t="s">
        <v>676</v>
      </c>
      <c r="AT10" s="164" t="s">
        <v>677</v>
      </c>
      <c r="AU10" s="547" t="s">
        <v>752</v>
      </c>
      <c r="AV10" s="158" t="s">
        <v>669</v>
      </c>
      <c r="AW10" s="91" t="s">
        <v>669</v>
      </c>
      <c r="AX10" s="209" t="s">
        <v>671</v>
      </c>
      <c r="AY10" s="159" t="s">
        <v>672</v>
      </c>
      <c r="AZ10" s="160" t="s">
        <v>673</v>
      </c>
      <c r="BA10" s="161" t="s">
        <v>674</v>
      </c>
      <c r="BB10" s="162" t="s">
        <v>675</v>
      </c>
      <c r="BC10" s="163" t="s">
        <v>676</v>
      </c>
      <c r="BD10" s="164" t="s">
        <v>677</v>
      </c>
      <c r="BE10" s="91" t="s">
        <v>668</v>
      </c>
      <c r="BF10" s="91" t="s">
        <v>668</v>
      </c>
      <c r="BG10" s="547" t="s">
        <v>752</v>
      </c>
      <c r="BH10" s="583" t="s">
        <v>770</v>
      </c>
      <c r="BI10" s="583"/>
      <c r="BJ10" s="583" t="s">
        <v>770</v>
      </c>
      <c r="BK10" s="91"/>
      <c r="BL10" s="547" t="s">
        <v>774</v>
      </c>
      <c r="BM10" s="26"/>
      <c r="BN10" s="26"/>
    </row>
    <row r="11" spans="1:66" ht="21" customHeight="1" thickBot="1">
      <c r="A11" s="1064"/>
      <c r="B11" s="1065" t="str">
        <f>IF(C7&gt;0.1, "Best accuracy for I &lt; 0.1 mol/L","")</f>
        <v/>
      </c>
      <c r="C11" s="1061"/>
      <c r="D11" s="548" t="s">
        <v>1029</v>
      </c>
      <c r="E11" s="1071">
        <f>IF(E4="","",IF(E5="",1,(IF(E6="",2,(IF(E7="",3,(IF(E8="",4,(IF(E9="",5,6))))))))))</f>
        <v>3</v>
      </c>
      <c r="F11" s="1072" t="s">
        <v>335</v>
      </c>
      <c r="G11" s="1073">
        <v>13.997</v>
      </c>
      <c r="H11" s="1074">
        <f>G11+LOG10(H10^2)</f>
        <v>13.782962371327621</v>
      </c>
      <c r="I11" s="1064"/>
      <c r="J11" s="1075"/>
      <c r="K11" s="93"/>
      <c r="L11" s="26"/>
      <c r="M11" s="2"/>
      <c r="N11" s="26"/>
      <c r="O11" s="165" t="s">
        <v>331</v>
      </c>
      <c r="P11" s="165" t="s">
        <v>532</v>
      </c>
      <c r="Q11" s="165" t="s">
        <v>317</v>
      </c>
      <c r="R11" s="165" t="s">
        <v>318</v>
      </c>
      <c r="S11" s="165" t="s">
        <v>319</v>
      </c>
      <c r="T11" s="165" t="s">
        <v>320</v>
      </c>
      <c r="U11" s="165" t="s">
        <v>321</v>
      </c>
      <c r="V11" s="165" t="s">
        <v>322</v>
      </c>
      <c r="W11" s="165" t="s">
        <v>323</v>
      </c>
      <c r="X11" s="92" t="s">
        <v>753</v>
      </c>
      <c r="Y11" s="165" t="s">
        <v>439</v>
      </c>
      <c r="Z11" s="165" t="s">
        <v>331</v>
      </c>
      <c r="AA11" s="165" t="s">
        <v>532</v>
      </c>
      <c r="AB11" s="165" t="s">
        <v>317</v>
      </c>
      <c r="AC11" s="165" t="s">
        <v>318</v>
      </c>
      <c r="AD11" s="165" t="s">
        <v>319</v>
      </c>
      <c r="AE11" s="165" t="s">
        <v>320</v>
      </c>
      <c r="AF11" s="165" t="s">
        <v>321</v>
      </c>
      <c r="AG11" s="165" t="s">
        <v>322</v>
      </c>
      <c r="AH11" s="165" t="s">
        <v>323</v>
      </c>
      <c r="AI11" s="165" t="s">
        <v>440</v>
      </c>
      <c r="AJ11" s="165" t="s">
        <v>756</v>
      </c>
      <c r="AK11" s="165" t="s">
        <v>755</v>
      </c>
      <c r="AL11" s="92" t="s">
        <v>753</v>
      </c>
      <c r="AM11" s="165" t="s">
        <v>331</v>
      </c>
      <c r="AN11" s="165" t="s">
        <v>317</v>
      </c>
      <c r="AO11" s="165" t="s">
        <v>318</v>
      </c>
      <c r="AP11" s="165" t="s">
        <v>319</v>
      </c>
      <c r="AQ11" s="165" t="s">
        <v>320</v>
      </c>
      <c r="AR11" s="165" t="s">
        <v>321</v>
      </c>
      <c r="AS11" s="165" t="s">
        <v>322</v>
      </c>
      <c r="AT11" s="165" t="s">
        <v>323</v>
      </c>
      <c r="AU11" s="92" t="s">
        <v>753</v>
      </c>
      <c r="AV11" s="165" t="s">
        <v>439</v>
      </c>
      <c r="AW11" s="165" t="s">
        <v>331</v>
      </c>
      <c r="AX11" s="165" t="s">
        <v>317</v>
      </c>
      <c r="AY11" s="165" t="s">
        <v>318</v>
      </c>
      <c r="AZ11" s="165" t="s">
        <v>319</v>
      </c>
      <c r="BA11" s="165" t="s">
        <v>320</v>
      </c>
      <c r="BB11" s="165" t="s">
        <v>321</v>
      </c>
      <c r="BC11" s="165" t="s">
        <v>322</v>
      </c>
      <c r="BD11" s="165" t="s">
        <v>323</v>
      </c>
      <c r="BE11" s="165" t="s">
        <v>587</v>
      </c>
      <c r="BF11" s="165" t="s">
        <v>754</v>
      </c>
      <c r="BG11" s="92" t="s">
        <v>753</v>
      </c>
      <c r="BH11" s="165" t="s">
        <v>331</v>
      </c>
      <c r="BI11" s="165" t="s">
        <v>771</v>
      </c>
      <c r="BJ11" s="165" t="s">
        <v>439</v>
      </c>
      <c r="BK11" s="165" t="s">
        <v>771</v>
      </c>
      <c r="BL11" s="584" t="s">
        <v>772</v>
      </c>
      <c r="BM11" s="26"/>
      <c r="BN11" s="26"/>
    </row>
    <row r="12" spans="1:66" ht="24" customHeight="1" thickTop="1" thickBot="1">
      <c r="A12" s="1066"/>
      <c r="B12" s="1067"/>
      <c r="C12" s="581" t="s">
        <v>1098</v>
      </c>
      <c r="D12" s="1076" t="s">
        <v>1024</v>
      </c>
      <c r="E12" s="1077" t="s">
        <v>1030</v>
      </c>
      <c r="F12" s="1078"/>
      <c r="G12" s="1079" t="str">
        <f>IF(VLOOKUP(E$3,Database!$B$22:$N$301,2)="","",VLOOKUP(E$3,Database!$B$22:$N$301,2))</f>
        <v>Phosphoric acid</v>
      </c>
      <c r="H12" s="1080"/>
      <c r="I12" s="580"/>
      <c r="J12" s="581" t="s">
        <v>1031</v>
      </c>
      <c r="K12" s="581">
        <v>2</v>
      </c>
      <c r="L12" s="581"/>
      <c r="M12" s="1104"/>
      <c r="N12" s="26"/>
      <c r="O12" s="166">
        <v>0</v>
      </c>
      <c r="P12" s="166">
        <v>2.9909825254290823</v>
      </c>
      <c r="Q12" s="166">
        <v>1.829091055273542E-21</v>
      </c>
      <c r="R12" s="166">
        <v>1.1943765121842975E-9</v>
      </c>
      <c r="S12" s="166">
        <v>9.0174721821650351E-3</v>
      </c>
      <c r="T12" s="166">
        <v>0.99098252662345854</v>
      </c>
      <c r="U12" s="166"/>
      <c r="V12" s="166"/>
      <c r="W12" s="166"/>
      <c r="X12" s="550">
        <v>2.9470598353394553</v>
      </c>
      <c r="Y12" s="550">
        <v>0</v>
      </c>
      <c r="Z12" s="166">
        <v>1.8171072800722754</v>
      </c>
      <c r="AA12" s="166">
        <v>2.6260869886675571</v>
      </c>
      <c r="AB12" s="166">
        <v>3.2668417879467625E-16</v>
      </c>
      <c r="AC12" s="166">
        <v>3.2503247173949048E-6</v>
      </c>
      <c r="AD12" s="166">
        <v>0.37390651068300745</v>
      </c>
      <c r="AE12" s="166">
        <v>0.62609023899227489</v>
      </c>
      <c r="AF12" s="166"/>
      <c r="AG12" s="166"/>
      <c r="AH12" s="166"/>
      <c r="AI12" s="166">
        <v>0.12979337714801967</v>
      </c>
      <c r="AJ12" s="166">
        <v>0.38938013144405897</v>
      </c>
      <c r="AK12" s="166">
        <v>6.4896688574009834E-2</v>
      </c>
      <c r="AL12" s="166">
        <v>7.1840897036083165E-2</v>
      </c>
      <c r="AM12" s="166">
        <v>0</v>
      </c>
      <c r="AN12" s="166"/>
      <c r="AO12" s="166">
        <v>-8.9228009792610283</v>
      </c>
      <c r="AP12" s="166">
        <v>-2.0449019499971892</v>
      </c>
      <c r="AQ12" s="166">
        <v>-3.9339776221329632E-3</v>
      </c>
      <c r="AR12" s="166"/>
      <c r="AS12" s="166"/>
      <c r="AT12" s="166"/>
      <c r="AU12" s="166">
        <v>0.46938591477603636</v>
      </c>
      <c r="AV12" s="166">
        <v>0</v>
      </c>
      <c r="AW12" s="166">
        <v>0</v>
      </c>
      <c r="AX12" s="166">
        <v>-15.485771642394713</v>
      </c>
      <c r="AY12" s="166">
        <v>-5.4880377197815591</v>
      </c>
      <c r="AZ12" s="166">
        <v>-0.42723420665833445</v>
      </c>
      <c r="BA12" s="166">
        <v>-0.20336175042389248</v>
      </c>
      <c r="BB12" s="166"/>
      <c r="BC12" s="166"/>
      <c r="BD12" s="166"/>
      <c r="BE12" s="166">
        <v>-6.9616529828158429</v>
      </c>
      <c r="BF12" s="166">
        <v>-3.4808264914079214</v>
      </c>
      <c r="BG12" s="166">
        <v>-1.1436208496845741</v>
      </c>
      <c r="BH12" s="166">
        <v>0</v>
      </c>
      <c r="BI12" s="166">
        <v>-9.0174745709177273E-3</v>
      </c>
      <c r="BJ12" s="166">
        <v>1.8171072800722754</v>
      </c>
      <c r="BK12" s="166">
        <v>-0.37391301133244292</v>
      </c>
      <c r="BL12" s="166">
        <v>-2.6106198685559412</v>
      </c>
      <c r="BM12" s="26"/>
      <c r="BN12" s="26"/>
    </row>
    <row r="13" spans="1:66" ht="13.5" thickTop="1">
      <c r="A13" s="26"/>
      <c r="B13" s="26"/>
      <c r="C13" s="26"/>
      <c r="D13" s="26"/>
      <c r="E13" s="26"/>
      <c r="F13" s="26"/>
      <c r="G13" s="26"/>
      <c r="H13" s="26"/>
      <c r="I13" s="26"/>
      <c r="J13" s="26"/>
      <c r="K13" s="26"/>
      <c r="L13" s="26"/>
      <c r="M13" s="2"/>
      <c r="N13" s="26"/>
      <c r="O13" s="166">
        <v>0.2</v>
      </c>
      <c r="P13" s="166">
        <v>2.985783246577463</v>
      </c>
      <c r="Q13" s="166">
        <v>7.2435383431911843E-21</v>
      </c>
      <c r="R13" s="166">
        <v>2.9843976661383275E-9</v>
      </c>
      <c r="S13" s="166">
        <v>1.4216747453741053E-2</v>
      </c>
      <c r="T13" s="166">
        <v>0.98578324956186125</v>
      </c>
      <c r="U13" s="166"/>
      <c r="V13" s="166"/>
      <c r="W13" s="166"/>
      <c r="X13" s="551">
        <v>1.8604334118625532</v>
      </c>
      <c r="Y13" s="551">
        <v>2.3004448812571354</v>
      </c>
      <c r="Z13" s="166">
        <v>2.03204784726322</v>
      </c>
      <c r="AA13" s="166">
        <v>2.5051316407982851</v>
      </c>
      <c r="AB13" s="166">
        <v>1.1633851356765297E-15</v>
      </c>
      <c r="AC13" s="166">
        <v>7.0563740093412916E-6</v>
      </c>
      <c r="AD13" s="166">
        <v>0.49485424645369247</v>
      </c>
      <c r="AE13" s="166">
        <v>0.50513869717229698</v>
      </c>
      <c r="AF13" s="166"/>
      <c r="AG13" s="166"/>
      <c r="AH13" s="166"/>
      <c r="AI13" s="166">
        <v>0.14514627480451572</v>
      </c>
      <c r="AJ13" s="166">
        <v>0.43543882441354714</v>
      </c>
      <c r="AK13" s="166">
        <v>7.2573137402257862E-2</v>
      </c>
      <c r="AL13" s="166">
        <v>5.6145715881996808E-2</v>
      </c>
      <c r="AM13" s="166">
        <v>0.2</v>
      </c>
      <c r="AN13" s="166"/>
      <c r="AO13" s="166">
        <v>-8.5250881166298509</v>
      </c>
      <c r="AP13" s="166">
        <v>-1.8471877925683082</v>
      </c>
      <c r="AQ13" s="166">
        <v>-6.2185253955491307E-3</v>
      </c>
      <c r="AR13" s="166"/>
      <c r="AS13" s="166"/>
      <c r="AT13" s="166"/>
      <c r="AU13" s="166">
        <v>0.26961238500444712</v>
      </c>
      <c r="AV13" s="166">
        <v>2.3004448812571354</v>
      </c>
      <c r="AW13" s="166">
        <v>0.2</v>
      </c>
      <c r="AX13" s="166">
        <v>-14.934179805055596</v>
      </c>
      <c r="AY13" s="166">
        <v>-5.1513850581106215</v>
      </c>
      <c r="AZ13" s="166">
        <v>-0.30552072065557867</v>
      </c>
      <c r="BA13" s="166">
        <v>-0.29658744008931792</v>
      </c>
      <c r="BB13" s="166"/>
      <c r="BC13" s="166"/>
      <c r="BD13" s="166"/>
      <c r="BE13" s="166">
        <v>-6.8388298015638744</v>
      </c>
      <c r="BF13" s="166">
        <v>-3.4194149007819372</v>
      </c>
      <c r="BG13" s="166">
        <v>-1.2506752794435696</v>
      </c>
      <c r="BH13" s="166">
        <v>0.2</v>
      </c>
      <c r="BI13" s="166">
        <v>-1.4216753422537032E-2</v>
      </c>
      <c r="BJ13" s="166">
        <v>2.03204784726322</v>
      </c>
      <c r="BK13" s="166">
        <v>-0.4948683592017149</v>
      </c>
      <c r="BL13" s="166">
        <v>-2.5645611755864528</v>
      </c>
      <c r="BM13" s="26"/>
      <c r="BN13" s="26"/>
    </row>
    <row r="14" spans="1:66">
      <c r="A14" s="26"/>
      <c r="B14" s="26"/>
      <c r="C14" s="26"/>
      <c r="D14" s="26"/>
      <c r="E14" s="26"/>
      <c r="F14" s="26"/>
      <c r="G14" s="26"/>
      <c r="H14" s="26"/>
      <c r="I14" s="26"/>
      <c r="J14" s="26"/>
      <c r="K14" s="26"/>
      <c r="L14" s="26"/>
      <c r="M14" s="2"/>
      <c r="N14" s="26"/>
      <c r="O14" s="166">
        <v>0.4</v>
      </c>
      <c r="P14" s="166">
        <v>2.9776537739493611</v>
      </c>
      <c r="Q14" s="166">
        <v>2.8599234805983471E-20</v>
      </c>
      <c r="R14" s="166">
        <v>7.434646809223417E-9</v>
      </c>
      <c r="S14" s="166">
        <v>2.2346211181345322E-2</v>
      </c>
      <c r="T14" s="166">
        <v>0.97765378138400783</v>
      </c>
      <c r="U14" s="166"/>
      <c r="V14" s="166"/>
      <c r="W14" s="166"/>
      <c r="X14" s="551">
        <v>1.1753513038547314</v>
      </c>
      <c r="Y14" s="551">
        <v>4.3254298929241486</v>
      </c>
      <c r="Z14" s="166">
        <v>2.2461396194374883</v>
      </c>
      <c r="AA14" s="166">
        <v>2.3840296933706888</v>
      </c>
      <c r="AB14" s="166">
        <v>3.881228876256072E-15</v>
      </c>
      <c r="AC14" s="166">
        <v>1.437922775878907E-5</v>
      </c>
      <c r="AD14" s="166">
        <v>0.61594154817378177</v>
      </c>
      <c r="AE14" s="166">
        <v>0.38404407259845547</v>
      </c>
      <c r="AF14" s="166"/>
      <c r="AG14" s="166"/>
      <c r="AH14" s="166"/>
      <c r="AI14" s="166">
        <v>0.16043854424553489</v>
      </c>
      <c r="AJ14" s="166">
        <v>0.48131563273660466</v>
      </c>
      <c r="AK14" s="166">
        <v>8.0219272122767443E-2</v>
      </c>
      <c r="AL14" s="166">
        <v>4.3952080409881279E-2</v>
      </c>
      <c r="AM14" s="166">
        <v>0.4</v>
      </c>
      <c r="AN14" s="166">
        <v>-19.543519061253633</v>
      </c>
      <c r="AO14" s="166">
        <v>-8.1286870329044589</v>
      </c>
      <c r="AP14" s="166">
        <v>-1.6507854140452141</v>
      </c>
      <c r="AQ14" s="166">
        <v>-9.8148520747523334E-3</v>
      </c>
      <c r="AR14" s="166"/>
      <c r="AS14" s="166"/>
      <c r="AT14" s="166"/>
      <c r="AU14" s="166">
        <v>7.0167239170475265E-2</v>
      </c>
      <c r="AV14" s="166">
        <v>4.3254298929241486</v>
      </c>
      <c r="AW14" s="166">
        <v>0.4</v>
      </c>
      <c r="AX14" s="166">
        <v>-14.410937449290524</v>
      </c>
      <c r="AY14" s="166">
        <v>-4.8422330884921418</v>
      </c>
      <c r="AZ14" s="166">
        <v>-0.21045913718369266</v>
      </c>
      <c r="BA14" s="166">
        <v>-0.41561624276402592</v>
      </c>
      <c r="BB14" s="166"/>
      <c r="BC14" s="166"/>
      <c r="BD14" s="166"/>
      <c r="BE14" s="166">
        <v>-6.7164916460357205</v>
      </c>
      <c r="BF14" s="166">
        <v>-3.3582458230178602</v>
      </c>
      <c r="BG14" s="166">
        <v>-1.3570117780499349</v>
      </c>
      <c r="BH14" s="166">
        <v>0.4</v>
      </c>
      <c r="BI14" s="166">
        <v>-2.2346226050638851E-2</v>
      </c>
      <c r="BJ14" s="166">
        <v>2.2461396194374883</v>
      </c>
      <c r="BK14" s="166">
        <v>-0.61597030662931118</v>
      </c>
      <c r="BL14" s="166">
        <v>-2.5186843672633952</v>
      </c>
      <c r="BM14" s="26"/>
      <c r="BN14" s="26"/>
    </row>
    <row r="15" spans="1:66">
      <c r="A15" s="26"/>
      <c r="B15" s="26"/>
      <c r="C15" s="26"/>
      <c r="D15" s="26"/>
      <c r="E15" s="26"/>
      <c r="F15" s="26"/>
      <c r="G15" s="26"/>
      <c r="H15" s="26"/>
      <c r="I15" s="26"/>
      <c r="J15" s="26"/>
      <c r="K15" s="26"/>
      <c r="L15" s="26"/>
      <c r="M15" s="2"/>
      <c r="N15" s="26"/>
      <c r="O15" s="166">
        <v>0.60000000000000009</v>
      </c>
      <c r="P15" s="166">
        <v>2.9650405304631682</v>
      </c>
      <c r="Q15" s="166">
        <v>1.1238669265176895E-19</v>
      </c>
      <c r="R15" s="166">
        <v>1.8434052464173964E-8</v>
      </c>
      <c r="S15" s="166">
        <v>3.4959432668727204E-2</v>
      </c>
      <c r="T15" s="166">
        <v>0.96504054889722035</v>
      </c>
      <c r="U15" s="166"/>
      <c r="V15" s="166"/>
      <c r="W15" s="166"/>
      <c r="X15" s="551">
        <v>0.74389371350979905</v>
      </c>
      <c r="Y15" s="551">
        <v>5.9982889695675112</v>
      </c>
      <c r="Z15" s="166">
        <v>2.4592837415154789</v>
      </c>
      <c r="AA15" s="166">
        <v>2.2762072864983911</v>
      </c>
      <c r="AB15" s="166">
        <v>1.2170238265135317E-14</v>
      </c>
      <c r="AC15" s="166">
        <v>2.760077441796993E-5</v>
      </c>
      <c r="AD15" s="166">
        <v>0.72373751195273617</v>
      </c>
      <c r="AE15" s="166">
        <v>0.27623488727283357</v>
      </c>
      <c r="AF15" s="166"/>
      <c r="AG15" s="166"/>
      <c r="AH15" s="166"/>
      <c r="AI15" s="166">
        <v>0.17566312439396278</v>
      </c>
      <c r="AJ15" s="166">
        <v>0.52698937318188832</v>
      </c>
      <c r="AK15" s="166">
        <v>8.7831562196981391E-2</v>
      </c>
      <c r="AL15" s="166">
        <v>3.325461507161067E-2</v>
      </c>
      <c r="AM15" s="166">
        <v>0.60000000000000009</v>
      </c>
      <c r="AN15" s="166">
        <v>-18.949162431686879</v>
      </c>
      <c r="AO15" s="166">
        <v>-7.7343291085399981</v>
      </c>
      <c r="AP15" s="166">
        <v>-1.4564261948830513</v>
      </c>
      <c r="AQ15" s="166">
        <v>-1.5454338114886345E-2</v>
      </c>
      <c r="AR15" s="166"/>
      <c r="AS15" s="166"/>
      <c r="AT15" s="166"/>
      <c r="AU15" s="166">
        <v>-0.12848827957092057</v>
      </c>
      <c r="AV15" s="166">
        <v>5.9982889695675112</v>
      </c>
      <c r="AW15" s="166">
        <v>0.60000000000000009</v>
      </c>
      <c r="AX15" s="166">
        <v>-13.914610835590624</v>
      </c>
      <c r="AY15" s="166">
        <v>-4.5590492169776367</v>
      </c>
      <c r="AZ15" s="166">
        <v>-0.14041800785457997</v>
      </c>
      <c r="BA15" s="166">
        <v>-0.55871785562030563</v>
      </c>
      <c r="BB15" s="166"/>
      <c r="BC15" s="166"/>
      <c r="BD15" s="166"/>
      <c r="BE15" s="166">
        <v>-6.5946950048482975</v>
      </c>
      <c r="BF15" s="166">
        <v>-3.2973475024241488</v>
      </c>
      <c r="BG15" s="166">
        <v>-1.4781385053269342</v>
      </c>
      <c r="BH15" s="166">
        <v>0.60000000000000009</v>
      </c>
      <c r="BI15" s="166">
        <v>-3.4959469536831822E-2</v>
      </c>
      <c r="BJ15" s="166">
        <v>2.4592837415154789</v>
      </c>
      <c r="BK15" s="166">
        <v>-0.7237927135016089</v>
      </c>
      <c r="BL15" s="166">
        <v>-2.4730106268181116</v>
      </c>
      <c r="BM15" s="26"/>
      <c r="BN15" s="26"/>
    </row>
    <row r="16" spans="1:66">
      <c r="A16" s="26"/>
      <c r="B16" s="26"/>
      <c r="C16" s="26"/>
      <c r="D16" s="26"/>
      <c r="E16" s="26"/>
      <c r="F16" s="26"/>
      <c r="G16" s="26"/>
      <c r="H16" s="26"/>
      <c r="I16" s="26"/>
      <c r="J16" s="26"/>
      <c r="K16" s="26"/>
      <c r="L16" s="26"/>
      <c r="M16" s="2"/>
      <c r="N16" s="26"/>
      <c r="O16" s="166">
        <v>0.8</v>
      </c>
      <c r="P16" s="166">
        <v>2.9457031781759282</v>
      </c>
      <c r="Q16" s="166">
        <v>4.3845416348057186E-19</v>
      </c>
      <c r="R16" s="166">
        <v>4.5376409317351823E-8</v>
      </c>
      <c r="S16" s="166">
        <v>5.4296731071253164E-2</v>
      </c>
      <c r="T16" s="166">
        <v>0.94570322355233749</v>
      </c>
      <c r="U16" s="166"/>
      <c r="V16" s="166"/>
      <c r="W16" s="166"/>
      <c r="X16" s="551">
        <v>0.47282623367197241</v>
      </c>
      <c r="Y16" s="551">
        <v>7.2857926934375428</v>
      </c>
      <c r="Z16" s="166">
        <v>2.6715840969865385</v>
      </c>
      <c r="AA16" s="166">
        <v>2.189631424696652</v>
      </c>
      <c r="AB16" s="166">
        <v>3.6219904085004806E-14</v>
      </c>
      <c r="AC16" s="166">
        <v>5.0381271896018047E-5</v>
      </c>
      <c r="AD16" s="166">
        <v>0.8102678127594467</v>
      </c>
      <c r="AE16" s="166">
        <v>0.18968180596862091</v>
      </c>
      <c r="AF16" s="166"/>
      <c r="AG16" s="166"/>
      <c r="AH16" s="166"/>
      <c r="AI16" s="166">
        <v>0.19082743549903847</v>
      </c>
      <c r="AJ16" s="166">
        <v>0.5724823064971154</v>
      </c>
      <c r="AK16" s="166">
        <v>9.5413717749519233E-2</v>
      </c>
      <c r="AL16" s="166">
        <v>2.3979353609321779E-2</v>
      </c>
      <c r="AM16" s="166">
        <v>0.8</v>
      </c>
      <c r="AN16" s="166">
        <v>-18.357956951614412</v>
      </c>
      <c r="AO16" s="166">
        <v>-7.3431223336698297</v>
      </c>
      <c r="AP16" s="166">
        <v>-1.2652181252151795</v>
      </c>
      <c r="AQ16" s="166">
        <v>-2.4244973649311632E-2</v>
      </c>
      <c r="AR16" s="166"/>
      <c r="AS16" s="166"/>
      <c r="AT16" s="166"/>
      <c r="AU16" s="166">
        <v>-0.32529632965330663</v>
      </c>
      <c r="AV16" s="166">
        <v>7.2857926934375428</v>
      </c>
      <c r="AW16" s="166">
        <v>0.8</v>
      </c>
      <c r="AX16" s="166">
        <v>-13.440965686867617</v>
      </c>
      <c r="AY16" s="166">
        <v>-4.2977030492956256</v>
      </c>
      <c r="AZ16" s="166">
        <v>-9.1370821213565503E-2</v>
      </c>
      <c r="BA16" s="166">
        <v>-0.72196965002028779</v>
      </c>
      <c r="BB16" s="166"/>
      <c r="BC16" s="166"/>
      <c r="BD16" s="166"/>
      <c r="BE16" s="166">
        <v>-6.4733805160076923</v>
      </c>
      <c r="BF16" s="166">
        <v>-3.2366902580038461</v>
      </c>
      <c r="BG16" s="166">
        <v>-1.6201520390662025</v>
      </c>
      <c r="BH16" s="166">
        <v>0.8</v>
      </c>
      <c r="BI16" s="166">
        <v>-5.4296821824071806E-2</v>
      </c>
      <c r="BJ16" s="166">
        <v>2.6715840969865385</v>
      </c>
      <c r="BK16" s="166">
        <v>-0.81036857530334805</v>
      </c>
      <c r="BL16" s="166">
        <v>-2.4275176935028844</v>
      </c>
      <c r="BM16" s="26"/>
      <c r="BN16" s="26"/>
    </row>
    <row r="17" spans="1:66">
      <c r="A17" s="26"/>
      <c r="B17" s="26"/>
      <c r="C17" s="26"/>
      <c r="D17" s="26"/>
      <c r="E17" s="26"/>
      <c r="F17" s="26"/>
      <c r="G17" s="26"/>
      <c r="H17" s="26"/>
      <c r="I17" s="26"/>
      <c r="J17" s="26"/>
      <c r="K17" s="26"/>
      <c r="L17" s="26"/>
      <c r="M17" s="2"/>
      <c r="N17" s="26"/>
      <c r="O17" s="166">
        <v>1</v>
      </c>
      <c r="P17" s="166">
        <v>2.9165940469207148</v>
      </c>
      <c r="Q17" s="166">
        <v>1.6917898444844041E-18</v>
      </c>
      <c r="R17" s="166">
        <v>1.1047203188590904E-7</v>
      </c>
      <c r="S17" s="166">
        <v>8.3405732135221289E-2</v>
      </c>
      <c r="T17" s="166">
        <v>0.91659415739274686</v>
      </c>
      <c r="U17" s="166"/>
      <c r="V17" s="166"/>
      <c r="W17" s="166"/>
      <c r="X17" s="551">
        <v>0.30340474636721804</v>
      </c>
      <c r="Y17" s="551">
        <v>8.2150732792797498</v>
      </c>
      <c r="Z17" s="166">
        <v>2.8832299762264122</v>
      </c>
      <c r="AA17" s="166">
        <v>2.1256197211122743</v>
      </c>
      <c r="AB17" s="166">
        <v>1.0356736030263798E-13</v>
      </c>
      <c r="AC17" s="166">
        <v>8.8490950361823202E-5</v>
      </c>
      <c r="AD17" s="166">
        <v>0.87420329698669108</v>
      </c>
      <c r="AE17" s="166">
        <v>0.12570821206284352</v>
      </c>
      <c r="AF17" s="166"/>
      <c r="AG17" s="166"/>
      <c r="AH17" s="166"/>
      <c r="AI17" s="166">
        <v>0.20594499830188659</v>
      </c>
      <c r="AJ17" s="166">
        <v>0.61783499490565974</v>
      </c>
      <c r="AK17" s="166">
        <v>0.10297249915094329</v>
      </c>
      <c r="AL17" s="166">
        <v>1.6521035564471959E-2</v>
      </c>
      <c r="AM17" s="166">
        <v>1</v>
      </c>
      <c r="AN17" s="166">
        <v>-17.771538532880388</v>
      </c>
      <c r="AO17" s="166">
        <v>-6.9567026201381053</v>
      </c>
      <c r="AP17" s="166">
        <v>-1.0787971168857524</v>
      </c>
      <c r="AQ17" s="166">
        <v>-3.7822670522181558E-2</v>
      </c>
      <c r="AR17" s="166"/>
      <c r="AS17" s="166"/>
      <c r="AT17" s="166"/>
      <c r="AU17" s="166">
        <v>-0.51797427615036951</v>
      </c>
      <c r="AV17" s="166">
        <v>8.2150732792797498</v>
      </c>
      <c r="AW17" s="166">
        <v>1</v>
      </c>
      <c r="AX17" s="166">
        <v>-12.984693029496828</v>
      </c>
      <c r="AY17" s="166">
        <v>-4.0530749009717182</v>
      </c>
      <c r="AZ17" s="166">
        <v>-5.8387181936540286E-2</v>
      </c>
      <c r="BA17" s="166">
        <v>-0.90063051979014475</v>
      </c>
      <c r="BB17" s="166"/>
      <c r="BC17" s="166"/>
      <c r="BD17" s="166"/>
      <c r="BE17" s="166">
        <v>-6.3524400135849071</v>
      </c>
      <c r="BF17" s="166">
        <v>-3.1762200067924535</v>
      </c>
      <c r="BG17" s="166">
        <v>-1.7819511974955422</v>
      </c>
      <c r="BH17" s="166">
        <v>1</v>
      </c>
      <c r="BI17" s="166">
        <v>-8.3405953079285222E-2</v>
      </c>
      <c r="BJ17" s="166">
        <v>2.8832299762264122</v>
      </c>
      <c r="BK17" s="166">
        <v>-0.87438027888772574</v>
      </c>
      <c r="BL17" s="166">
        <v>-2.3821650050943401</v>
      </c>
      <c r="BM17" s="26"/>
      <c r="BN17" s="26"/>
    </row>
    <row r="18" spans="1:66">
      <c r="A18" s="26"/>
      <c r="B18" s="26"/>
      <c r="C18" s="26"/>
      <c r="D18" s="26"/>
      <c r="E18" s="26"/>
      <c r="F18" s="26"/>
      <c r="G18" s="26"/>
      <c r="H18" s="26"/>
      <c r="I18" s="26"/>
      <c r="J18" s="26"/>
      <c r="K18" s="26"/>
      <c r="L18" s="26"/>
      <c r="M18" s="2"/>
      <c r="N18" s="26"/>
      <c r="O18" s="166">
        <v>1.2</v>
      </c>
      <c r="P18" s="166">
        <v>2.8739590030275246</v>
      </c>
      <c r="Q18" s="166">
        <v>6.4218553806404168E-18</v>
      </c>
      <c r="R18" s="166">
        <v>2.6458574942557291E-7</v>
      </c>
      <c r="S18" s="166">
        <v>0.1260404678009768</v>
      </c>
      <c r="T18" s="166">
        <v>0.8739592676132738</v>
      </c>
      <c r="U18" s="166"/>
      <c r="V18" s="166"/>
      <c r="W18" s="166"/>
      <c r="X18" s="551">
        <v>0.19856415799438068</v>
      </c>
      <c r="Y18" s="551">
        <v>8.852646873856429</v>
      </c>
      <c r="Z18" s="166">
        <v>3.0944106420923969</v>
      </c>
      <c r="AA18" s="166">
        <v>2.0810769624610548</v>
      </c>
      <c r="AB18" s="166">
        <v>2.878113919539166E-13</v>
      </c>
      <c r="AC18" s="166">
        <v>1.5121792211044108E-4</v>
      </c>
      <c r="AD18" s="166">
        <v>0.91862060169386095</v>
      </c>
      <c r="AE18" s="166">
        <v>8.1228180383740842E-2</v>
      </c>
      <c r="AF18" s="166"/>
      <c r="AG18" s="166"/>
      <c r="AH18" s="166"/>
      <c r="AI18" s="166">
        <v>0.22102933157802834</v>
      </c>
      <c r="AJ18" s="166">
        <v>0.66308799473408508</v>
      </c>
      <c r="AK18" s="166">
        <v>0.11051466578901417</v>
      </c>
      <c r="AL18" s="166">
        <v>1.0982833597039278E-2</v>
      </c>
      <c r="AM18" s="166">
        <v>1.2</v>
      </c>
      <c r="AN18" s="166">
        <v>-17.192228175907097</v>
      </c>
      <c r="AO18" s="166">
        <v>-6.5773909683671103</v>
      </c>
      <c r="AP18" s="166">
        <v>-0.89948417031705397</v>
      </c>
      <c r="AQ18" s="166">
        <v>-5.8508429155780223E-2</v>
      </c>
      <c r="AR18" s="166"/>
      <c r="AS18" s="166"/>
      <c r="AT18" s="166"/>
      <c r="AU18" s="166">
        <v>-0.70209459610867064</v>
      </c>
      <c r="AV18" s="166">
        <v>8.852646873856429</v>
      </c>
      <c r="AW18" s="166">
        <v>1.2</v>
      </c>
      <c r="AX18" s="166">
        <v>-12.540810830520778</v>
      </c>
      <c r="AY18" s="166">
        <v>-3.8203720006804476</v>
      </c>
      <c r="AZ18" s="166">
        <v>-3.686358033004869E-2</v>
      </c>
      <c r="BA18" s="166">
        <v>-1.0902862168684324</v>
      </c>
      <c r="BB18" s="166"/>
      <c r="BC18" s="166"/>
      <c r="BD18" s="166"/>
      <c r="BE18" s="166">
        <v>-6.2317653473757737</v>
      </c>
      <c r="BF18" s="166">
        <v>-3.1158826736878869</v>
      </c>
      <c r="BG18" s="166">
        <v>-1.9592729120332253</v>
      </c>
      <c r="BH18" s="166">
        <v>1.2</v>
      </c>
      <c r="BI18" s="166">
        <v>-0.12604099697247539</v>
      </c>
      <c r="BJ18" s="166">
        <v>3.0944106420923969</v>
      </c>
      <c r="BK18" s="166">
        <v>-0.91892303753894522</v>
      </c>
      <c r="BL18" s="166">
        <v>-2.3369120052659147</v>
      </c>
      <c r="BM18" s="26"/>
      <c r="BN18" s="26"/>
    </row>
    <row r="19" spans="1:66">
      <c r="A19" s="26"/>
      <c r="B19" s="26"/>
      <c r="C19" s="26"/>
      <c r="D19" s="26"/>
      <c r="E19" s="26"/>
      <c r="F19" s="26"/>
      <c r="G19" s="26"/>
      <c r="H19" s="26"/>
      <c r="I19" s="26"/>
      <c r="J19" s="26"/>
      <c r="K19" s="26"/>
      <c r="L19" s="26"/>
      <c r="M19" s="2"/>
      <c r="N19" s="26"/>
      <c r="O19" s="166">
        <v>1.4</v>
      </c>
      <c r="P19" s="166">
        <v>2.8139534563738851</v>
      </c>
      <c r="Q19" s="166">
        <v>2.3810539237437955E-17</v>
      </c>
      <c r="R19" s="166">
        <v>6.1897792290047827E-7</v>
      </c>
      <c r="S19" s="166">
        <v>0.18604530567026856</v>
      </c>
      <c r="T19" s="166">
        <v>0.81395407535180841</v>
      </c>
      <c r="U19" s="166"/>
      <c r="V19" s="166"/>
      <c r="W19" s="166"/>
      <c r="X19" s="551">
        <v>0.13471825715196345</v>
      </c>
      <c r="Y19" s="551">
        <v>9.2745251997257583</v>
      </c>
      <c r="Z19" s="166">
        <v>3.3052786795679925</v>
      </c>
      <c r="AA19" s="166">
        <v>2.0513382707540981</v>
      </c>
      <c r="AB19" s="166">
        <v>7.8448918912047788E-13</v>
      </c>
      <c r="AC19" s="166">
        <v>2.5363793680209762E-4</v>
      </c>
      <c r="AD19" s="166">
        <v>0.94815445336994453</v>
      </c>
      <c r="AE19" s="166">
        <v>5.1591908692468998E-2</v>
      </c>
      <c r="AF19" s="166"/>
      <c r="AG19" s="166"/>
      <c r="AH19" s="166"/>
      <c r="AI19" s="166">
        <v>0.23609133425485659</v>
      </c>
      <c r="AJ19" s="166">
        <v>0.70827400276456987</v>
      </c>
      <c r="AK19" s="166">
        <v>0.1180456671274283</v>
      </c>
      <c r="AL19" s="166">
        <v>7.1242144586484172E-3</v>
      </c>
      <c r="AM19" s="166">
        <v>1.4</v>
      </c>
      <c r="AN19" s="166">
        <v>-16.623123150408691</v>
      </c>
      <c r="AO19" s="166">
        <v>-6.208284648071003</v>
      </c>
      <c r="AP19" s="166">
        <v>-0.73037655522324396</v>
      </c>
      <c r="AQ19" s="166">
        <v>-8.9399519264267049E-2</v>
      </c>
      <c r="AR19" s="166"/>
      <c r="AS19" s="166"/>
      <c r="AT19" s="166"/>
      <c r="AU19" s="166">
        <v>-0.87056790818603991</v>
      </c>
      <c r="AV19" s="166">
        <v>9.2745251997257583</v>
      </c>
      <c r="AW19" s="166">
        <v>1.4</v>
      </c>
      <c r="AX19" s="166">
        <v>-12.105334666651197</v>
      </c>
      <c r="AY19" s="166">
        <v>-3.5957625091292118</v>
      </c>
      <c r="AZ19" s="166">
        <v>-2.312076109715553E-2</v>
      </c>
      <c r="BA19" s="166">
        <v>-1.2874100699538822</v>
      </c>
      <c r="BB19" s="166"/>
      <c r="BC19" s="166"/>
      <c r="BD19" s="166"/>
      <c r="BE19" s="166">
        <v>-6.111269325961147</v>
      </c>
      <c r="BF19" s="166">
        <v>-3.0556346629805735</v>
      </c>
      <c r="BG19" s="166">
        <v>-2.1472491141854091</v>
      </c>
      <c r="BH19" s="166">
        <v>1.4</v>
      </c>
      <c r="BI19" s="166">
        <v>-0.18604654362611495</v>
      </c>
      <c r="BJ19" s="166">
        <v>3.3052786795679925</v>
      </c>
      <c r="BK19" s="166">
        <v>-0.94866172924590186</v>
      </c>
      <c r="BL19" s="166">
        <v>-2.2917259972354302</v>
      </c>
      <c r="BM19" s="26"/>
      <c r="BN19" s="26"/>
    </row>
    <row r="20" spans="1:66">
      <c r="A20" s="26"/>
      <c r="B20" s="26"/>
      <c r="C20" s="26"/>
      <c r="D20" s="26"/>
      <c r="E20" s="26"/>
      <c r="F20" s="26"/>
      <c r="G20" s="26"/>
      <c r="H20" s="26"/>
      <c r="I20" s="26"/>
      <c r="J20" s="26"/>
      <c r="K20" s="26"/>
      <c r="L20" s="26"/>
      <c r="M20" s="2"/>
      <c r="N20" s="26"/>
      <c r="O20" s="166">
        <v>1.5999999999999999</v>
      </c>
      <c r="P20" s="166">
        <v>2.7340725323978314</v>
      </c>
      <c r="Q20" s="166">
        <v>8.5488782587888467E-17</v>
      </c>
      <c r="R20" s="166">
        <v>1.4022164600985738E-6</v>
      </c>
      <c r="S20" s="166">
        <v>0.26592466316924818</v>
      </c>
      <c r="T20" s="166">
        <v>0.7340739346142916</v>
      </c>
      <c r="U20" s="166"/>
      <c r="V20" s="166"/>
      <c r="W20" s="166"/>
      <c r="X20" s="551">
        <v>9.647580921706285E-2</v>
      </c>
      <c r="Y20" s="551">
        <v>9.5472193221212365</v>
      </c>
      <c r="Z20" s="166">
        <v>3.5159445293883027</v>
      </c>
      <c r="AA20" s="166">
        <v>2.0319796658593394</v>
      </c>
      <c r="AB20" s="166">
        <v>2.1112847262447337E-12</v>
      </c>
      <c r="AC20" s="166">
        <v>4.2025046708891496E-4</v>
      </c>
      <c r="AD20" s="166">
        <v>0.96717983320014889</v>
      </c>
      <c r="AE20" s="166">
        <v>3.2399916330650855E-2</v>
      </c>
      <c r="AF20" s="166"/>
      <c r="AG20" s="166"/>
      <c r="AH20" s="166"/>
      <c r="AI20" s="166">
        <v>0.25113889495630731</v>
      </c>
      <c r="AJ20" s="166">
        <v>0.75341668486892199</v>
      </c>
      <c r="AK20" s="166">
        <v>0.12556944747815366</v>
      </c>
      <c r="AL20" s="166">
        <v>4.558876574343446E-3</v>
      </c>
      <c r="AM20" s="166">
        <v>1.5999999999999999</v>
      </c>
      <c r="AN20" s="166">
        <v>-16.067986842855802</v>
      </c>
      <c r="AO20" s="166">
        <v>-5.8531470457204069</v>
      </c>
      <c r="AP20" s="166">
        <v>-0.57523765807494465</v>
      </c>
      <c r="AQ20" s="166">
        <v>-0.1342593273182647</v>
      </c>
      <c r="AR20" s="166"/>
      <c r="AS20" s="166"/>
      <c r="AT20" s="166"/>
      <c r="AU20" s="166">
        <v>-1.0155749951149011</v>
      </c>
      <c r="AV20" s="166">
        <v>9.5472193221212365</v>
      </c>
      <c r="AW20" s="166">
        <v>1.5999999999999999</v>
      </c>
      <c r="AX20" s="166">
        <v>-11.675377607370903</v>
      </c>
      <c r="AY20" s="166">
        <v>-3.3764699358209342</v>
      </c>
      <c r="AZ20" s="166">
        <v>-1.4492673760896163E-2</v>
      </c>
      <c r="BA20" s="166">
        <v>-1.4894464685896409</v>
      </c>
      <c r="BB20" s="166"/>
      <c r="BC20" s="166"/>
      <c r="BD20" s="166"/>
      <c r="BE20" s="166">
        <v>-5.9908888403495411</v>
      </c>
      <c r="BF20" s="166">
        <v>-2.9954444201747705</v>
      </c>
      <c r="BG20" s="166">
        <v>-2.3411270090698828</v>
      </c>
      <c r="BH20" s="166">
        <v>1.5999999999999999</v>
      </c>
      <c r="BI20" s="166">
        <v>-0.26592746760216857</v>
      </c>
      <c r="BJ20" s="166">
        <v>3.5159445293883027</v>
      </c>
      <c r="BK20" s="166">
        <v>-0.96802033414066058</v>
      </c>
      <c r="BL20" s="166">
        <v>-2.2465833151310779</v>
      </c>
      <c r="BM20" s="26"/>
      <c r="BN20" s="26"/>
    </row>
    <row r="21" spans="1:66">
      <c r="A21" s="26"/>
      <c r="B21" s="26"/>
      <c r="C21" s="26"/>
      <c r="D21" s="26"/>
      <c r="E21" s="26"/>
      <c r="F21" s="26"/>
      <c r="G21" s="26"/>
      <c r="H21" s="26"/>
      <c r="I21" s="26"/>
      <c r="J21" s="26"/>
      <c r="K21" s="26"/>
      <c r="L21" s="26"/>
      <c r="M21" s="2"/>
      <c r="N21" s="26"/>
      <c r="O21" s="166">
        <v>1.7999999999999998</v>
      </c>
      <c r="P21" s="166">
        <v>2.6352619881655723</v>
      </c>
      <c r="Q21" s="166">
        <v>2.9452643612770548E-16</v>
      </c>
      <c r="R21" s="166">
        <v>3.0481070163458119E-6</v>
      </c>
      <c r="S21" s="166">
        <v>0.36473191562039453</v>
      </c>
      <c r="T21" s="166">
        <v>0.63526503627258879</v>
      </c>
      <c r="U21" s="166"/>
      <c r="V21" s="166"/>
      <c r="W21" s="166"/>
      <c r="X21" s="551">
        <v>7.3368250782854305E-2</v>
      </c>
      <c r="Y21" s="551">
        <v>9.7213898246991448</v>
      </c>
      <c r="Z21" s="166">
        <v>3.7264837975794283</v>
      </c>
      <c r="AA21" s="166">
        <v>2.0195081270624855</v>
      </c>
      <c r="AB21" s="166">
        <v>5.6357236557403817E-12</v>
      </c>
      <c r="AC21" s="166">
        <v>6.9083100428200199E-4</v>
      </c>
      <c r="AD21" s="166">
        <v>0.97911021091204298</v>
      </c>
      <c r="AE21" s="166">
        <v>2.0198958078039158E-2</v>
      </c>
      <c r="AF21" s="166"/>
      <c r="AG21" s="166"/>
      <c r="AH21" s="166"/>
      <c r="AI21" s="166">
        <v>0.26617741411281631</v>
      </c>
      <c r="AJ21" s="166">
        <v>0.79853224233844888</v>
      </c>
      <c r="AK21" s="166">
        <v>0.13308870705640816</v>
      </c>
      <c r="AL21" s="166">
        <v>2.9142630421140946E-3</v>
      </c>
      <c r="AM21" s="166">
        <v>1.7999999999999998</v>
      </c>
      <c r="AN21" s="166">
        <v>-15.530775170977027</v>
      </c>
      <c r="AO21" s="166">
        <v>-5.5159340790439293</v>
      </c>
      <c r="AP21" s="166">
        <v>-0.43802339660076417</v>
      </c>
      <c r="AQ21" s="166">
        <v>-0.19704377104638138</v>
      </c>
      <c r="AR21" s="166"/>
      <c r="AS21" s="166"/>
      <c r="AT21" s="166"/>
      <c r="AU21" s="166">
        <v>-1.1344844903939</v>
      </c>
      <c r="AV21" s="166">
        <v>9.7213898246991448</v>
      </c>
      <c r="AW21" s="166">
        <v>1.7999999999999998</v>
      </c>
      <c r="AX21" s="166">
        <v>-11.248977484182154</v>
      </c>
      <c r="AY21" s="166">
        <v>-3.1606077177945071</v>
      </c>
      <c r="AZ21" s="166">
        <v>-9.1683608967905537E-3</v>
      </c>
      <c r="BA21" s="166">
        <v>-1.6946600608878566</v>
      </c>
      <c r="BB21" s="166"/>
      <c r="BC21" s="166"/>
      <c r="BD21" s="166"/>
      <c r="BE21" s="166">
        <v>-5.8705806870974691</v>
      </c>
      <c r="BF21" s="166">
        <v>-2.9352903435487345</v>
      </c>
      <c r="BG21" s="166">
        <v>-2.535454836656073</v>
      </c>
      <c r="BH21" s="166">
        <v>1.7999999999999998</v>
      </c>
      <c r="BI21" s="166">
        <v>-0.36473801183442767</v>
      </c>
      <c r="BJ21" s="166">
        <v>3.7264837975794283</v>
      </c>
      <c r="BK21" s="166">
        <v>-0.9804918729375145</v>
      </c>
      <c r="BL21" s="166">
        <v>-2.2014677576615513</v>
      </c>
      <c r="BM21" s="26"/>
      <c r="BN21" s="26"/>
    </row>
    <row r="22" spans="1:66">
      <c r="A22" s="26"/>
      <c r="B22" s="26"/>
      <c r="C22" s="26"/>
      <c r="D22" s="26"/>
      <c r="E22" s="26"/>
      <c r="F22" s="26"/>
      <c r="G22" s="26"/>
      <c r="H22" s="26"/>
      <c r="I22" s="26"/>
      <c r="J22" s="26"/>
      <c r="K22" s="26"/>
      <c r="L22" s="26"/>
      <c r="M22" s="2"/>
      <c r="N22" s="26"/>
      <c r="O22" s="166">
        <v>1.9999999999999998</v>
      </c>
      <c r="P22" s="166">
        <v>2.5235635632819284</v>
      </c>
      <c r="Q22" s="166">
        <v>9.6637119913681631E-16</v>
      </c>
      <c r="R22" s="166">
        <v>6.3102985440370833E-6</v>
      </c>
      <c r="S22" s="166">
        <v>0.47642381612098039</v>
      </c>
      <c r="T22" s="166">
        <v>0.52356987358047458</v>
      </c>
      <c r="U22" s="166"/>
      <c r="V22" s="166"/>
      <c r="W22" s="166"/>
      <c r="X22" s="551">
        <v>5.8180338206695402E-2</v>
      </c>
      <c r="Y22" s="551">
        <v>9.8327682426315732</v>
      </c>
      <c r="Z22" s="166">
        <v>3.9369472311575628</v>
      </c>
      <c r="AA22" s="166">
        <v>2.0114032510373887</v>
      </c>
      <c r="AB22" s="166">
        <v>1.4964778899630456E-11</v>
      </c>
      <c r="AC22" s="166">
        <v>1.1298713639788921E-3</v>
      </c>
      <c r="AD22" s="166">
        <v>0.98633700618975939</v>
      </c>
      <c r="AE22" s="166">
        <v>1.2533122431297014E-2</v>
      </c>
      <c r="AF22" s="166"/>
      <c r="AG22" s="166"/>
      <c r="AH22" s="166"/>
      <c r="AI22" s="166">
        <v>0.2812105165112545</v>
      </c>
      <c r="AJ22" s="166">
        <v>0.84363154953376351</v>
      </c>
      <c r="AK22" s="166">
        <v>0.14060525825562725</v>
      </c>
      <c r="AL22" s="166">
        <v>1.8986855477912637E-3</v>
      </c>
      <c r="AM22" s="166">
        <v>1.9999999999999998</v>
      </c>
      <c r="AN22" s="166">
        <v>-15.014758815849069</v>
      </c>
      <c r="AO22" s="166">
        <v>-5.1999164291182689</v>
      </c>
      <c r="AP22" s="166">
        <v>-0.32200445187740029</v>
      </c>
      <c r="AQ22" s="166">
        <v>-0.28102353152531434</v>
      </c>
      <c r="AR22" s="166"/>
      <c r="AS22" s="166"/>
      <c r="AT22" s="166"/>
      <c r="AU22" s="166">
        <v>-1.2352157616706074</v>
      </c>
      <c r="AV22" s="166">
        <v>9.8327682426315732</v>
      </c>
      <c r="AW22" s="166">
        <v>1.9999999999999998</v>
      </c>
      <c r="AX22" s="166">
        <v>-10.824859614883826</v>
      </c>
      <c r="AY22" s="166">
        <v>-2.9469519195364602</v>
      </c>
      <c r="AZ22" s="166">
        <v>-5.9746336790264774E-3</v>
      </c>
      <c r="BA22" s="166">
        <v>-1.9019284047103753</v>
      </c>
      <c r="BB22" s="166"/>
      <c r="BC22" s="166"/>
      <c r="BD22" s="166"/>
      <c r="BE22" s="166">
        <v>-5.750315867909964</v>
      </c>
      <c r="BF22" s="166">
        <v>-2.875157933954982</v>
      </c>
      <c r="BG22" s="166">
        <v>-2.721529336045116</v>
      </c>
      <c r="BH22" s="166">
        <v>1.9999999999999998</v>
      </c>
      <c r="BI22" s="166">
        <v>-0.47643643671807157</v>
      </c>
      <c r="BJ22" s="166">
        <v>3.9369472311575628</v>
      </c>
      <c r="BK22" s="166">
        <v>-0.98859674896261129</v>
      </c>
      <c r="BL22" s="166">
        <v>-2.1563684504662364</v>
      </c>
      <c r="BM22" s="26"/>
      <c r="BN22" s="26"/>
    </row>
    <row r="23" spans="1:66">
      <c r="A23" s="26"/>
      <c r="B23" s="26"/>
      <c r="C23" s="26"/>
      <c r="D23" s="26"/>
      <c r="E23" s="26"/>
      <c r="F23" s="26"/>
      <c r="G23" s="26"/>
      <c r="H23" s="26"/>
      <c r="I23" s="26"/>
      <c r="J23" s="26"/>
      <c r="K23" s="26"/>
      <c r="L23" s="26"/>
      <c r="M23" s="2"/>
      <c r="N23" s="26"/>
      <c r="O23" s="166">
        <v>2.1999999999999997</v>
      </c>
      <c r="P23" s="166">
        <v>2.4094531194103186</v>
      </c>
      <c r="Q23" s="166">
        <v>3.0087538662138324E-15</v>
      </c>
      <c r="R23" s="166">
        <v>1.2396314606042857E-5</v>
      </c>
      <c r="S23" s="166">
        <v>0.59052208796046002</v>
      </c>
      <c r="T23" s="166">
        <v>0.40946551572493084</v>
      </c>
      <c r="U23" s="166"/>
      <c r="V23" s="166"/>
      <c r="W23" s="166"/>
      <c r="X23" s="551">
        <v>4.6429632781777051E-2</v>
      </c>
      <c r="Y23" s="551">
        <v>9.9056407503667288</v>
      </c>
      <c r="Z23" s="166">
        <v>4.1473695514894615</v>
      </c>
      <c r="AA23" s="166">
        <v>2.0059104123474425</v>
      </c>
      <c r="AB23" s="166">
        <v>3.9600702191576803E-11</v>
      </c>
      <c r="AC23" s="166">
        <v>1.8417864080074522E-3</v>
      </c>
      <c r="AD23" s="166">
        <v>0.99040601471774037</v>
      </c>
      <c r="AE23" s="166">
        <v>7.752198834651565E-3</v>
      </c>
      <c r="AF23" s="166"/>
      <c r="AG23" s="166"/>
      <c r="AH23" s="166"/>
      <c r="AI23" s="166">
        <v>0.29624068224924727</v>
      </c>
      <c r="AJ23" s="166">
        <v>0.8887220467477418</v>
      </c>
      <c r="AK23" s="166">
        <v>0.14812034112462363</v>
      </c>
      <c r="AL23" s="166">
        <v>1.3103642106018175E-3</v>
      </c>
      <c r="AM23" s="166">
        <v>2.1999999999999997</v>
      </c>
      <c r="AN23" s="166">
        <v>-14.521519325895209</v>
      </c>
      <c r="AO23" s="166">
        <v>-4.9066756443667074</v>
      </c>
      <c r="AP23" s="166">
        <v>-0.22876237232813557</v>
      </c>
      <c r="AQ23" s="166">
        <v>-0.38778015717834674</v>
      </c>
      <c r="AR23" s="166"/>
      <c r="AS23" s="166"/>
      <c r="AT23" s="166"/>
      <c r="AU23" s="166">
        <v>-1.3331961200615821</v>
      </c>
      <c r="AV23" s="166">
        <v>9.9056407503667288</v>
      </c>
      <c r="AW23" s="166">
        <v>2.1999999999999997</v>
      </c>
      <c r="AX23" s="166">
        <v>-10.402229768832971</v>
      </c>
      <c r="AY23" s="166">
        <v>-2.7347430315458201</v>
      </c>
      <c r="AZ23" s="166">
        <v>-4.1867037485998513E-3</v>
      </c>
      <c r="BA23" s="166">
        <v>-2.1105614328401625</v>
      </c>
      <c r="BB23" s="166"/>
      <c r="BC23" s="166"/>
      <c r="BD23" s="166"/>
      <c r="BE23" s="166">
        <v>-5.6300745420060219</v>
      </c>
      <c r="BF23" s="166">
        <v>-2.8150372710030109</v>
      </c>
      <c r="BG23" s="166">
        <v>-2.8825893151438562</v>
      </c>
      <c r="BH23" s="166">
        <v>2.1999999999999997</v>
      </c>
      <c r="BI23" s="166">
        <v>-0.59054688058968141</v>
      </c>
      <c r="BJ23" s="166">
        <v>4.1473695514894615</v>
      </c>
      <c r="BK23" s="166">
        <v>-0.9940895876525575</v>
      </c>
      <c r="BL23" s="166">
        <v>-2.1112779532522583</v>
      </c>
      <c r="BM23" s="26"/>
      <c r="BN23" s="26"/>
    </row>
    <row r="24" spans="1:66">
      <c r="A24" s="26"/>
      <c r="B24" s="26"/>
      <c r="C24" s="26"/>
      <c r="D24" s="26"/>
      <c r="E24" s="26"/>
      <c r="F24" s="26"/>
      <c r="G24" s="26"/>
      <c r="H24" s="26"/>
      <c r="I24" s="26"/>
      <c r="J24" s="26"/>
      <c r="K24" s="26"/>
      <c r="L24" s="26"/>
      <c r="M24" s="2"/>
      <c r="N24" s="26"/>
      <c r="O24" s="166">
        <v>2.4</v>
      </c>
      <c r="P24" s="166">
        <v>2.3043191633466358</v>
      </c>
      <c r="Q24" s="166">
        <v>8.9029033321061858E-15</v>
      </c>
      <c r="R24" s="166">
        <v>2.3143955528845022E-5</v>
      </c>
      <c r="S24" s="166">
        <v>0.69563454874227915</v>
      </c>
      <c r="T24" s="166">
        <v>0.30434230730218298</v>
      </c>
      <c r="U24" s="166"/>
      <c r="V24" s="166"/>
      <c r="W24" s="166"/>
      <c r="X24" s="551">
        <v>3.6107748192569761E-2</v>
      </c>
      <c r="Y24" s="551">
        <v>9.956512633652892</v>
      </c>
      <c r="Z24" s="166">
        <v>4.3577764259656462</v>
      </c>
      <c r="AA24" s="166">
        <v>2.0017889345924105</v>
      </c>
      <c r="AB24" s="166">
        <v>1.0454699217274665E-10</v>
      </c>
      <c r="AC24" s="166">
        <v>2.995304955406816E-3</v>
      </c>
      <c r="AD24" s="166">
        <v>0.99222045518313517</v>
      </c>
      <c r="AE24" s="166">
        <v>4.784239756911053E-3</v>
      </c>
      <c r="AF24" s="166"/>
      <c r="AG24" s="166"/>
      <c r="AH24" s="166"/>
      <c r="AI24" s="166">
        <v>0.31126974471183189</v>
      </c>
      <c r="AJ24" s="166">
        <v>0.93380923413549566</v>
      </c>
      <c r="AK24" s="166">
        <v>0.15563487235591594</v>
      </c>
      <c r="AL24" s="166">
        <v>1.0245502868026332E-3</v>
      </c>
      <c r="AM24" s="166">
        <v>2.4</v>
      </c>
      <c r="AN24" s="166">
        <v>-14.050377379605333</v>
      </c>
      <c r="AO24" s="166">
        <v>-4.6355324032791252</v>
      </c>
      <c r="AP24" s="166">
        <v>-0.15761783644285099</v>
      </c>
      <c r="AQ24" s="166">
        <v>-0.51663432649535923</v>
      </c>
      <c r="AR24" s="166"/>
      <c r="AS24" s="166"/>
      <c r="AT24" s="166"/>
      <c r="AU24" s="166">
        <v>-1.4423902567967499</v>
      </c>
      <c r="AV24" s="166">
        <v>9.956512633652892</v>
      </c>
      <c r="AW24" s="166">
        <v>2.4</v>
      </c>
      <c r="AX24" s="166">
        <v>-9.9806238424991154</v>
      </c>
      <c r="AY24" s="166">
        <v>-2.5235426175164606</v>
      </c>
      <c r="AZ24" s="166">
        <v>-3.3918020237361079E-3</v>
      </c>
      <c r="BA24" s="166">
        <v>-2.3201720434197943</v>
      </c>
      <c r="BB24" s="166"/>
      <c r="BC24" s="166"/>
      <c r="BD24" s="166"/>
      <c r="BE24" s="166">
        <v>-5.5098420423053449</v>
      </c>
      <c r="BF24" s="166">
        <v>-2.7549210211526725</v>
      </c>
      <c r="BG24" s="166">
        <v>-2.9894473669986659</v>
      </c>
      <c r="BH24" s="166">
        <v>2.4</v>
      </c>
      <c r="BI24" s="166">
        <v>-0.69568083665336422</v>
      </c>
      <c r="BJ24" s="166">
        <v>4.3577764259656462</v>
      </c>
      <c r="BK24" s="166">
        <v>-0.99821106540758953</v>
      </c>
      <c r="BL24" s="166">
        <v>-2.0661907658645045</v>
      </c>
      <c r="BM24" s="26"/>
      <c r="BN24" s="26"/>
    </row>
    <row r="25" spans="1:66">
      <c r="A25" s="26"/>
      <c r="B25" s="26"/>
      <c r="C25" s="26"/>
      <c r="D25" s="26"/>
      <c r="E25" s="26"/>
      <c r="F25" s="26"/>
      <c r="G25" s="26"/>
      <c r="H25" s="26"/>
      <c r="I25" s="26"/>
      <c r="J25" s="26"/>
      <c r="K25" s="26"/>
      <c r="L25" s="26"/>
      <c r="M25" s="2"/>
      <c r="N25" s="26"/>
      <c r="O25" s="166">
        <v>2.6</v>
      </c>
      <c r="P25" s="166">
        <v>2.2162788253141601</v>
      </c>
      <c r="Q25" s="166">
        <v>2.5192211706521684E-14</v>
      </c>
      <c r="R25" s="166">
        <v>4.1321133430407849E-5</v>
      </c>
      <c r="S25" s="166">
        <v>0.78363853241890358</v>
      </c>
      <c r="T25" s="166">
        <v>0.21632014644764086</v>
      </c>
      <c r="U25" s="166"/>
      <c r="V25" s="166"/>
      <c r="W25" s="166"/>
      <c r="X25" s="551">
        <v>2.6924409176750812E-2</v>
      </c>
      <c r="Y25" s="551">
        <v>9.9971799951163121</v>
      </c>
      <c r="Z25" s="166">
        <v>4.568190022913047</v>
      </c>
      <c r="AA25" s="166">
        <v>1.9980847429450062</v>
      </c>
      <c r="AB25" s="166">
        <v>2.7550259559188558E-10</v>
      </c>
      <c r="AC25" s="166">
        <v>4.8622983125186214E-3</v>
      </c>
      <c r="AD25" s="166">
        <v>0.99219065960344843</v>
      </c>
      <c r="AE25" s="166">
        <v>2.9470418085303209E-3</v>
      </c>
      <c r="AF25" s="166"/>
      <c r="AG25" s="166"/>
      <c r="AH25" s="166"/>
      <c r="AI25" s="166">
        <v>0.32629928735093194</v>
      </c>
      <c r="AJ25" s="166">
        <v>0.97889786205279583</v>
      </c>
      <c r="AK25" s="166">
        <v>0.16314964367546597</v>
      </c>
      <c r="AL25" s="166">
        <v>9.7829283675257149E-4</v>
      </c>
      <c r="AM25" s="166">
        <v>2.6</v>
      </c>
      <c r="AN25" s="166">
        <v>-13.59864566465169</v>
      </c>
      <c r="AO25" s="166">
        <v>-4.3837993935277799</v>
      </c>
      <c r="AP25" s="166">
        <v>-0.10588353189380291</v>
      </c>
      <c r="AQ25" s="166">
        <v>-0.66489872714860843</v>
      </c>
      <c r="AR25" s="166"/>
      <c r="AS25" s="166"/>
      <c r="AT25" s="166"/>
      <c r="AU25" s="166">
        <v>-1.5698436547713912</v>
      </c>
      <c r="AV25" s="166">
        <v>9.9971799951163121</v>
      </c>
      <c r="AW25" s="166">
        <v>2.6</v>
      </c>
      <c r="AX25" s="166">
        <v>-9.559812414658996</v>
      </c>
      <c r="AY25" s="166">
        <v>-2.3131434244085316</v>
      </c>
      <c r="AZ25" s="166">
        <v>-3.4048436479981771E-3</v>
      </c>
      <c r="BA25" s="166">
        <v>-2.530597319776247</v>
      </c>
      <c r="BB25" s="166"/>
      <c r="BC25" s="166"/>
      <c r="BD25" s="166"/>
      <c r="BE25" s="166">
        <v>-5.3896057011925445</v>
      </c>
      <c r="BF25" s="166">
        <v>-2.6948028505962722</v>
      </c>
      <c r="BG25" s="166">
        <v>-3.0095116427801258</v>
      </c>
      <c r="BH25" s="166">
        <v>2.6</v>
      </c>
      <c r="BI25" s="166">
        <v>-0.78372117468583991</v>
      </c>
      <c r="BJ25" s="166">
        <v>4.568190022913047</v>
      </c>
      <c r="BK25" s="166">
        <v>-1.0019152570549938</v>
      </c>
      <c r="BL25" s="166">
        <v>-2.0211021379472043</v>
      </c>
      <c r="BM25" s="26"/>
      <c r="BN25" s="26"/>
    </row>
    <row r="26" spans="1:66">
      <c r="A26" s="26"/>
      <c r="B26" s="26"/>
      <c r="C26" s="26"/>
      <c r="D26" s="26"/>
      <c r="E26" s="26"/>
      <c r="F26" s="26"/>
      <c r="G26" s="26"/>
      <c r="H26" s="26"/>
      <c r="I26" s="26"/>
      <c r="J26" s="26"/>
      <c r="K26" s="26"/>
      <c r="L26" s="26"/>
      <c r="M26" s="2"/>
      <c r="N26" s="26"/>
      <c r="O26" s="166">
        <v>2.8000000000000003</v>
      </c>
      <c r="P26" s="166">
        <v>2.1482551205737859</v>
      </c>
      <c r="Q26" s="166">
        <v>6.8768169314948149E-14</v>
      </c>
      <c r="R26" s="166">
        <v>7.1169414245471254E-5</v>
      </c>
      <c r="S26" s="166">
        <v>0.85160254059751683</v>
      </c>
      <c r="T26" s="166">
        <v>0.14832628998816885</v>
      </c>
      <c r="U26" s="166"/>
      <c r="V26" s="166"/>
      <c r="W26" s="166"/>
      <c r="X26" s="551">
        <v>1.9223634885413371E-2</v>
      </c>
      <c r="Y26" s="551">
        <v>10.037190483126324</v>
      </c>
      <c r="Z26" s="166">
        <v>4.7786339196049799</v>
      </c>
      <c r="AA26" s="166">
        <v>1.9939330103462396</v>
      </c>
      <c r="AB26" s="166">
        <v>7.2475168089862849E-10</v>
      </c>
      <c r="AC26" s="166">
        <v>7.8788211123773152E-3</v>
      </c>
      <c r="AD26" s="166">
        <v>0.99030934525475101</v>
      </c>
      <c r="AE26" s="166">
        <v>1.811832908120057E-3</v>
      </c>
      <c r="AF26" s="166"/>
      <c r="AG26" s="166"/>
      <c r="AH26" s="166"/>
      <c r="AI26" s="166">
        <v>0.34133099425749858</v>
      </c>
      <c r="AJ26" s="166">
        <v>1.0239929827724956</v>
      </c>
      <c r="AK26" s="166">
        <v>0.17066549712874929</v>
      </c>
      <c r="AL26" s="166">
        <v>1.160495343663313E-3</v>
      </c>
      <c r="AM26" s="166">
        <v>2.8000000000000003</v>
      </c>
      <c r="AN26" s="166">
        <v>-13.162527322303205</v>
      </c>
      <c r="AO26" s="166">
        <v>-4.1476797563815948</v>
      </c>
      <c r="AP26" s="166">
        <v>-6.9762599949914753E-2</v>
      </c>
      <c r="AQ26" s="166">
        <v>-0.82877650040701756</v>
      </c>
      <c r="AR26" s="166"/>
      <c r="AS26" s="166"/>
      <c r="AT26" s="166"/>
      <c r="AU26" s="166">
        <v>-1.7161533802537337</v>
      </c>
      <c r="AV26" s="166">
        <v>10.037190483126324</v>
      </c>
      <c r="AW26" s="166">
        <v>2.8000000000000003</v>
      </c>
      <c r="AX26" s="166">
        <v>-9.1397515976934134</v>
      </c>
      <c r="AY26" s="166">
        <v>-2.1035251417235115</v>
      </c>
      <c r="AZ26" s="166">
        <v>-4.2290952435405432E-3</v>
      </c>
      <c r="BA26" s="166">
        <v>-2.7418641056523523</v>
      </c>
      <c r="BB26" s="166"/>
      <c r="BC26" s="166"/>
      <c r="BD26" s="166"/>
      <c r="BE26" s="166">
        <v>-5.2693520459400114</v>
      </c>
      <c r="BF26" s="166">
        <v>-2.6346760229700057</v>
      </c>
      <c r="BG26" s="166">
        <v>-2.9353375942898112</v>
      </c>
      <c r="BH26" s="166">
        <v>2.8000000000000003</v>
      </c>
      <c r="BI26" s="166">
        <v>-0.85174487942621413</v>
      </c>
      <c r="BJ26" s="166">
        <v>4.7786339196049799</v>
      </c>
      <c r="BK26" s="166">
        <v>-1.0060669896537604</v>
      </c>
      <c r="BL26" s="166">
        <v>-1.9760070172275044</v>
      </c>
      <c r="BM26" s="26"/>
      <c r="BN26" s="26"/>
    </row>
    <row r="27" spans="1:66">
      <c r="A27" s="26"/>
      <c r="B27" s="26"/>
      <c r="C27" s="26"/>
      <c r="D27" s="26"/>
      <c r="E27" s="26"/>
      <c r="F27" s="26"/>
      <c r="G27" s="26"/>
      <c r="H27" s="26"/>
      <c r="I27" s="26"/>
      <c r="J27" s="26"/>
      <c r="K27" s="26"/>
      <c r="L27" s="26"/>
      <c r="M27" s="2"/>
      <c r="N27" s="26"/>
      <c r="O27" s="166">
        <v>3.0000000000000004</v>
      </c>
      <c r="P27" s="166">
        <v>2.0988834015730835</v>
      </c>
      <c r="Q27" s="166">
        <v>1.8273278510425108E-13</v>
      </c>
      <c r="R27" s="166">
        <v>1.1932251590498218E-4</v>
      </c>
      <c r="S27" s="166">
        <v>0.90087795339455845</v>
      </c>
      <c r="T27" s="166">
        <v>9.9002724089353858E-2</v>
      </c>
      <c r="U27" s="166"/>
      <c r="V27" s="166"/>
      <c r="W27" s="166"/>
      <c r="X27" s="551">
        <v>1.3232219522617399E-2</v>
      </c>
      <c r="Y27" s="551">
        <v>10.085949620406609</v>
      </c>
      <c r="Z27" s="166">
        <v>4.989138153184598</v>
      </c>
      <c r="AA27" s="166">
        <v>1.9883721175668378</v>
      </c>
      <c r="AB27" s="166">
        <v>1.9026972515378305E-9</v>
      </c>
      <c r="AC27" s="166">
        <v>1.2739062430535441E-2</v>
      </c>
      <c r="AD27" s="166">
        <v>0.98614975186399989</v>
      </c>
      <c r="AE27" s="166">
        <v>1.1111838027675187E-3</v>
      </c>
      <c r="AF27" s="166"/>
      <c r="AG27" s="166"/>
      <c r="AH27" s="166"/>
      <c r="AI27" s="166">
        <v>0.35636701094175699</v>
      </c>
      <c r="AJ27" s="166">
        <v>1.069101032825271</v>
      </c>
      <c r="AK27" s="166">
        <v>0.17818350547087849</v>
      </c>
      <c r="AL27" s="166">
        <v>1.6092225748985814E-3</v>
      </c>
      <c r="AM27" s="166">
        <v>3.0000000000000004</v>
      </c>
      <c r="AN27" s="166">
        <v>-12.738101059616852</v>
      </c>
      <c r="AO27" s="166">
        <v>-3.9232521988975373</v>
      </c>
      <c r="AP27" s="166">
        <v>-4.5333747668154678E-2</v>
      </c>
      <c r="AQ27" s="166">
        <v>-1.0043463533275547</v>
      </c>
      <c r="AR27" s="166"/>
      <c r="AS27" s="166"/>
      <c r="AT27" s="166"/>
      <c r="AU27" s="166">
        <v>-1.8783551422548281</v>
      </c>
      <c r="AV27" s="166">
        <v>10.085949620406609</v>
      </c>
      <c r="AW27" s="166">
        <v>3.0000000000000004</v>
      </c>
      <c r="AX27" s="166">
        <v>-8.7205738519020031</v>
      </c>
      <c r="AY27" s="166">
        <v>-1.8948502667097291</v>
      </c>
      <c r="AZ27" s="166">
        <v>-6.0570910073858035E-3</v>
      </c>
      <c r="BA27" s="166">
        <v>-2.9541949721938252</v>
      </c>
      <c r="BB27" s="166"/>
      <c r="BC27" s="166"/>
      <c r="BD27" s="166"/>
      <c r="BE27" s="166">
        <v>-5.1490639124659445</v>
      </c>
      <c r="BF27" s="166">
        <v>-2.5745319562329723</v>
      </c>
      <c r="BG27" s="166">
        <v>-2.7933657992443965</v>
      </c>
      <c r="BH27" s="166">
        <v>3.0000000000000004</v>
      </c>
      <c r="BI27" s="166">
        <v>-0.90111659842691649</v>
      </c>
      <c r="BJ27" s="166">
        <v>4.989138153184598</v>
      </c>
      <c r="BK27" s="166">
        <v>-1.0116278824331622</v>
      </c>
      <c r="BL27" s="166">
        <v>-1.930898967174729</v>
      </c>
      <c r="BM27" s="26"/>
      <c r="BN27" s="26"/>
    </row>
    <row r="28" spans="1:66">
      <c r="A28" s="26"/>
      <c r="B28" s="26"/>
      <c r="C28" s="26"/>
      <c r="D28" s="26"/>
      <c r="E28" s="26"/>
      <c r="F28" s="26"/>
      <c r="G28" s="26"/>
      <c r="H28" s="26"/>
      <c r="I28" s="26"/>
      <c r="J28" s="26"/>
      <c r="K28" s="26"/>
      <c r="L28" s="26"/>
      <c r="M28" s="2"/>
      <c r="N28" s="26"/>
      <c r="O28" s="166">
        <v>3.2000000000000006</v>
      </c>
      <c r="P28" s="166">
        <v>2.0646343675537921</v>
      </c>
      <c r="Q28" s="166">
        <v>4.7637572914094328E-13</v>
      </c>
      <c r="R28" s="166">
        <v>1.9627073771060302E-4</v>
      </c>
      <c r="S28" s="166">
        <v>0.93497309096935788</v>
      </c>
      <c r="T28" s="166">
        <v>6.4830638292455223E-2</v>
      </c>
      <c r="U28" s="166"/>
      <c r="V28" s="166"/>
      <c r="W28" s="166"/>
      <c r="X28" s="551">
        <v>8.8644007327202679E-3</v>
      </c>
      <c r="Y28" s="551">
        <v>10.154803957266267</v>
      </c>
      <c r="Z28" s="166">
        <v>5.1997450596983432</v>
      </c>
      <c r="AA28" s="166">
        <v>1.9801443292447669</v>
      </c>
      <c r="AB28" s="166">
        <v>4.9811366491674657E-9</v>
      </c>
      <c r="AC28" s="166">
        <v>2.0534745496303703E-2</v>
      </c>
      <c r="AD28" s="166">
        <v>0.97878616481921565</v>
      </c>
      <c r="AE28" s="166">
        <v>6.7908470334399887E-4</v>
      </c>
      <c r="AF28" s="166"/>
      <c r="AG28" s="166"/>
      <c r="AH28" s="166"/>
      <c r="AI28" s="166">
        <v>0.37141036140702449</v>
      </c>
      <c r="AJ28" s="166">
        <v>1.1142310842210734</v>
      </c>
      <c r="AK28" s="166">
        <v>0.18570518070351225</v>
      </c>
      <c r="AL28" s="166">
        <v>2.4155646442618256E-3</v>
      </c>
      <c r="AM28" s="166">
        <v>3.2000000000000006</v>
      </c>
      <c r="AN28" s="166">
        <v>-12.321970600675307</v>
      </c>
      <c r="AO28" s="166">
        <v>-3.7071204451582895</v>
      </c>
      <c r="AP28" s="166">
        <v>-2.9200699131204124E-2</v>
      </c>
      <c r="AQ28" s="166">
        <v>-1.1882120099929012</v>
      </c>
      <c r="AR28" s="166"/>
      <c r="AS28" s="166"/>
      <c r="AT28" s="166"/>
      <c r="AU28" s="166">
        <v>-2.0523373321388125</v>
      </c>
      <c r="AV28" s="166">
        <v>10.154803957266267</v>
      </c>
      <c r="AW28" s="166">
        <v>3.2000000000000006</v>
      </c>
      <c r="AX28" s="166">
        <v>-8.3026177925599605</v>
      </c>
      <c r="AY28" s="166">
        <v>-1.6874997504147367</v>
      </c>
      <c r="AZ28" s="166">
        <v>-9.3121177594447258E-3</v>
      </c>
      <c r="BA28" s="166">
        <v>-3.1680555419929353</v>
      </c>
      <c r="BB28" s="166"/>
      <c r="BC28" s="166"/>
      <c r="BD28" s="166"/>
      <c r="BE28" s="166">
        <v>-5.0287171087438036</v>
      </c>
      <c r="BF28" s="166">
        <v>-2.5143585543719018</v>
      </c>
      <c r="BG28" s="166">
        <v>-2.6169643933199338</v>
      </c>
      <c r="BH28" s="166">
        <v>3.2000000000000006</v>
      </c>
      <c r="BI28" s="166">
        <v>-0.93536563244620785</v>
      </c>
      <c r="BJ28" s="166">
        <v>5.1997450596983432</v>
      </c>
      <c r="BK28" s="166">
        <v>-1.0198556707552331</v>
      </c>
      <c r="BL28" s="166">
        <v>-1.8857689157789266</v>
      </c>
      <c r="BM28" s="26"/>
      <c r="BN28" s="26"/>
    </row>
    <row r="29" spans="1:66">
      <c r="A29" s="26"/>
      <c r="B29" s="26"/>
      <c r="C29" s="26"/>
      <c r="D29" s="26"/>
      <c r="E29" s="26"/>
      <c r="F29" s="26"/>
      <c r="G29" s="26"/>
      <c r="H29" s="26"/>
      <c r="I29" s="26"/>
      <c r="J29" s="26"/>
      <c r="K29" s="26"/>
      <c r="L29" s="26"/>
      <c r="M29" s="2"/>
      <c r="N29" s="26"/>
      <c r="O29" s="166">
        <v>3.4000000000000008</v>
      </c>
      <c r="P29" s="166">
        <v>2.0415844445338887</v>
      </c>
      <c r="Q29" s="166">
        <v>1.2257883308933319E-12</v>
      </c>
      <c r="R29" s="166">
        <v>3.1865549427751566E-4</v>
      </c>
      <c r="S29" s="166">
        <v>0.95777824447387894</v>
      </c>
      <c r="T29" s="166">
        <v>4.1903100030617799E-2</v>
      </c>
      <c r="U29" s="166"/>
      <c r="V29" s="166"/>
      <c r="W29" s="166"/>
      <c r="X29" s="551">
        <v>5.8347364626916698E-3</v>
      </c>
      <c r="Y29" s="551">
        <v>10.259427917480934</v>
      </c>
      <c r="Z29" s="166">
        <v>5.4105160650546065</v>
      </c>
      <c r="AA29" s="166">
        <v>1.9674641880235857</v>
      </c>
      <c r="AB29" s="166">
        <v>1.2985144523064406E-8</v>
      </c>
      <c r="AC29" s="166">
        <v>3.2948576097043866E-2</v>
      </c>
      <c r="AD29" s="166">
        <v>0.96663862082689322</v>
      </c>
      <c r="AE29" s="166">
        <v>4.1279009091847344E-4</v>
      </c>
      <c r="AF29" s="166"/>
      <c r="AG29" s="166"/>
      <c r="AH29" s="166"/>
      <c r="AI29" s="166">
        <v>0.38646543321818616</v>
      </c>
      <c r="AJ29" s="166">
        <v>1.1593962996545584</v>
      </c>
      <c r="AK29" s="166">
        <v>0.19323271660909308</v>
      </c>
      <c r="AL29" s="166">
        <v>3.730481275210341E-3</v>
      </c>
      <c r="AM29" s="166">
        <v>3.4000000000000008</v>
      </c>
      <c r="AN29" s="166">
        <v>-11.911507401845244</v>
      </c>
      <c r="AO29" s="166">
        <v>-3.4966559515305233</v>
      </c>
      <c r="AP29" s="166">
        <v>-1.8734910705734902E-2</v>
      </c>
      <c r="AQ29" s="166">
        <v>-1.3777449267697293</v>
      </c>
      <c r="AR29" s="166"/>
      <c r="AS29" s="166"/>
      <c r="AT29" s="166"/>
      <c r="AU29" s="166">
        <v>-2.2339642921843161</v>
      </c>
      <c r="AV29" s="166">
        <v>10.259427917480934</v>
      </c>
      <c r="AW29" s="166">
        <v>3.4000000000000008</v>
      </c>
      <c r="AX29" s="166">
        <v>-7.8865021549085945</v>
      </c>
      <c r="AY29" s="166">
        <v>-1.4821537535905658</v>
      </c>
      <c r="AZ29" s="166">
        <v>-1.4735761762469135E-2</v>
      </c>
      <c r="BA29" s="166">
        <v>-3.3842488268231552</v>
      </c>
      <c r="BB29" s="166"/>
      <c r="BC29" s="166"/>
      <c r="BD29" s="166"/>
      <c r="BE29" s="166">
        <v>-4.9082765342545107</v>
      </c>
      <c r="BF29" s="166">
        <v>-2.4541382671272554</v>
      </c>
      <c r="BG29" s="166">
        <v>-2.4282194152016459</v>
      </c>
      <c r="BH29" s="166">
        <v>3.4000000000000008</v>
      </c>
      <c r="BI29" s="166">
        <v>-0.95841555546611135</v>
      </c>
      <c r="BJ29" s="166">
        <v>5.4105160650546065</v>
      </c>
      <c r="BK29" s="166">
        <v>-1.0325358119764143</v>
      </c>
      <c r="BL29" s="166">
        <v>-1.8406037003454416</v>
      </c>
      <c r="BM29" s="26"/>
      <c r="BN29" s="26"/>
    </row>
    <row r="30" spans="1:66">
      <c r="A30" s="26"/>
      <c r="B30" s="26"/>
      <c r="C30" s="26"/>
      <c r="D30" s="26"/>
      <c r="E30" s="26"/>
      <c r="F30" s="26"/>
      <c r="G30" s="26"/>
      <c r="H30" s="26"/>
      <c r="I30" s="26"/>
      <c r="J30" s="26"/>
      <c r="K30" s="26"/>
      <c r="L30" s="26"/>
      <c r="M30" s="2"/>
      <c r="N30" s="26"/>
      <c r="O30" s="166">
        <v>3.600000000000001</v>
      </c>
      <c r="P30" s="166">
        <v>2.0263363920200486</v>
      </c>
      <c r="Q30" s="166">
        <v>3.1268114125243648E-12</v>
      </c>
      <c r="R30" s="166">
        <v>5.1287037872579206E-4</v>
      </c>
      <c r="S30" s="166">
        <v>0.9726378672131194</v>
      </c>
      <c r="T30" s="166">
        <v>2.68492624050281E-2</v>
      </c>
      <c r="U30" s="166"/>
      <c r="V30" s="166"/>
      <c r="W30" s="166"/>
      <c r="X30" s="551">
        <v>3.8103571939137972E-3</v>
      </c>
      <c r="Y30" s="551">
        <v>10.422738817578647</v>
      </c>
      <c r="Z30" s="166">
        <v>5.6215382068211683</v>
      </c>
      <c r="AA30" s="166">
        <v>1.9477601665946145</v>
      </c>
      <c r="AB30" s="166">
        <v>3.3627709429357631E-8</v>
      </c>
      <c r="AC30" s="166">
        <v>5.2488602221647786E-2</v>
      </c>
      <c r="AD30" s="166">
        <v>0.9472625280789615</v>
      </c>
      <c r="AE30" s="166">
        <v>2.4883607168127967E-4</v>
      </c>
      <c r="AF30" s="166"/>
      <c r="AG30" s="166"/>
      <c r="AH30" s="166"/>
      <c r="AI30" s="166">
        <v>0.40153844334436917</v>
      </c>
      <c r="AJ30" s="166">
        <v>1.2046153300331075</v>
      </c>
      <c r="AK30" s="166">
        <v>0.20076922167218458</v>
      </c>
      <c r="AL30" s="166">
        <v>5.7645414247467783E-3</v>
      </c>
      <c r="AM30" s="166">
        <v>3.600000000000001</v>
      </c>
      <c r="AN30" s="166">
        <v>-11.504823829004481</v>
      </c>
      <c r="AO30" s="166">
        <v>-3.2899710838920595</v>
      </c>
      <c r="AP30" s="166">
        <v>-1.2048748269568303E-2</v>
      </c>
      <c r="AQ30" s="166">
        <v>-1.5710574695358599</v>
      </c>
      <c r="AR30" s="166"/>
      <c r="AS30" s="166"/>
      <c r="AT30" s="166"/>
      <c r="AU30" s="166">
        <v>-2.4190186495937334</v>
      </c>
      <c r="AV30" s="166">
        <v>10.422738817578647</v>
      </c>
      <c r="AW30" s="166">
        <v>3.600000000000001</v>
      </c>
      <c r="AX30" s="166">
        <v>-7.4732543318187545</v>
      </c>
      <c r="AY30" s="166">
        <v>-1.2799267061123663</v>
      </c>
      <c r="AZ30" s="166">
        <v>-2.3529489895909337E-2</v>
      </c>
      <c r="BA30" s="166">
        <v>-3.604063330568235</v>
      </c>
      <c r="BB30" s="166"/>
      <c r="BC30" s="166"/>
      <c r="BD30" s="166"/>
      <c r="BE30" s="166">
        <v>-4.7876924532450467</v>
      </c>
      <c r="BF30" s="166">
        <v>-2.3938462266225233</v>
      </c>
      <c r="BG30" s="166">
        <v>-2.2392207387887497</v>
      </c>
      <c r="BH30" s="166">
        <v>3.600000000000001</v>
      </c>
      <c r="BI30" s="166">
        <v>-0.97366360797995144</v>
      </c>
      <c r="BJ30" s="166">
        <v>5.6215382068211683</v>
      </c>
      <c r="BK30" s="166">
        <v>-1.0522398334053855</v>
      </c>
      <c r="BL30" s="166">
        <v>-1.7953846699668925</v>
      </c>
      <c r="BM30" s="26"/>
      <c r="BN30" s="26"/>
    </row>
    <row r="31" spans="1:66">
      <c r="A31" s="26"/>
      <c r="B31" s="26"/>
      <c r="C31" s="26"/>
      <c r="D31" s="26"/>
      <c r="E31" s="26"/>
      <c r="F31" s="26"/>
      <c r="G31" s="26"/>
      <c r="H31" s="26"/>
      <c r="I31" s="26"/>
      <c r="J31" s="26"/>
      <c r="K31" s="26"/>
      <c r="L31" s="26"/>
      <c r="M31" s="2"/>
      <c r="N31" s="26"/>
      <c r="O31" s="166">
        <v>3.8000000000000012</v>
      </c>
      <c r="P31" s="166">
        <v>2.0162843636216508</v>
      </c>
      <c r="Q31" s="166">
        <v>7.9303947451187688E-12</v>
      </c>
      <c r="R31" s="166">
        <v>8.2073080375396994E-4</v>
      </c>
      <c r="S31" s="166">
        <v>0.98207417474705005</v>
      </c>
      <c r="T31" s="166">
        <v>1.7105094441265574E-2</v>
      </c>
      <c r="U31" s="166"/>
      <c r="V31" s="166"/>
      <c r="W31" s="166"/>
      <c r="X31" s="551">
        <v>2.500184670526769E-3</v>
      </c>
      <c r="Y31" s="551">
        <v>10.678157336951699</v>
      </c>
      <c r="Z31" s="166">
        <v>5.8329258111339772</v>
      </c>
      <c r="AA31" s="166">
        <v>1.9174622352028072</v>
      </c>
      <c r="AB31" s="166">
        <v>8.6188665796704877E-8</v>
      </c>
      <c r="AC31" s="166">
        <v>8.2685674803135906E-2</v>
      </c>
      <c r="AD31" s="166">
        <v>0.91716615662492407</v>
      </c>
      <c r="AE31" s="166">
        <v>1.480823832743924E-4</v>
      </c>
      <c r="AF31" s="166"/>
      <c r="AG31" s="166"/>
      <c r="AH31" s="166"/>
      <c r="AI31" s="166">
        <v>0.41663755793814122</v>
      </c>
      <c r="AJ31" s="166">
        <v>1.2499126738144237</v>
      </c>
      <c r="AK31" s="166">
        <v>0.20831877896907061</v>
      </c>
      <c r="AL31" s="166">
        <v>8.7567174656308384E-3</v>
      </c>
      <c r="AM31" s="166">
        <v>3.8000000000000012</v>
      </c>
      <c r="AN31" s="166">
        <v>-11.100633328766268</v>
      </c>
      <c r="AO31" s="166">
        <v>-3.0857792888561431</v>
      </c>
      <c r="AP31" s="166">
        <v>-7.8556584359490544E-3</v>
      </c>
      <c r="AQ31" s="166">
        <v>-1.7668630849045379</v>
      </c>
      <c r="AR31" s="166"/>
      <c r="AS31" s="166"/>
      <c r="AT31" s="166"/>
      <c r="AU31" s="166">
        <v>-2.602011066457655</v>
      </c>
      <c r="AV31" s="166">
        <v>10.678157336951699</v>
      </c>
      <c r="AW31" s="166">
        <v>3.8000000000000012</v>
      </c>
      <c r="AX31" s="166">
        <v>-7.064504106314244</v>
      </c>
      <c r="AY31" s="166">
        <v>-1.0825627163997427</v>
      </c>
      <c r="AZ31" s="166">
        <v>-3.7551735975172057E-2</v>
      </c>
      <c r="BA31" s="166">
        <v>-3.8294718124393841</v>
      </c>
      <c r="BB31" s="166"/>
      <c r="BC31" s="166"/>
      <c r="BD31" s="166"/>
      <c r="BE31" s="166">
        <v>-4.6668995364948707</v>
      </c>
      <c r="BF31" s="166">
        <v>-2.3334497682474353</v>
      </c>
      <c r="BG31" s="166">
        <v>-2.0576453412636426</v>
      </c>
      <c r="BH31" s="166">
        <v>3.8000000000000012</v>
      </c>
      <c r="BI31" s="166">
        <v>-0.98371563637834925</v>
      </c>
      <c r="BJ31" s="166">
        <v>5.8329258111339772</v>
      </c>
      <c r="BK31" s="166">
        <v>-1.0825377647971928</v>
      </c>
      <c r="BL31" s="166">
        <v>-1.7500873261855763</v>
      </c>
      <c r="BM31" s="26"/>
      <c r="BN31" s="26"/>
    </row>
    <row r="32" spans="1:66">
      <c r="A32" s="26"/>
      <c r="B32" s="26"/>
      <c r="C32" s="26"/>
      <c r="D32" s="26"/>
      <c r="E32" s="26"/>
      <c r="F32" s="26"/>
      <c r="G32" s="26"/>
      <c r="H32" s="26"/>
      <c r="I32" s="26"/>
      <c r="J32" s="26"/>
      <c r="K32" s="26"/>
      <c r="L32" s="26"/>
      <c r="M32" s="2"/>
      <c r="N32" s="26"/>
      <c r="O32" s="166">
        <v>4.0000000000000009</v>
      </c>
      <c r="P32" s="166">
        <v>2.0095474997643561</v>
      </c>
      <c r="Q32" s="166">
        <v>2.0037116831642475E-11</v>
      </c>
      <c r="R32" s="166">
        <v>1.308401877894884E-3</v>
      </c>
      <c r="S32" s="166">
        <v>0.98783569641974256</v>
      </c>
      <c r="T32" s="166">
        <v>1.0855901682325392E-2</v>
      </c>
      <c r="U32" s="166"/>
      <c r="V32" s="166"/>
      <c r="W32" s="166"/>
      <c r="X32" s="551">
        <v>1.6845850296913706E-3</v>
      </c>
      <c r="Y32" s="551">
        <v>11.071775054733735</v>
      </c>
      <c r="Z32" s="166">
        <v>6.0448065155412518</v>
      </c>
      <c r="AA32" s="166">
        <v>1.8720535205379167</v>
      </c>
      <c r="AB32" s="166">
        <v>2.1738056093123842E-7</v>
      </c>
      <c r="AC32" s="166">
        <v>0.12803246819676922</v>
      </c>
      <c r="AD32" s="166">
        <v>0.87188089092686205</v>
      </c>
      <c r="AE32" s="166">
        <v>8.6423495807762653E-5</v>
      </c>
      <c r="AF32" s="166"/>
      <c r="AG32" s="166"/>
      <c r="AH32" s="166"/>
      <c r="AI32" s="166">
        <v>0.43177189396723226</v>
      </c>
      <c r="AJ32" s="166">
        <v>1.2953156819016967</v>
      </c>
      <c r="AK32" s="166">
        <v>0.21588594698361613</v>
      </c>
      <c r="AL32" s="166">
        <v>1.2868405413269054E-2</v>
      </c>
      <c r="AM32" s="166">
        <v>4.0000000000000009</v>
      </c>
      <c r="AN32" s="166">
        <v>-10.698095509744979</v>
      </c>
      <c r="AO32" s="166">
        <v>-2.8832401750371495</v>
      </c>
      <c r="AP32" s="166">
        <v>-5.3152498192523788E-3</v>
      </c>
      <c r="AQ32" s="166">
        <v>-1.9643213814901377</v>
      </c>
      <c r="AR32" s="166"/>
      <c r="AS32" s="166"/>
      <c r="AT32" s="166"/>
      <c r="AU32" s="166">
        <v>-2.7734891073952173</v>
      </c>
      <c r="AV32" s="166">
        <v>11.071775054733735</v>
      </c>
      <c r="AW32" s="166">
        <v>4.0000000000000009</v>
      </c>
      <c r="AX32" s="166">
        <v>-6.6627361601653874</v>
      </c>
      <c r="AY32" s="166">
        <v>-0.89267410294491334</v>
      </c>
      <c r="AZ32" s="166">
        <v>-5.9542455214370411E-2</v>
      </c>
      <c r="BA32" s="166">
        <v>-4.0633418643726102</v>
      </c>
      <c r="BB32" s="166"/>
      <c r="BC32" s="166"/>
      <c r="BD32" s="166"/>
      <c r="BE32" s="166">
        <v>-4.5458248482621419</v>
      </c>
      <c r="BF32" s="166">
        <v>-2.272912424131071</v>
      </c>
      <c r="BG32" s="166">
        <v>-1.8904630263889404</v>
      </c>
      <c r="BH32" s="166">
        <v>4.0000000000000009</v>
      </c>
      <c r="BI32" s="166">
        <v>-0.99045250023564391</v>
      </c>
      <c r="BJ32" s="166">
        <v>6.0448065155412518</v>
      </c>
      <c r="BK32" s="166">
        <v>-1.1279464794620833</v>
      </c>
      <c r="BL32" s="166">
        <v>-1.7046843180983033</v>
      </c>
      <c r="BM32" s="26"/>
      <c r="BN32" s="26"/>
    </row>
    <row r="33" spans="1:66">
      <c r="A33" s="26"/>
      <c r="B33" s="26"/>
      <c r="C33" s="26"/>
      <c r="D33" s="26"/>
      <c r="E33" s="26"/>
      <c r="F33" s="26"/>
      <c r="G33" s="26"/>
      <c r="H33" s="26"/>
      <c r="I33" s="26"/>
      <c r="J33" s="26"/>
      <c r="K33" s="26"/>
      <c r="L33" s="26"/>
      <c r="M33" s="2"/>
      <c r="N33" s="26"/>
      <c r="O33" s="166">
        <v>4.2000000000000011</v>
      </c>
      <c r="P33" s="166">
        <v>2.0047914627721255</v>
      </c>
      <c r="Q33" s="166">
        <v>5.0494615723314412E-11</v>
      </c>
      <c r="R33" s="166">
        <v>2.0804199022272426E-3</v>
      </c>
      <c r="S33" s="166">
        <v>0.99104769727193598</v>
      </c>
      <c r="T33" s="166">
        <v>6.8718827753421578E-3</v>
      </c>
      <c r="U33" s="166"/>
      <c r="V33" s="166"/>
      <c r="W33" s="166"/>
      <c r="X33" s="551">
        <v>1.2139179234339427E-3</v>
      </c>
      <c r="Y33" s="551">
        <v>11.659035268530715</v>
      </c>
      <c r="Z33" s="166">
        <v>6.2572748607294768</v>
      </c>
      <c r="AA33" s="166">
        <v>1.8068252037984842</v>
      </c>
      <c r="AB33" s="166">
        <v>5.3509044692837525E-7</v>
      </c>
      <c r="AC33" s="166">
        <v>0.19322275279112436</v>
      </c>
      <c r="AD33" s="166">
        <v>0.80672768534792638</v>
      </c>
      <c r="AE33" s="166">
        <v>4.9026770502365288E-5</v>
      </c>
      <c r="AF33" s="166"/>
      <c r="AG33" s="166"/>
      <c r="AH33" s="166"/>
      <c r="AI33" s="166">
        <v>0.44694820433781979</v>
      </c>
      <c r="AJ33" s="166">
        <v>1.3408446130134593</v>
      </c>
      <c r="AK33" s="166">
        <v>0.22347410216890989</v>
      </c>
      <c r="AL33" s="166">
        <v>1.7957060336547325E-2</v>
      </c>
      <c r="AM33" s="166">
        <v>4.2000000000000011</v>
      </c>
      <c r="AN33" s="166">
        <v>-10.296688267467989</v>
      </c>
      <c r="AO33" s="166">
        <v>-2.6818316379624569</v>
      </c>
      <c r="AP33" s="166">
        <v>-3.9054179468567215E-3</v>
      </c>
      <c r="AQ33" s="166">
        <v>-2.1629102548200394</v>
      </c>
      <c r="AR33" s="166"/>
      <c r="AS33" s="166"/>
      <c r="AT33" s="166"/>
      <c r="AU33" s="166">
        <v>-2.9157917992722995</v>
      </c>
      <c r="AV33" s="166">
        <v>11.659035268530715</v>
      </c>
      <c r="AW33" s="166">
        <v>4.2000000000000011</v>
      </c>
      <c r="AX33" s="166">
        <v>-6.2715322004083109</v>
      </c>
      <c r="AY33" s="166">
        <v>-0.71393711285843497</v>
      </c>
      <c r="AZ33" s="166">
        <v>-9.3272434798490594E-2</v>
      </c>
      <c r="BA33" s="166">
        <v>-4.3095388136273289</v>
      </c>
      <c r="BB33" s="166"/>
      <c r="BC33" s="166"/>
      <c r="BD33" s="166"/>
      <c r="BE33" s="166">
        <v>-4.4244143652974417</v>
      </c>
      <c r="BF33" s="166">
        <v>-2.2122071826487208</v>
      </c>
      <c r="BG33" s="166">
        <v>-1.7457534560370065</v>
      </c>
      <c r="BH33" s="166">
        <v>4.2000000000000011</v>
      </c>
      <c r="BI33" s="166">
        <v>-0.9952085372278745</v>
      </c>
      <c r="BJ33" s="166">
        <v>6.2572748607294768</v>
      </c>
      <c r="BK33" s="166">
        <v>-1.1931747962015158</v>
      </c>
      <c r="BL33" s="166">
        <v>-1.6591553869865407</v>
      </c>
      <c r="BM33" s="26"/>
      <c r="BN33" s="26"/>
    </row>
    <row r="34" spans="1:66">
      <c r="A34" s="26"/>
      <c r="B34" s="26"/>
      <c r="C34" s="26"/>
      <c r="D34" s="26"/>
      <c r="E34" s="26"/>
      <c r="F34" s="26"/>
      <c r="G34" s="26"/>
      <c r="H34" s="26"/>
      <c r="I34" s="26"/>
      <c r="J34" s="26"/>
      <c r="K34" s="26"/>
      <c r="L34" s="26"/>
      <c r="M34" s="2"/>
      <c r="N34" s="26"/>
      <c r="O34" s="166">
        <v>4.4000000000000012</v>
      </c>
      <c r="P34" s="166">
        <v>2.0010399932665792</v>
      </c>
      <c r="Q34" s="166">
        <v>1.2700428343322344E-10</v>
      </c>
      <c r="R34" s="166">
        <v>3.3015987909822278E-3</v>
      </c>
      <c r="S34" s="166">
        <v>0.99235680877044297</v>
      </c>
      <c r="T34" s="166">
        <v>4.3415923115704639E-3</v>
      </c>
      <c r="U34" s="166"/>
      <c r="V34" s="166"/>
      <c r="W34" s="166"/>
      <c r="X34" s="551">
        <v>9.9712047944265701E-4</v>
      </c>
      <c r="Y34" s="551">
        <v>12.487507292826194</v>
      </c>
      <c r="Z34" s="166">
        <v>6.4703073210120445</v>
      </c>
      <c r="AA34" s="166">
        <v>1.7188523200449657</v>
      </c>
      <c r="AB34" s="166">
        <v>1.2716666552514027E-6</v>
      </c>
      <c r="AC34" s="166">
        <v>0.28117188404753601</v>
      </c>
      <c r="AD34" s="166">
        <v>0.71880009685999691</v>
      </c>
      <c r="AE34" s="166">
        <v>2.6747425811939599E-5</v>
      </c>
      <c r="AF34" s="166"/>
      <c r="AG34" s="166"/>
      <c r="AH34" s="166"/>
      <c r="AI34" s="166">
        <v>0.46216480864371745</v>
      </c>
      <c r="AJ34" s="166">
        <v>1.3864944259311525</v>
      </c>
      <c r="AK34" s="166">
        <v>0.23108240432185873</v>
      </c>
      <c r="AL34" s="166">
        <v>2.3275731430977956E-2</v>
      </c>
      <c r="AM34" s="166">
        <v>4.4000000000000012</v>
      </c>
      <c r="AN34" s="166">
        <v>-9.8961175637184358</v>
      </c>
      <c r="AO34" s="166">
        <v>-2.4812596394152018</v>
      </c>
      <c r="AP34" s="166">
        <v>-3.3321246018991097E-3</v>
      </c>
      <c r="AQ34" s="166">
        <v>-2.3623356666773789</v>
      </c>
      <c r="AR34" s="166"/>
      <c r="AS34" s="166"/>
      <c r="AT34" s="166"/>
      <c r="AU34" s="166">
        <v>-3.0012329337855799</v>
      </c>
      <c r="AV34" s="166">
        <v>12.487507292826194</v>
      </c>
      <c r="AW34" s="166">
        <v>4.4000000000000012</v>
      </c>
      <c r="AX34" s="166">
        <v>-5.8955885481076091</v>
      </c>
      <c r="AY34" s="166">
        <v>-0.55102454167059978</v>
      </c>
      <c r="AZ34" s="166">
        <v>-0.14339094472352185</v>
      </c>
      <c r="BA34" s="166">
        <v>-4.5726884046652261</v>
      </c>
      <c r="BB34" s="166"/>
      <c r="BC34" s="166"/>
      <c r="BD34" s="166"/>
      <c r="BE34" s="166">
        <v>-4.3026815308502604</v>
      </c>
      <c r="BF34" s="166">
        <v>-2.1513407654251302</v>
      </c>
      <c r="BG34" s="166">
        <v>-1.6330860899447812</v>
      </c>
      <c r="BH34" s="166">
        <v>4.4000000000000012</v>
      </c>
      <c r="BI34" s="166">
        <v>-0.99896000673342078</v>
      </c>
      <c r="BJ34" s="166">
        <v>6.4703073210120445</v>
      </c>
      <c r="BK34" s="166">
        <v>-1.2811476799550343</v>
      </c>
      <c r="BL34" s="166">
        <v>-1.6135055740688475</v>
      </c>
      <c r="BM34" s="26"/>
      <c r="BN34" s="26"/>
    </row>
    <row r="35" spans="1:66">
      <c r="A35" s="26"/>
      <c r="B35" s="26"/>
      <c r="C35" s="26"/>
      <c r="D35" s="26"/>
      <c r="E35" s="26"/>
      <c r="F35" s="26"/>
      <c r="G35" s="26"/>
      <c r="H35" s="26"/>
      <c r="I35" s="26"/>
      <c r="J35" s="26"/>
      <c r="K35" s="26"/>
      <c r="L35" s="26"/>
      <c r="M35" s="2"/>
      <c r="N35" s="26"/>
      <c r="O35" s="166">
        <v>4.6000000000000014</v>
      </c>
      <c r="P35" s="166">
        <v>1.9975074971294191</v>
      </c>
      <c r="Q35" s="166">
        <v>3.1891546092044762E-10</v>
      </c>
      <c r="R35" s="166">
        <v>5.2309612459720363E-3</v>
      </c>
      <c r="S35" s="166">
        <v>0.99203057942189021</v>
      </c>
      <c r="T35" s="166">
        <v>2.7384590132222548E-3</v>
      </c>
      <c r="U35" s="166"/>
      <c r="V35" s="166"/>
      <c r="W35" s="166"/>
      <c r="X35" s="551">
        <v>9.9080638235894865E-4</v>
      </c>
      <c r="Y35" s="551">
        <v>13.560292513284367</v>
      </c>
      <c r="Z35" s="166">
        <v>6.6836852438660559</v>
      </c>
      <c r="AA35" s="166">
        <v>1.6100108738685937</v>
      </c>
      <c r="AB35" s="166">
        <v>2.8829748737135363E-6</v>
      </c>
      <c r="AC35" s="166">
        <v>0.38999724741704389</v>
      </c>
      <c r="AD35" s="166">
        <v>0.60998598237269785</v>
      </c>
      <c r="AE35" s="166">
        <v>1.388723538458785E-5</v>
      </c>
      <c r="AF35" s="166"/>
      <c r="AG35" s="166"/>
      <c r="AH35" s="166"/>
      <c r="AI35" s="166">
        <v>0.4774060888475754</v>
      </c>
      <c r="AJ35" s="166">
        <v>1.4322182665427263</v>
      </c>
      <c r="AK35" s="166">
        <v>0.2387030444237877</v>
      </c>
      <c r="AL35" s="166">
        <v>2.7393766580614137E-2</v>
      </c>
      <c r="AM35" s="166">
        <v>4.6000000000000014</v>
      </c>
      <c r="AN35" s="166">
        <v>-9.4962629466925925</v>
      </c>
      <c r="AO35" s="166">
        <v>-2.2814037275916559</v>
      </c>
      <c r="AP35" s="166">
        <v>-3.4749179806502642E-3</v>
      </c>
      <c r="AQ35" s="166">
        <v>-2.5624771652584277</v>
      </c>
      <c r="AR35" s="166"/>
      <c r="AS35" s="166"/>
      <c r="AT35" s="166"/>
      <c r="AU35" s="166">
        <v>-3.0039917566003416</v>
      </c>
      <c r="AV35" s="166">
        <v>13.560292513284367</v>
      </c>
      <c r="AW35" s="166">
        <v>4.6000000000000014</v>
      </c>
      <c r="AX35" s="166">
        <v>-5.5401232757198571</v>
      </c>
      <c r="AY35" s="166">
        <v>-0.40893581073063834</v>
      </c>
      <c r="AZ35" s="166">
        <v>-0.21467875523135005</v>
      </c>
      <c r="BA35" s="166">
        <v>-4.8573527566208448</v>
      </c>
      <c r="BB35" s="166"/>
      <c r="BC35" s="166"/>
      <c r="BD35" s="166"/>
      <c r="BE35" s="166">
        <v>-4.1807512892193968</v>
      </c>
      <c r="BF35" s="166">
        <v>-2.0903756446096984</v>
      </c>
      <c r="BG35" s="166">
        <v>-1.5623381345120178</v>
      </c>
      <c r="BH35" s="166">
        <v>4.6000000000000014</v>
      </c>
      <c r="BI35" s="166">
        <v>-1.0024925028705809</v>
      </c>
      <c r="BJ35" s="166">
        <v>6.6836852438660559</v>
      </c>
      <c r="BK35" s="166">
        <v>-1.3899891261314063</v>
      </c>
      <c r="BL35" s="166">
        <v>-1.5677817334572737</v>
      </c>
      <c r="BM35" s="26"/>
      <c r="BN35" s="26"/>
    </row>
    <row r="36" spans="1:66">
      <c r="A36" s="26"/>
      <c r="B36" s="26"/>
      <c r="C36" s="26"/>
      <c r="D36" s="26"/>
      <c r="E36" s="26"/>
      <c r="F36" s="26"/>
      <c r="G36" s="26"/>
      <c r="H36" s="26"/>
      <c r="I36" s="26"/>
      <c r="J36" s="26"/>
      <c r="K36" s="26"/>
      <c r="L36" s="26"/>
      <c r="M36" s="2"/>
      <c r="N36" s="26"/>
      <c r="O36" s="166">
        <v>4.8000000000000016</v>
      </c>
      <c r="P36" s="166">
        <v>1.9934507534080974</v>
      </c>
      <c r="Q36" s="166">
        <v>7.9944140687684545E-10</v>
      </c>
      <c r="R36" s="166">
        <v>8.2735627860654592E-3</v>
      </c>
      <c r="S36" s="166">
        <v>0.99000211862144705</v>
      </c>
      <c r="T36" s="166">
        <v>1.7243177930459784E-3</v>
      </c>
      <c r="U36" s="166"/>
      <c r="V36" s="166"/>
      <c r="W36" s="166"/>
      <c r="X36" s="551">
        <v>1.192811447342945E-3</v>
      </c>
      <c r="Y36" s="551">
        <v>14.799194350780454</v>
      </c>
      <c r="Z36" s="166">
        <v>6.8970304591995308</v>
      </c>
      <c r="AA36" s="166">
        <v>1.4890155643638556</v>
      </c>
      <c r="AB36" s="166">
        <v>6.1734437939392155E-6</v>
      </c>
      <c r="AC36" s="166">
        <v>0.5109789006254688</v>
      </c>
      <c r="AD36" s="166">
        <v>0.48900811405382505</v>
      </c>
      <c r="AE36" s="166">
        <v>6.8118769122781682E-6</v>
      </c>
      <c r="AF36" s="166"/>
      <c r="AG36" s="166"/>
      <c r="AH36" s="166"/>
      <c r="AI36" s="166">
        <v>0.49264503279996646</v>
      </c>
      <c r="AJ36" s="166">
        <v>1.4779350983998996</v>
      </c>
      <c r="AK36" s="166">
        <v>0.24632251639998323</v>
      </c>
      <c r="AL36" s="166">
        <v>2.8772206120364838E-2</v>
      </c>
      <c r="AM36" s="166">
        <v>4.8000000000000016</v>
      </c>
      <c r="AN36" s="166">
        <v>-9.0971544660595107</v>
      </c>
      <c r="AO36" s="166">
        <v>-2.0822939521608701</v>
      </c>
      <c r="AP36" s="166">
        <v>-4.3638477521617302E-3</v>
      </c>
      <c r="AQ36" s="166">
        <v>-2.7633648002322362</v>
      </c>
      <c r="AR36" s="166"/>
      <c r="AS36" s="166"/>
      <c r="AT36" s="166"/>
      <c r="AU36" s="166">
        <v>-2.9234092753952639</v>
      </c>
      <c r="AV36" s="166">
        <v>14.799194350780454</v>
      </c>
      <c r="AW36" s="166">
        <v>4.8000000000000016</v>
      </c>
      <c r="AX36" s="166">
        <v>-5.2094387754658795</v>
      </c>
      <c r="AY36" s="166">
        <v>-0.29159514461566094</v>
      </c>
      <c r="AZ36" s="166">
        <v>-0.31068192325537369</v>
      </c>
      <c r="BA36" s="166">
        <v>-5.166699758783869</v>
      </c>
      <c r="BB36" s="166"/>
      <c r="BC36" s="166"/>
      <c r="BD36" s="166"/>
      <c r="BE36" s="166">
        <v>-4.0588397376002678</v>
      </c>
      <c r="BF36" s="166">
        <v>-2.0294198688001339</v>
      </c>
      <c r="BG36" s="166">
        <v>-1.5410168605405417</v>
      </c>
      <c r="BH36" s="166">
        <v>4.8000000000000016</v>
      </c>
      <c r="BI36" s="166">
        <v>-1.0065492465919026</v>
      </c>
      <c r="BJ36" s="166">
        <v>6.8970304591995308</v>
      </c>
      <c r="BK36" s="166">
        <v>-1.5109844356361444</v>
      </c>
      <c r="BL36" s="166">
        <v>-1.5220649016001004</v>
      </c>
      <c r="BM36" s="26"/>
      <c r="BN36" s="26"/>
    </row>
    <row r="37" spans="1:66">
      <c r="A37" s="26"/>
      <c r="B37" s="26"/>
      <c r="C37" s="26"/>
      <c r="D37" s="26"/>
      <c r="E37" s="26"/>
      <c r="F37" s="26"/>
      <c r="G37" s="26"/>
      <c r="H37" s="26"/>
      <c r="I37" s="26"/>
      <c r="J37" s="26"/>
      <c r="K37" s="26"/>
      <c r="L37" s="26"/>
      <c r="M37" s="2"/>
      <c r="N37" s="26"/>
      <c r="O37" s="166">
        <v>5.0000000000000018</v>
      </c>
      <c r="P37" s="166">
        <v>1.9880255797749966</v>
      </c>
      <c r="Q37" s="166">
        <v>1.9997016666730045E-9</v>
      </c>
      <c r="R37" s="166">
        <v>1.3057833808568009E-2</v>
      </c>
      <c r="S37" s="166">
        <v>0.98585874660876238</v>
      </c>
      <c r="T37" s="166">
        <v>1.0834175829679349E-3</v>
      </c>
      <c r="U37" s="166"/>
      <c r="V37" s="166"/>
      <c r="W37" s="166"/>
      <c r="X37" s="551">
        <v>1.6410383548674898E-3</v>
      </c>
      <c r="Y37" s="551">
        <v>16.054576211899985</v>
      </c>
      <c r="Z37" s="166">
        <v>7.1099804688999608</v>
      </c>
      <c r="AA37" s="166">
        <v>1.3695062035462746</v>
      </c>
      <c r="AB37" s="166">
        <v>1.2437709095454271E-5</v>
      </c>
      <c r="AC37" s="166">
        <v>0.63047207335090227</v>
      </c>
      <c r="AD37" s="166">
        <v>0.36951233662463473</v>
      </c>
      <c r="AE37" s="166">
        <v>3.1523153676615626E-6</v>
      </c>
      <c r="AF37" s="166"/>
      <c r="AG37" s="166"/>
      <c r="AH37" s="166"/>
      <c r="AI37" s="166">
        <v>0.50785574777856868</v>
      </c>
      <c r="AJ37" s="166">
        <v>1.5235672433357057</v>
      </c>
      <c r="AK37" s="166">
        <v>0.25392787388928434</v>
      </c>
      <c r="AL37" s="166">
        <v>2.6826194312973339E-2</v>
      </c>
      <c r="AM37" s="166">
        <v>5.0000000000000018</v>
      </c>
      <c r="AN37" s="166">
        <v>-8.6989784739756875</v>
      </c>
      <c r="AO37" s="166">
        <v>-1.8841166652793448</v>
      </c>
      <c r="AP37" s="166">
        <v>-6.1852660729337268E-3</v>
      </c>
      <c r="AQ37" s="166">
        <v>-2.9651849237553054</v>
      </c>
      <c r="AR37" s="166"/>
      <c r="AS37" s="166"/>
      <c r="AT37" s="166"/>
      <c r="AU37" s="166">
        <v>-2.7848632390709405</v>
      </c>
      <c r="AV37" s="166">
        <v>16.054576211899985</v>
      </c>
      <c r="AW37" s="166">
        <v>5.0000000000000018</v>
      </c>
      <c r="AX37" s="166">
        <v>-4.9052278484869554</v>
      </c>
      <c r="AY37" s="166">
        <v>-0.20033284870124937</v>
      </c>
      <c r="AZ37" s="166">
        <v>-0.4323682584054751</v>
      </c>
      <c r="BA37" s="166">
        <v>-5.5013347249984834</v>
      </c>
      <c r="BB37" s="166"/>
      <c r="BC37" s="166"/>
      <c r="BD37" s="166"/>
      <c r="BE37" s="166">
        <v>-3.9371540177714506</v>
      </c>
      <c r="BF37" s="166">
        <v>-1.9685770088857253</v>
      </c>
      <c r="BG37" s="166">
        <v>-1.5714307604758215</v>
      </c>
      <c r="BH37" s="166">
        <v>5.0000000000000018</v>
      </c>
      <c r="BI37" s="166">
        <v>-1.0119744202250034</v>
      </c>
      <c r="BJ37" s="166">
        <v>7.1099804688999608</v>
      </c>
      <c r="BK37" s="166">
        <v>-1.6304937964537254</v>
      </c>
      <c r="BL37" s="166">
        <v>-1.4764327566642943</v>
      </c>
      <c r="BM37" s="26"/>
      <c r="BN37" s="26"/>
    </row>
    <row r="38" spans="1:66">
      <c r="A38" s="26"/>
      <c r="B38" s="26"/>
      <c r="C38" s="26"/>
      <c r="D38" s="26"/>
      <c r="E38" s="26"/>
      <c r="F38" s="26"/>
      <c r="G38" s="26"/>
      <c r="H38" s="26"/>
      <c r="I38" s="26"/>
      <c r="J38" s="26"/>
      <c r="K38" s="26"/>
      <c r="L38" s="26"/>
      <c r="M38" s="2"/>
      <c r="N38" s="26"/>
      <c r="O38" s="166">
        <v>5.200000000000002</v>
      </c>
      <c r="P38" s="166">
        <v>1.9801321044788629</v>
      </c>
      <c r="Q38" s="166">
        <v>4.986930010001384E-9</v>
      </c>
      <c r="R38" s="166">
        <v>2.0546563817161297E-2</v>
      </c>
      <c r="S38" s="166">
        <v>0.97877475292602456</v>
      </c>
      <c r="T38" s="166">
        <v>6.78678269884173E-4</v>
      </c>
      <c r="U38" s="166"/>
      <c r="V38" s="166"/>
      <c r="W38" s="166"/>
      <c r="X38" s="551">
        <v>2.4168116769759142E-3</v>
      </c>
      <c r="Y38" s="551">
        <v>17.173922529036645</v>
      </c>
      <c r="Z38" s="166">
        <v>7.322349098093679</v>
      </c>
      <c r="AA38" s="166">
        <v>1.2643611633409697</v>
      </c>
      <c r="AB38" s="166">
        <v>2.3663593383911099E-5</v>
      </c>
      <c r="AC38" s="166">
        <v>0.73559289260566874</v>
      </c>
      <c r="AD38" s="166">
        <v>0.26438206066754083</v>
      </c>
      <c r="AE38" s="166">
        <v>1.3831334064400469E-6</v>
      </c>
      <c r="AF38" s="166"/>
      <c r="AG38" s="166"/>
      <c r="AH38" s="166"/>
      <c r="AI38" s="166">
        <v>0.52302493557811991</v>
      </c>
      <c r="AJ38" s="166">
        <v>1.5690748067343598</v>
      </c>
      <c r="AK38" s="166">
        <v>0.26151246778905995</v>
      </c>
      <c r="AL38" s="166">
        <v>2.2396361255394993E-2</v>
      </c>
      <c r="AM38" s="166">
        <v>5.200000000000002</v>
      </c>
      <c r="AN38" s="166">
        <v>-8.3021129787936712</v>
      </c>
      <c r="AO38" s="166">
        <v>-1.6872498752996254</v>
      </c>
      <c r="AP38" s="166">
        <v>-9.3171812955116871E-3</v>
      </c>
      <c r="AQ38" s="166">
        <v>-3.1683155441801807</v>
      </c>
      <c r="AR38" s="166"/>
      <c r="AS38" s="166"/>
      <c r="AT38" s="166"/>
      <c r="AU38" s="166">
        <v>-2.6167402485529192</v>
      </c>
      <c r="AV38" s="166">
        <v>17.173922529036645</v>
      </c>
      <c r="AW38" s="166">
        <v>5.200000000000002</v>
      </c>
      <c r="AX38" s="166">
        <v>-4.6258893577004523</v>
      </c>
      <c r="AY38" s="166">
        <v>-0.13336161223639886</v>
      </c>
      <c r="AZ38" s="166">
        <v>-0.57776427626227644</v>
      </c>
      <c r="BA38" s="166">
        <v>-5.8590979971769368</v>
      </c>
      <c r="BB38" s="166"/>
      <c r="BC38" s="166"/>
      <c r="BD38" s="166"/>
      <c r="BE38" s="166">
        <v>-3.8158005153750407</v>
      </c>
      <c r="BF38" s="166">
        <v>-1.9079002576875204</v>
      </c>
      <c r="BG38" s="166">
        <v>-1.6498118549779257</v>
      </c>
      <c r="BH38" s="166">
        <v>5.200000000000002</v>
      </c>
      <c r="BI38" s="166">
        <v>-1.0198678955211371</v>
      </c>
      <c r="BJ38" s="166">
        <v>7.322349098093679</v>
      </c>
      <c r="BK38" s="166">
        <v>-1.7356388366590303</v>
      </c>
      <c r="BL38" s="166">
        <v>-1.4309251932656402</v>
      </c>
      <c r="BM38" s="26"/>
      <c r="BN38" s="26"/>
    </row>
    <row r="39" spans="1:66">
      <c r="A39" s="26"/>
      <c r="B39" s="26"/>
      <c r="C39" s="26"/>
      <c r="D39" s="26"/>
      <c r="E39" s="26"/>
      <c r="F39" s="26"/>
      <c r="G39" s="26"/>
      <c r="H39" s="26"/>
      <c r="I39" s="26"/>
      <c r="J39" s="26"/>
      <c r="K39" s="26"/>
      <c r="L39" s="26"/>
      <c r="M39" s="2"/>
      <c r="N39" s="26"/>
      <c r="O39" s="166">
        <v>5.4000000000000021</v>
      </c>
      <c r="P39" s="166">
        <v>1.9682378312133983</v>
      </c>
      <c r="Q39" s="166">
        <v>1.2380914472153525E-8</v>
      </c>
      <c r="R39" s="166">
        <v>3.2185380797812732E-2</v>
      </c>
      <c r="S39" s="166">
        <v>0.96739137004823306</v>
      </c>
      <c r="T39" s="166">
        <v>4.2323677303982585E-4</v>
      </c>
      <c r="U39" s="166"/>
      <c r="V39" s="166"/>
      <c r="W39" s="166"/>
      <c r="X39" s="551">
        <v>3.6498244390078885E-3</v>
      </c>
      <c r="Y39" s="551">
        <v>18.068469061108772</v>
      </c>
      <c r="Z39" s="166">
        <v>7.5341386806955644</v>
      </c>
      <c r="AA39" s="166">
        <v>1.1807491532825616</v>
      </c>
      <c r="AB39" s="166">
        <v>4.2914539616965067E-5</v>
      </c>
      <c r="AC39" s="166">
        <v>0.81916559842814651</v>
      </c>
      <c r="AD39" s="166">
        <v>0.18079090624229457</v>
      </c>
      <c r="AE39" s="166">
        <v>5.8078994195864928E-7</v>
      </c>
      <c r="AF39" s="166"/>
      <c r="AG39" s="166"/>
      <c r="AH39" s="166"/>
      <c r="AI39" s="166">
        <v>0.53815276290682601</v>
      </c>
      <c r="AJ39" s="166">
        <v>1.6144582887204781</v>
      </c>
      <c r="AK39" s="166">
        <v>0.269076381453413</v>
      </c>
      <c r="AL39" s="166">
        <v>1.7059439539753012E-2</v>
      </c>
      <c r="AM39" s="166">
        <v>5.4000000000000021</v>
      </c>
      <c r="AN39" s="166">
        <v>-7.9071960850879517</v>
      </c>
      <c r="AO39" s="166">
        <v>-1.4923316867962035</v>
      </c>
      <c r="AP39" s="166">
        <v>-1.4397697994386931E-2</v>
      </c>
      <c r="AQ39" s="166">
        <v>-3.3733947660813528</v>
      </c>
      <c r="AR39" s="166"/>
      <c r="AS39" s="166"/>
      <c r="AT39" s="166"/>
      <c r="AU39" s="166">
        <v>-2.4377122433103775</v>
      </c>
      <c r="AV39" s="166">
        <v>18.068469061108772</v>
      </c>
      <c r="AW39" s="166">
        <v>5.4000000000000021</v>
      </c>
      <c r="AX39" s="166">
        <v>-4.3673672677147284</v>
      </c>
      <c r="AY39" s="166">
        <v>-8.6627733729235365E-2</v>
      </c>
      <c r="AZ39" s="166">
        <v>-0.74281860923367315</v>
      </c>
      <c r="BA39" s="166">
        <v>-6.2359405416268938</v>
      </c>
      <c r="BB39" s="166"/>
      <c r="BC39" s="166"/>
      <c r="BD39" s="166"/>
      <c r="BE39" s="166">
        <v>-3.6947778967453919</v>
      </c>
      <c r="BF39" s="166">
        <v>-1.847388948372696</v>
      </c>
      <c r="BG39" s="166">
        <v>-1.7680237947358548</v>
      </c>
      <c r="BH39" s="166">
        <v>5.4000000000000021</v>
      </c>
      <c r="BI39" s="166">
        <v>-1.0317621687866017</v>
      </c>
      <c r="BJ39" s="166">
        <v>7.5341386806955644</v>
      </c>
      <c r="BK39" s="166">
        <v>-1.8192508467174384</v>
      </c>
      <c r="BL39" s="166">
        <v>-1.3855417112795219</v>
      </c>
      <c r="BM39" s="26"/>
      <c r="BN39" s="26"/>
    </row>
    <row r="40" spans="1:66">
      <c r="A40" s="26"/>
      <c r="B40" s="26"/>
      <c r="C40" s="26"/>
      <c r="D40" s="26"/>
      <c r="E40" s="26"/>
      <c r="F40" s="26"/>
      <c r="G40" s="26"/>
      <c r="H40" s="26"/>
      <c r="I40" s="26"/>
      <c r="J40" s="26"/>
      <c r="K40" s="26"/>
      <c r="L40" s="26"/>
      <c r="M40" s="2"/>
      <c r="N40" s="26"/>
      <c r="O40" s="166">
        <v>5.6000000000000023</v>
      </c>
      <c r="P40" s="166">
        <v>1.9501865503709845</v>
      </c>
      <c r="Q40" s="166">
        <v>3.0529500815533627E-8</v>
      </c>
      <c r="R40" s="166">
        <v>5.0075538879177768E-2</v>
      </c>
      <c r="S40" s="166">
        <v>0.94966228028215738</v>
      </c>
      <c r="T40" s="166">
        <v>2.6215030916399611E-4</v>
      </c>
      <c r="U40" s="166"/>
      <c r="V40" s="166"/>
      <c r="W40" s="166"/>
      <c r="X40" s="551">
        <v>5.5171228684680121E-3</v>
      </c>
      <c r="Y40" s="551">
        <v>18.725484058086295</v>
      </c>
      <c r="Z40" s="166">
        <v>7.7454546772478645</v>
      </c>
      <c r="AA40" s="166">
        <v>1.1193801890176205</v>
      </c>
      <c r="AB40" s="166">
        <v>7.5034898705262702E-5</v>
      </c>
      <c r="AC40" s="166">
        <v>0.88046997708605457</v>
      </c>
      <c r="AD40" s="166">
        <v>0.11945475211415434</v>
      </c>
      <c r="AE40" s="166">
        <v>2.3590108578446867E-7</v>
      </c>
      <c r="AF40" s="166"/>
      <c r="AG40" s="166"/>
      <c r="AH40" s="166"/>
      <c r="AI40" s="166">
        <v>0.55324676266056172</v>
      </c>
      <c r="AJ40" s="166">
        <v>1.6597402879816854</v>
      </c>
      <c r="AK40" s="166">
        <v>0.27662338133028086</v>
      </c>
      <c r="AL40" s="166">
        <v>1.2122486638642497E-2</v>
      </c>
      <c r="AM40" s="166">
        <v>5.6000000000000023</v>
      </c>
      <c r="AN40" s="166">
        <v>-7.5152316429056443</v>
      </c>
      <c r="AO40" s="166">
        <v>-1.3003659498161928</v>
      </c>
      <c r="AP40" s="166">
        <v>-2.2430666216673587E-2</v>
      </c>
      <c r="AQ40" s="166">
        <v>-3.581426439505937</v>
      </c>
      <c r="AR40" s="166"/>
      <c r="AS40" s="166"/>
      <c r="AT40" s="166"/>
      <c r="AU40" s="166">
        <v>-2.2582727239015274</v>
      </c>
      <c r="AV40" s="166">
        <v>18.725484058086295</v>
      </c>
      <c r="AW40" s="166">
        <v>5.6000000000000023</v>
      </c>
      <c r="AX40" s="166">
        <v>-4.1247099959105986</v>
      </c>
      <c r="AY40" s="166">
        <v>-5.5285090420070945E-2</v>
      </c>
      <c r="AZ40" s="166">
        <v>-0.92279059441947398</v>
      </c>
      <c r="BA40" s="166">
        <v>-6.6272271553076596</v>
      </c>
      <c r="BB40" s="166"/>
      <c r="BC40" s="166"/>
      <c r="BD40" s="166"/>
      <c r="BE40" s="166">
        <v>-3.5740258987155062</v>
      </c>
      <c r="BF40" s="166">
        <v>-1.7870129493577531</v>
      </c>
      <c r="BG40" s="166">
        <v>-1.9163958790846263</v>
      </c>
      <c r="BH40" s="166">
        <v>5.6000000000000023</v>
      </c>
      <c r="BI40" s="166">
        <v>-1.0498134496290155</v>
      </c>
      <c r="BJ40" s="166">
        <v>7.7454546772478645</v>
      </c>
      <c r="BK40" s="166">
        <v>-1.8806198109823795</v>
      </c>
      <c r="BL40" s="166">
        <v>-1.3402597120183146</v>
      </c>
      <c r="BM40" s="26"/>
      <c r="BN40" s="26"/>
    </row>
    <row r="41" spans="1:66">
      <c r="A41" s="26"/>
      <c r="B41" s="26"/>
      <c r="C41" s="26"/>
      <c r="D41" s="26"/>
      <c r="E41" s="26"/>
      <c r="F41" s="26"/>
      <c r="G41" s="26"/>
      <c r="H41" s="26"/>
      <c r="I41" s="26"/>
      <c r="J41" s="26"/>
      <c r="K41" s="26"/>
      <c r="L41" s="26"/>
      <c r="M41" s="2"/>
      <c r="N41" s="26"/>
      <c r="O41" s="166">
        <v>5.8000000000000025</v>
      </c>
      <c r="P41" s="166">
        <v>1.9230472862588528</v>
      </c>
      <c r="Q41" s="166">
        <v>7.4511488799997335E-8</v>
      </c>
      <c r="R41" s="166">
        <v>7.7113278792795698E-2</v>
      </c>
      <c r="S41" s="166">
        <v>0.92272593262108915</v>
      </c>
      <c r="T41" s="166">
        <v>1.6071407462632645E-4</v>
      </c>
      <c r="U41" s="166"/>
      <c r="V41" s="166"/>
      <c r="W41" s="166"/>
      <c r="X41" s="551">
        <v>8.2195093332894965E-3</v>
      </c>
      <c r="Y41" s="551">
        <v>19.179874857945833</v>
      </c>
      <c r="Z41" s="166">
        <v>7.9564249462523851</v>
      </c>
      <c r="AA41" s="166">
        <v>1.0769000771551727</v>
      </c>
      <c r="AB41" s="166">
        <v>1.278343226303804E-4</v>
      </c>
      <c r="AC41" s="166">
        <v>0.92284434778393365</v>
      </c>
      <c r="AD41" s="166">
        <v>7.7027724309069193E-2</v>
      </c>
      <c r="AE41" s="166">
        <v>9.3584366915390495E-8</v>
      </c>
      <c r="AF41" s="166"/>
      <c r="AG41" s="166"/>
      <c r="AH41" s="166"/>
      <c r="AI41" s="166">
        <v>0.56831606758945608</v>
      </c>
      <c r="AJ41" s="166">
        <v>1.7049482027683684</v>
      </c>
      <c r="AK41" s="166">
        <v>0.28415803379472804</v>
      </c>
      <c r="AL41" s="166">
        <v>8.2048431037867638E-3</v>
      </c>
      <c r="AM41" s="166">
        <v>5.8000000000000025</v>
      </c>
      <c r="AN41" s="166">
        <v>-7.1277306138147569</v>
      </c>
      <c r="AO41" s="166">
        <v>-1.1128636259276024</v>
      </c>
      <c r="AP41" s="166">
        <v>-3.492704753038018E-2</v>
      </c>
      <c r="AQ41" s="166">
        <v>-3.7939215260219403</v>
      </c>
      <c r="AR41" s="166"/>
      <c r="AS41" s="166"/>
      <c r="AT41" s="166"/>
      <c r="AU41" s="166">
        <v>-2.0851406077953643</v>
      </c>
      <c r="AV41" s="166">
        <v>19.179874857945833</v>
      </c>
      <c r="AW41" s="166">
        <v>5.8000000000000025</v>
      </c>
      <c r="AX41" s="166">
        <v>-3.8933273199405316</v>
      </c>
      <c r="AY41" s="166">
        <v>-3.4871317635425239E-2</v>
      </c>
      <c r="AZ41" s="166">
        <v>-1.1133457248202503</v>
      </c>
      <c r="BA41" s="166">
        <v>-7.0287511888938576</v>
      </c>
      <c r="BB41" s="166"/>
      <c r="BC41" s="166"/>
      <c r="BD41" s="166"/>
      <c r="BE41" s="166">
        <v>-3.4534714592843514</v>
      </c>
      <c r="BF41" s="166">
        <v>-1.7267357296421757</v>
      </c>
      <c r="BG41" s="166">
        <v>-2.0859162149950841</v>
      </c>
      <c r="BH41" s="166">
        <v>5.8000000000000025</v>
      </c>
      <c r="BI41" s="166">
        <v>-1.0769527137411472</v>
      </c>
      <c r="BJ41" s="166">
        <v>7.9564249462523851</v>
      </c>
      <c r="BK41" s="166">
        <v>-1.9230999228448273</v>
      </c>
      <c r="BL41" s="166">
        <v>-1.2950517972316316</v>
      </c>
      <c r="BM41" s="26"/>
      <c r="BN41" s="26"/>
    </row>
    <row r="42" spans="1:66">
      <c r="A42" s="26"/>
      <c r="B42" s="26"/>
      <c r="C42" s="26"/>
      <c r="D42" s="26"/>
      <c r="E42" s="26"/>
      <c r="F42" s="26"/>
      <c r="G42" s="26"/>
      <c r="H42" s="26"/>
      <c r="I42" s="26"/>
      <c r="J42" s="26"/>
      <c r="K42" s="26"/>
      <c r="L42" s="26"/>
      <c r="M42" s="2"/>
      <c r="N42" s="26"/>
      <c r="O42" s="166">
        <v>6.0000000000000027</v>
      </c>
      <c r="P42" s="166">
        <v>1.8831481730973172</v>
      </c>
      <c r="Q42" s="166">
        <v>1.7909717429815086E-7</v>
      </c>
      <c r="R42" s="166">
        <v>0.11694850169626846</v>
      </c>
      <c r="S42" s="166">
        <v>0.88295428621862293</v>
      </c>
      <c r="T42" s="166">
        <v>9.7032987934303567E-5</v>
      </c>
      <c r="U42" s="166"/>
      <c r="V42" s="166"/>
      <c r="W42" s="166"/>
      <c r="X42" s="551">
        <v>1.1906485329321799E-2</v>
      </c>
      <c r="Y42" s="551">
        <v>19.48181740444852</v>
      </c>
      <c r="Z42" s="166">
        <v>8.1671594790759396</v>
      </c>
      <c r="AA42" s="166">
        <v>1.048643652703463</v>
      </c>
      <c r="AB42" s="166">
        <v>2.1399388681592814E-4</v>
      </c>
      <c r="AC42" s="166">
        <v>0.95092839606164814</v>
      </c>
      <c r="AD42" s="166">
        <v>4.8857573512793163E-2</v>
      </c>
      <c r="AE42" s="166">
        <v>3.6538742831419421E-8</v>
      </c>
      <c r="AF42" s="166"/>
      <c r="AG42" s="166"/>
      <c r="AH42" s="166"/>
      <c r="AI42" s="166">
        <v>0.58336853421971002</v>
      </c>
      <c r="AJ42" s="166">
        <v>1.7501056026591297</v>
      </c>
      <c r="AK42" s="166">
        <v>0.29168426710985501</v>
      </c>
      <c r="AL42" s="166">
        <v>5.3815843537653365E-3</v>
      </c>
      <c r="AM42" s="166">
        <v>6.0000000000000027</v>
      </c>
      <c r="AN42" s="166">
        <v>-6.7468675867427965</v>
      </c>
      <c r="AO42" s="166">
        <v>-0.93199930405793974</v>
      </c>
      <c r="AP42" s="166">
        <v>-5.4061430863014778E-2</v>
      </c>
      <c r="AQ42" s="166">
        <v>-4.0130546145568724</v>
      </c>
      <c r="AR42" s="166"/>
      <c r="AS42" s="166"/>
      <c r="AT42" s="166"/>
      <c r="AU42" s="166">
        <v>-1.9242039614601361</v>
      </c>
      <c r="AV42" s="166">
        <v>19.48181740444852</v>
      </c>
      <c r="AW42" s="166">
        <v>6.0000000000000027</v>
      </c>
      <c r="AX42" s="166">
        <v>-3.6695748760666884</v>
      </c>
      <c r="AY42" s="166">
        <v>-2.1852042292191488E-2</v>
      </c>
      <c r="AZ42" s="166">
        <v>-1.3110596180076259</v>
      </c>
      <c r="BA42" s="166">
        <v>-7.4371982506118428</v>
      </c>
      <c r="BB42" s="166"/>
      <c r="BC42" s="166"/>
      <c r="BD42" s="166"/>
      <c r="BE42" s="166">
        <v>-3.3330517262423198</v>
      </c>
      <c r="BF42" s="166">
        <v>-1.6665258631211599</v>
      </c>
      <c r="BG42" s="166">
        <v>-2.2690751579147572</v>
      </c>
      <c r="BH42" s="166">
        <v>6.0000000000000027</v>
      </c>
      <c r="BI42" s="166">
        <v>-1.1168518269026828</v>
      </c>
      <c r="BJ42" s="166">
        <v>8.1671594790759396</v>
      </c>
      <c r="BK42" s="166">
        <v>-1.951356347296537</v>
      </c>
      <c r="BL42" s="166">
        <v>-1.2498943973408703</v>
      </c>
      <c r="BM42" s="26"/>
      <c r="BN42" s="26"/>
    </row>
    <row r="43" spans="1:66">
      <c r="A43" s="26"/>
      <c r="B43" s="26"/>
      <c r="C43" s="26"/>
      <c r="D43" s="26"/>
      <c r="E43" s="26"/>
      <c r="F43" s="26"/>
      <c r="G43" s="26"/>
      <c r="H43" s="26"/>
      <c r="I43" s="26"/>
      <c r="J43" s="26"/>
      <c r="K43" s="26"/>
      <c r="L43" s="26"/>
      <c r="M43" s="2"/>
      <c r="N43" s="26"/>
      <c r="O43" s="166">
        <v>6.2000000000000028</v>
      </c>
      <c r="P43" s="166">
        <v>1.8265665381519172</v>
      </c>
      <c r="Q43" s="166">
        <v>4.2108360492353226E-7</v>
      </c>
      <c r="R43" s="166">
        <v>0.17348992553675871</v>
      </c>
      <c r="S43" s="166">
        <v>0.82645234752375052</v>
      </c>
      <c r="T43" s="166">
        <v>5.7305855885876475E-5</v>
      </c>
      <c r="U43" s="166"/>
      <c r="V43" s="166"/>
      <c r="W43" s="166"/>
      <c r="X43" s="551">
        <v>1.6519578156927821E-2</v>
      </c>
      <c r="Y43" s="551">
        <v>19.677734184369911</v>
      </c>
      <c r="Z43" s="166">
        <v>8.377740060160809</v>
      </c>
      <c r="AA43" s="166">
        <v>1.0303024016706128</v>
      </c>
      <c r="AB43" s="166">
        <v>3.5412219194928655E-4</v>
      </c>
      <c r="AC43" s="166">
        <v>0.96898936806317848</v>
      </c>
      <c r="AD43" s="166">
        <v>3.0656495627182468E-2</v>
      </c>
      <c r="AE43" s="166">
        <v>1.4117689770433502E-8</v>
      </c>
      <c r="AF43" s="166"/>
      <c r="AG43" s="166"/>
      <c r="AH43" s="166"/>
      <c r="AI43" s="166">
        <v>0.59841000429720059</v>
      </c>
      <c r="AJ43" s="166">
        <v>1.7952300128916019</v>
      </c>
      <c r="AK43" s="166">
        <v>0.2992050021486003</v>
      </c>
      <c r="AL43" s="166">
        <v>3.471633906682522E-3</v>
      </c>
      <c r="AM43" s="166">
        <v>6.2000000000000028</v>
      </c>
      <c r="AN43" s="166">
        <v>-6.3755903919321719</v>
      </c>
      <c r="AO43" s="166">
        <v>-0.76072081444961248</v>
      </c>
      <c r="AP43" s="166">
        <v>-8.27816464569847E-2</v>
      </c>
      <c r="AQ43" s="166">
        <v>-4.2417735353531398</v>
      </c>
      <c r="AR43" s="166"/>
      <c r="AS43" s="166"/>
      <c r="AT43" s="166"/>
      <c r="AU43" s="166">
        <v>-1.7819895103405985</v>
      </c>
      <c r="AV43" s="166">
        <v>19.677734184369911</v>
      </c>
      <c r="AW43" s="166">
        <v>6.2000000000000028</v>
      </c>
      <c r="AX43" s="166">
        <v>-3.4508245155006079</v>
      </c>
      <c r="AY43" s="166">
        <v>-1.3680899514717135E-2</v>
      </c>
      <c r="AZ43" s="166">
        <v>-1.5134676930187576</v>
      </c>
      <c r="BA43" s="166">
        <v>-7.8501855434115804</v>
      </c>
      <c r="BB43" s="166"/>
      <c r="BC43" s="166"/>
      <c r="BD43" s="166"/>
      <c r="BE43" s="166">
        <v>-3.2127199656223953</v>
      </c>
      <c r="BF43" s="166">
        <v>-1.6063599828111976</v>
      </c>
      <c r="BG43" s="166">
        <v>-2.4594501560701336</v>
      </c>
      <c r="BH43" s="166">
        <v>6.2000000000000028</v>
      </c>
      <c r="BI43" s="166">
        <v>-1.1734334618480828</v>
      </c>
      <c r="BJ43" s="166">
        <v>8.377740060160809</v>
      </c>
      <c r="BK43" s="166">
        <v>-1.9696975983293872</v>
      </c>
      <c r="BL43" s="166">
        <v>-1.2047699871083981</v>
      </c>
      <c r="BM43" s="26"/>
      <c r="BN43" s="26"/>
    </row>
    <row r="44" spans="1:66">
      <c r="A44" s="26"/>
      <c r="B44" s="26"/>
      <c r="C44" s="26"/>
      <c r="D44" s="26"/>
      <c r="E44" s="26"/>
      <c r="F44" s="26"/>
      <c r="G44" s="26"/>
      <c r="H44" s="26"/>
      <c r="I44" s="26"/>
      <c r="J44" s="26"/>
      <c r="K44" s="26"/>
      <c r="L44" s="26"/>
      <c r="M44" s="2"/>
      <c r="N44" s="26"/>
      <c r="O44" s="166">
        <v>6.400000000000003</v>
      </c>
      <c r="P44" s="166">
        <v>1.7503941897957942</v>
      </c>
      <c r="Q44" s="166">
        <v>9.6029028176582784E-7</v>
      </c>
      <c r="R44" s="166">
        <v>0.24963671677554203</v>
      </c>
      <c r="S44" s="166">
        <v>0.75032949578227637</v>
      </c>
      <c r="T44" s="166">
        <v>3.2827151899820646E-5</v>
      </c>
      <c r="U44" s="166"/>
      <c r="V44" s="166"/>
      <c r="W44" s="166"/>
      <c r="X44" s="551">
        <v>2.157319282127345E-2</v>
      </c>
      <c r="Y44" s="551">
        <v>19.803712518478278</v>
      </c>
      <c r="Z44" s="166">
        <v>8.5882232426729104</v>
      </c>
      <c r="AA44" s="166">
        <v>1.0185206642117406</v>
      </c>
      <c r="AB44" s="166">
        <v>5.8167901716658086E-4</v>
      </c>
      <c r="AC44" s="166">
        <v>0.98031598317199287</v>
      </c>
      <c r="AD44" s="166">
        <v>1.9102332392773921E-2</v>
      </c>
      <c r="AE44" s="166">
        <v>5.4180666201952406E-9</v>
      </c>
      <c r="AF44" s="166"/>
      <c r="AG44" s="166"/>
      <c r="AH44" s="166"/>
      <c r="AI44" s="166">
        <v>0.61344451733377936</v>
      </c>
      <c r="AJ44" s="166">
        <v>1.840333552001338</v>
      </c>
      <c r="AK44" s="166">
        <v>0.30672225866688968</v>
      </c>
      <c r="AL44" s="166">
        <v>2.2382327335124085E-3</v>
      </c>
      <c r="AM44" s="166">
        <v>6.400000000000003</v>
      </c>
      <c r="AN44" s="166">
        <v>-6.0175585083608913</v>
      </c>
      <c r="AO44" s="166">
        <v>-0.60268763608062947</v>
      </c>
      <c r="AP44" s="166">
        <v>-0.12474717329029877</v>
      </c>
      <c r="AQ44" s="166">
        <v>-4.4837377673887513</v>
      </c>
      <c r="AR44" s="166"/>
      <c r="AS44" s="166"/>
      <c r="AT44" s="166"/>
      <c r="AU44" s="166">
        <v>-1.6660747885651883</v>
      </c>
      <c r="AV44" s="166">
        <v>19.803712518478278</v>
      </c>
      <c r="AW44" s="166">
        <v>6.400000000000003</v>
      </c>
      <c r="AX44" s="166">
        <v>-3.2352956567663207</v>
      </c>
      <c r="AY44" s="166">
        <v>-8.6338606268253452E-3</v>
      </c>
      <c r="AZ44" s="166">
        <v>-1.7189024739772611</v>
      </c>
      <c r="BA44" s="166">
        <v>-8.2661021442164806</v>
      </c>
      <c r="BB44" s="166"/>
      <c r="BC44" s="166"/>
      <c r="BD44" s="166"/>
      <c r="BE44" s="166">
        <v>-3.0924438613297651</v>
      </c>
      <c r="BF44" s="166">
        <v>-1.5462219306648826</v>
      </c>
      <c r="BG44" s="166">
        <v>-2.6500776004342632</v>
      </c>
      <c r="BH44" s="166">
        <v>6.400000000000003</v>
      </c>
      <c r="BI44" s="166">
        <v>-1.2496058102042058</v>
      </c>
      <c r="BJ44" s="166">
        <v>8.5882232426729104</v>
      </c>
      <c r="BK44" s="166">
        <v>-1.9814793357882594</v>
      </c>
      <c r="BL44" s="166">
        <v>-1.159666447998662</v>
      </c>
      <c r="BM44" s="26"/>
      <c r="BN44" s="26"/>
    </row>
    <row r="45" spans="1:66">
      <c r="A45" s="26"/>
      <c r="B45" s="26"/>
      <c r="C45" s="26"/>
      <c r="D45" s="26"/>
      <c r="E45" s="26"/>
      <c r="F45" s="26"/>
      <c r="G45" s="26"/>
      <c r="H45" s="26"/>
      <c r="I45" s="26"/>
      <c r="J45" s="26"/>
      <c r="K45" s="26"/>
      <c r="L45" s="26"/>
      <c r="M45" s="2"/>
      <c r="N45" s="26"/>
      <c r="O45" s="166">
        <v>6.6000000000000032</v>
      </c>
      <c r="P45" s="166">
        <v>1.6547717349262392</v>
      </c>
      <c r="Q45" s="166">
        <v>2.1048340367088852E-6</v>
      </c>
      <c r="R45" s="166">
        <v>0.34524212916643437</v>
      </c>
      <c r="S45" s="166">
        <v>0.65473769223878209</v>
      </c>
      <c r="T45" s="166">
        <v>1.8073760746896387E-5</v>
      </c>
      <c r="U45" s="166"/>
      <c r="V45" s="166"/>
      <c r="W45" s="166"/>
      <c r="X45" s="551">
        <v>2.603014702946637E-2</v>
      </c>
      <c r="Y45" s="551">
        <v>19.885540132236201</v>
      </c>
      <c r="Z45" s="166">
        <v>8.7986468997393832</v>
      </c>
      <c r="AA45" s="166">
        <v>1.010898622812358</v>
      </c>
      <c r="AB45" s="166">
        <v>9.5092422590682246E-4</v>
      </c>
      <c r="AC45" s="166">
        <v>0.98719953080614053</v>
      </c>
      <c r="AD45" s="166">
        <v>1.184954289764013E-2</v>
      </c>
      <c r="AE45" s="166">
        <v>2.0703124006842728E-9</v>
      </c>
      <c r="AF45" s="166"/>
      <c r="AG45" s="166"/>
      <c r="AH45" s="166"/>
      <c r="AI45" s="166">
        <v>0.62847477855281308</v>
      </c>
      <c r="AJ45" s="166">
        <v>1.8854243356584395</v>
      </c>
      <c r="AK45" s="166">
        <v>0.31423738927640654</v>
      </c>
      <c r="AL45" s="166">
        <v>1.4787070997504916E-3</v>
      </c>
      <c r="AM45" s="166">
        <v>6.6000000000000032</v>
      </c>
      <c r="AN45" s="166">
        <v>-5.6767453905831395</v>
      </c>
      <c r="AO45" s="166">
        <v>-0.46187322350517535</v>
      </c>
      <c r="AP45" s="166">
        <v>-0.18393146591714199</v>
      </c>
      <c r="AQ45" s="166">
        <v>-4.7429207652178906</v>
      </c>
      <c r="AR45" s="166"/>
      <c r="AS45" s="166"/>
      <c r="AT45" s="166"/>
      <c r="AU45" s="166">
        <v>-1.5845131206156502</v>
      </c>
      <c r="AV45" s="166">
        <v>19.885540132236201</v>
      </c>
      <c r="AW45" s="166">
        <v>6.6000000000000032</v>
      </c>
      <c r="AX45" s="166">
        <v>-3.0218345248522489</v>
      </c>
      <c r="AY45" s="166">
        <v>-5.5950234988868868E-3</v>
      </c>
      <c r="AZ45" s="166">
        <v>-1.9262859316354564</v>
      </c>
      <c r="BA45" s="166">
        <v>-8.6839078966608092</v>
      </c>
      <c r="BB45" s="166"/>
      <c r="BC45" s="166"/>
      <c r="BD45" s="166"/>
      <c r="BE45" s="166">
        <v>-2.9722017715774953</v>
      </c>
      <c r="BF45" s="166">
        <v>-1.4861008857887477</v>
      </c>
      <c r="BG45" s="166">
        <v>-2.830099519782094</v>
      </c>
      <c r="BH45" s="166">
        <v>6.6000000000000032</v>
      </c>
      <c r="BI45" s="166">
        <v>-1.3452282650737608</v>
      </c>
      <c r="BJ45" s="166">
        <v>8.7986468997393832</v>
      </c>
      <c r="BK45" s="166">
        <v>-1.989101377187642</v>
      </c>
      <c r="BL45" s="166">
        <v>-1.1145756643415605</v>
      </c>
      <c r="BM45" s="26"/>
      <c r="BN45" s="26"/>
    </row>
    <row r="46" spans="1:66">
      <c r="A46" s="26"/>
      <c r="B46" s="26"/>
      <c r="C46" s="26"/>
      <c r="D46" s="26"/>
      <c r="E46" s="26"/>
      <c r="F46" s="26"/>
      <c r="G46" s="26"/>
      <c r="H46" s="26"/>
      <c r="I46" s="26"/>
      <c r="J46" s="26"/>
      <c r="K46" s="26"/>
      <c r="L46" s="26"/>
      <c r="M46" s="2"/>
      <c r="N46" s="26"/>
      <c r="O46" s="166">
        <v>6.8000000000000034</v>
      </c>
      <c r="P46" s="166">
        <v>1.5447548836662093</v>
      </c>
      <c r="Q46" s="166">
        <v>4.3988588405883458E-6</v>
      </c>
      <c r="R46" s="166">
        <v>0.45524580652917329</v>
      </c>
      <c r="S46" s="166">
        <v>0.54474030669892259</v>
      </c>
      <c r="T46" s="166">
        <v>9.4879130636430419E-6</v>
      </c>
      <c r="U46" s="166"/>
      <c r="V46" s="166"/>
      <c r="W46" s="166"/>
      <c r="X46" s="551">
        <v>2.8555746307684936E-2</v>
      </c>
      <c r="Y46" s="551">
        <v>19.941073826339561</v>
      </c>
      <c r="Z46" s="166">
        <v>9.0090364657241615</v>
      </c>
      <c r="AA46" s="166">
        <v>1.0057790851587252</v>
      </c>
      <c r="AB46" s="166">
        <v>1.549734890864829E-3</v>
      </c>
      <c r="AC46" s="166">
        <v>0.99112144584836681</v>
      </c>
      <c r="AD46" s="166">
        <v>7.3288184719469893E-3</v>
      </c>
      <c r="AE46" s="166">
        <v>7.8882140107183893E-10</v>
      </c>
      <c r="AF46" s="166"/>
      <c r="AG46" s="166"/>
      <c r="AH46" s="166"/>
      <c r="AI46" s="166">
        <v>0.64350260469458298</v>
      </c>
      <c r="AJ46" s="166">
        <v>1.9305078140837488</v>
      </c>
      <c r="AK46" s="166">
        <v>0.32175130234729149</v>
      </c>
      <c r="AL46" s="166">
        <v>1.0486342277095317E-3</v>
      </c>
      <c r="AM46" s="166">
        <v>6.8000000000000034</v>
      </c>
      <c r="AN46" s="166">
        <v>-5.3566252953574089</v>
      </c>
      <c r="AO46" s="166">
        <v>-0.34175183348174154</v>
      </c>
      <c r="AP46" s="166">
        <v>-0.26380878109600531</v>
      </c>
      <c r="AQ46" s="166">
        <v>-5.0227967855990521</v>
      </c>
      <c r="AR46" s="166"/>
      <c r="AS46" s="166"/>
      <c r="AT46" s="166"/>
      <c r="AU46" s="166">
        <v>-1.544296487192647</v>
      </c>
      <c r="AV46" s="166">
        <v>19.941073826339561</v>
      </c>
      <c r="AW46" s="166">
        <v>6.8000000000000034</v>
      </c>
      <c r="AX46" s="166">
        <v>-2.8097243988671057</v>
      </c>
      <c r="AY46" s="166">
        <v>-3.8731014388883817E-3</v>
      </c>
      <c r="AZ46" s="166">
        <v>-2.1349522135006027</v>
      </c>
      <c r="BA46" s="166">
        <v>-9.1029623824510981</v>
      </c>
      <c r="BB46" s="166"/>
      <c r="BC46" s="166"/>
      <c r="BD46" s="166"/>
      <c r="BE46" s="166">
        <v>-2.8519791624433362</v>
      </c>
      <c r="BF46" s="166">
        <v>-1.4259895812216681</v>
      </c>
      <c r="BG46" s="166">
        <v>-2.9793566824538216</v>
      </c>
      <c r="BH46" s="166">
        <v>6.8000000000000034</v>
      </c>
      <c r="BI46" s="166">
        <v>-1.4552451163337907</v>
      </c>
      <c r="BJ46" s="166">
        <v>9.0090364657241615</v>
      </c>
      <c r="BK46" s="166">
        <v>-1.9942209148412748</v>
      </c>
      <c r="BL46" s="166">
        <v>-1.0694921859162512</v>
      </c>
      <c r="BM46" s="26"/>
      <c r="BN46" s="26"/>
    </row>
    <row r="47" spans="1:66">
      <c r="A47" s="26"/>
      <c r="B47" s="26"/>
      <c r="C47" s="26"/>
      <c r="D47" s="26"/>
      <c r="E47" s="26"/>
      <c r="F47" s="26"/>
      <c r="G47" s="26"/>
      <c r="H47" s="26"/>
      <c r="I47" s="26"/>
      <c r="J47" s="26"/>
      <c r="K47" s="26"/>
      <c r="L47" s="26"/>
      <c r="M47" s="2"/>
      <c r="N47" s="26"/>
      <c r="O47" s="166">
        <v>7.0000000000000036</v>
      </c>
      <c r="P47" s="166">
        <v>1.4301924557861194</v>
      </c>
      <c r="Q47" s="166">
        <v>8.7259469511914366E-6</v>
      </c>
      <c r="R47" s="166">
        <v>0.56979481994736014</v>
      </c>
      <c r="S47" s="166">
        <v>0.43019172647830684</v>
      </c>
      <c r="T47" s="166">
        <v>4.7276273818858842E-6</v>
      </c>
      <c r="U47" s="166"/>
      <c r="V47" s="166"/>
      <c r="W47" s="166"/>
      <c r="X47" s="551">
        <v>2.8225149844845403E-2</v>
      </c>
      <c r="Y47" s="551">
        <v>19.982924718351569</v>
      </c>
      <c r="Z47" s="166">
        <v>9.2194099000282304</v>
      </c>
      <c r="AA47" s="166">
        <v>1.0020031935470231</v>
      </c>
      <c r="AB47" s="166">
        <v>2.5201950738495313E-3</v>
      </c>
      <c r="AC47" s="166">
        <v>0.99295641660521861</v>
      </c>
      <c r="AD47" s="166">
        <v>4.5233880209913681E-3</v>
      </c>
      <c r="AE47" s="166">
        <v>2.9994051250968666E-10</v>
      </c>
      <c r="AF47" s="166"/>
      <c r="AG47" s="166"/>
      <c r="AH47" s="166"/>
      <c r="AI47" s="166">
        <v>0.65852927857344501</v>
      </c>
      <c r="AJ47" s="166">
        <v>1.9755878357203349</v>
      </c>
      <c r="AK47" s="166">
        <v>0.3292646392867225</v>
      </c>
      <c r="AL47" s="166">
        <v>8.5963164607495202E-4</v>
      </c>
      <c r="AM47" s="166">
        <v>7.0000000000000036</v>
      </c>
      <c r="AN47" s="166">
        <v>-5.0591546784839867</v>
      </c>
      <c r="AO47" s="166">
        <v>-0.24427992181061692</v>
      </c>
      <c r="AP47" s="166">
        <v>-0.36633557462717792</v>
      </c>
      <c r="AQ47" s="166">
        <v>-5.3253222843325219</v>
      </c>
      <c r="AR47" s="166"/>
      <c r="AS47" s="166"/>
      <c r="AT47" s="166"/>
      <c r="AU47" s="166">
        <v>-1.5493537132024715</v>
      </c>
      <c r="AV47" s="166">
        <v>19.982924718351569</v>
      </c>
      <c r="AW47" s="166">
        <v>7.0000000000000036</v>
      </c>
      <c r="AX47" s="166">
        <v>-2.5985490185864126</v>
      </c>
      <c r="AY47" s="166">
        <v>-3.0697935070667956E-3</v>
      </c>
      <c r="AZ47" s="166">
        <v>-2.3445209779176519</v>
      </c>
      <c r="BA47" s="166">
        <v>-9.5229032192170191</v>
      </c>
      <c r="BB47" s="166"/>
      <c r="BC47" s="166"/>
      <c r="BD47" s="166"/>
      <c r="BE47" s="166">
        <v>-2.7317657714124399</v>
      </c>
      <c r="BF47" s="166">
        <v>-1.36588288570622</v>
      </c>
      <c r="BG47" s="166">
        <v>-3.0656677577472404</v>
      </c>
      <c r="BH47" s="166">
        <v>7.0000000000000036</v>
      </c>
      <c r="BI47" s="166">
        <v>-1.5698075442138806</v>
      </c>
      <c r="BJ47" s="166">
        <v>9.2194099000282304</v>
      </c>
      <c r="BK47" s="166">
        <v>-1.9979968064529769</v>
      </c>
      <c r="BL47" s="166">
        <v>-1.0244121642796651</v>
      </c>
      <c r="BM47" s="26"/>
      <c r="BN47" s="26"/>
    </row>
    <row r="48" spans="1:66">
      <c r="A48" s="26"/>
      <c r="B48" s="26"/>
      <c r="C48" s="26"/>
      <c r="D48" s="26"/>
      <c r="E48" s="26"/>
      <c r="F48" s="26"/>
      <c r="G48" s="26"/>
      <c r="H48" s="26"/>
      <c r="I48" s="26"/>
      <c r="J48" s="26"/>
      <c r="K48" s="26"/>
      <c r="L48" s="26"/>
      <c r="M48" s="2"/>
      <c r="N48" s="26"/>
      <c r="O48" s="166">
        <v>7.2000000000000037</v>
      </c>
      <c r="P48" s="166">
        <v>1.3226446007740214</v>
      </c>
      <c r="Q48" s="166">
        <v>1.6439591500085179E-5</v>
      </c>
      <c r="R48" s="166">
        <v>0.6773247573299459</v>
      </c>
      <c r="S48" s="166">
        <v>0.32265656579158708</v>
      </c>
      <c r="T48" s="166">
        <v>2.2372869670326764E-6</v>
      </c>
      <c r="U48" s="166"/>
      <c r="V48" s="166"/>
      <c r="W48" s="166"/>
      <c r="X48" s="551">
        <v>2.5166049601100606E-2</v>
      </c>
      <c r="Y48" s="551">
        <v>20.020832466252614</v>
      </c>
      <c r="Z48" s="166">
        <v>9.4297815209616029</v>
      </c>
      <c r="AA48" s="166">
        <v>0.99869571970784365</v>
      </c>
      <c r="AB48" s="166">
        <v>4.0914563177732325E-3</v>
      </c>
      <c r="AC48" s="166">
        <v>0.993121367770468</v>
      </c>
      <c r="AD48" s="166">
        <v>2.7871757979005991E-3</v>
      </c>
      <c r="AE48" s="166">
        <v>1.138581248088399E-10</v>
      </c>
      <c r="AF48" s="166"/>
      <c r="AG48" s="166"/>
      <c r="AH48" s="166"/>
      <c r="AI48" s="166">
        <v>0.67355582292582883</v>
      </c>
      <c r="AJ48" s="166">
        <v>2.0206674687774862</v>
      </c>
      <c r="AK48" s="166">
        <v>0.33677791146291441</v>
      </c>
      <c r="AL48" s="166">
        <v>8.7154513970799164E-4</v>
      </c>
      <c r="AM48" s="166">
        <v>7.2000000000000037</v>
      </c>
      <c r="AN48" s="166">
        <v>-4.7840780059809118</v>
      </c>
      <c r="AO48" s="166">
        <v>-0.16920195450983874</v>
      </c>
      <c r="AP48" s="166">
        <v>-0.49125631252869695</v>
      </c>
      <c r="AQ48" s="166">
        <v>-5.6502417274363381</v>
      </c>
      <c r="AR48" s="166"/>
      <c r="AS48" s="166"/>
      <c r="AT48" s="166"/>
      <c r="AU48" s="166">
        <v>-1.5991745986525807</v>
      </c>
      <c r="AV48" s="166">
        <v>20.020832466252614</v>
      </c>
      <c r="AW48" s="166">
        <v>7.2000000000000037</v>
      </c>
      <c r="AX48" s="166">
        <v>-2.3881066205113122</v>
      </c>
      <c r="AY48" s="166">
        <v>-2.9976544218808885E-3</v>
      </c>
      <c r="AZ48" s="166">
        <v>-2.554819097822381</v>
      </c>
      <c r="BA48" s="166">
        <v>-9.9435715981116637</v>
      </c>
      <c r="BB48" s="166"/>
      <c r="BC48" s="166"/>
      <c r="BD48" s="166"/>
      <c r="BE48" s="166">
        <v>-2.6115534165933694</v>
      </c>
      <c r="BF48" s="166">
        <v>-1.3057767082966847</v>
      </c>
      <c r="BG48" s="166">
        <v>-3.0596903061435565</v>
      </c>
      <c r="BH48" s="166">
        <v>7.2000000000000037</v>
      </c>
      <c r="BI48" s="166">
        <v>-1.6773553992259786</v>
      </c>
      <c r="BJ48" s="166">
        <v>9.4297815209616029</v>
      </c>
      <c r="BK48" s="166">
        <v>-2.0013042802921563</v>
      </c>
      <c r="BL48" s="166">
        <v>-0.97933253122251385</v>
      </c>
      <c r="BM48" s="26"/>
      <c r="BN48" s="26"/>
    </row>
    <row r="49" spans="1:66">
      <c r="A49" s="26"/>
      <c r="B49" s="26"/>
      <c r="C49" s="26"/>
      <c r="D49" s="26"/>
      <c r="E49" s="26"/>
      <c r="F49" s="26"/>
      <c r="G49" s="26"/>
      <c r="H49" s="26"/>
      <c r="I49" s="26"/>
      <c r="J49" s="26"/>
      <c r="K49" s="26"/>
      <c r="L49" s="26"/>
      <c r="M49" s="2"/>
      <c r="N49" s="26"/>
      <c r="O49" s="166">
        <v>7.4000000000000039</v>
      </c>
      <c r="P49" s="166">
        <v>1.2310708889305968</v>
      </c>
      <c r="Q49" s="166">
        <v>2.9576551439537302E-5</v>
      </c>
      <c r="R49" s="166">
        <v>0.76887096902949703</v>
      </c>
      <c r="S49" s="166">
        <v>0.23109844335609106</v>
      </c>
      <c r="T49" s="166">
        <v>1.0110629725349097E-6</v>
      </c>
      <c r="U49" s="166"/>
      <c r="V49" s="166"/>
      <c r="W49" s="166"/>
      <c r="X49" s="551">
        <v>2.0463873874287952E-2</v>
      </c>
      <c r="Y49" s="551">
        <v>20.063731157279108</v>
      </c>
      <c r="Z49" s="166">
        <v>9.6401651822701666</v>
      </c>
      <c r="AA49" s="166">
        <v>0.99508288805634781</v>
      </c>
      <c r="AB49" s="166">
        <v>6.6316159806792232E-3</v>
      </c>
      <c r="AC49" s="166">
        <v>0.9916538800254413</v>
      </c>
      <c r="AD49" s="166">
        <v>1.7145039507321528E-3</v>
      </c>
      <c r="AE49" s="166">
        <v>4.3147386360084171E-11</v>
      </c>
      <c r="AF49" s="166"/>
      <c r="AG49" s="166"/>
      <c r="AH49" s="166"/>
      <c r="AI49" s="166">
        <v>0.68858322730501187</v>
      </c>
      <c r="AJ49" s="166">
        <v>2.0657496819150358</v>
      </c>
      <c r="AK49" s="166">
        <v>0.34429161365250593</v>
      </c>
      <c r="AL49" s="166">
        <v>1.0876454539105217E-3</v>
      </c>
      <c r="AM49" s="166">
        <v>7.4000000000000039</v>
      </c>
      <c r="AN49" s="166">
        <v>-4.5290231441293436</v>
      </c>
      <c r="AO49" s="166">
        <v>-0.11414579786056804</v>
      </c>
      <c r="AP49" s="166">
        <v>-0.63619886108172352</v>
      </c>
      <c r="AQ49" s="166">
        <v>-5.9951829811916619</v>
      </c>
      <c r="AR49" s="166"/>
      <c r="AS49" s="166"/>
      <c r="AT49" s="166"/>
      <c r="AU49" s="166">
        <v>-1.6890012149143372</v>
      </c>
      <c r="AV49" s="166">
        <v>20.063731157279108</v>
      </c>
      <c r="AW49" s="166">
        <v>7.4000000000000039</v>
      </c>
      <c r="AX49" s="166">
        <v>-2.1783665277619018</v>
      </c>
      <c r="AY49" s="166">
        <v>-3.6398609596274174E-3</v>
      </c>
      <c r="AZ49" s="166">
        <v>-2.7658436036472844</v>
      </c>
      <c r="BA49" s="166">
        <v>-10.364978403223724</v>
      </c>
      <c r="BB49" s="166"/>
      <c r="BC49" s="166"/>
      <c r="BD49" s="166"/>
      <c r="BE49" s="166">
        <v>-2.491334181559905</v>
      </c>
      <c r="BF49" s="166">
        <v>-1.2456670907799525</v>
      </c>
      <c r="BG49" s="166">
        <v>-2.9634934653100613</v>
      </c>
      <c r="BH49" s="166">
        <v>7.4000000000000039</v>
      </c>
      <c r="BI49" s="166">
        <v>-1.7689291110694032</v>
      </c>
      <c r="BJ49" s="166">
        <v>9.6401651822701666</v>
      </c>
      <c r="BK49" s="166">
        <v>-2.0049171119436524</v>
      </c>
      <c r="BL49" s="166">
        <v>-0.93425031808496417</v>
      </c>
      <c r="BM49" s="26"/>
      <c r="BN49" s="26"/>
    </row>
    <row r="50" spans="1:66">
      <c r="A50" s="26"/>
      <c r="B50" s="26"/>
      <c r="C50" s="26"/>
      <c r="D50" s="26"/>
      <c r="E50" s="26"/>
      <c r="F50" s="26"/>
      <c r="G50" s="26"/>
      <c r="H50" s="26"/>
      <c r="I50" s="26"/>
      <c r="J50" s="26"/>
      <c r="K50" s="26"/>
      <c r="L50" s="26"/>
      <c r="M50" s="2"/>
      <c r="N50" s="26"/>
      <c r="O50" s="166">
        <v>7.6000000000000041</v>
      </c>
      <c r="P50" s="166">
        <v>1.1593551641220443</v>
      </c>
      <c r="Q50" s="166">
        <v>5.1245283076373541E-5</v>
      </c>
      <c r="R50" s="166">
        <v>0.84054278534411397</v>
      </c>
      <c r="S50" s="166">
        <v>0.15940552934049843</v>
      </c>
      <c r="T50" s="166">
        <v>4.4003231113534503E-7</v>
      </c>
      <c r="U50" s="166"/>
      <c r="V50" s="166"/>
      <c r="W50" s="166"/>
      <c r="X50" s="551">
        <v>1.5436096985723404E-2</v>
      </c>
      <c r="Y50" s="551">
        <v>20.121755062427837</v>
      </c>
      <c r="Z50" s="166">
        <v>9.8505773086917063</v>
      </c>
      <c r="AA50" s="166">
        <v>0.99032434643730838</v>
      </c>
      <c r="AB50" s="166">
        <v>1.0728147538950033E-2</v>
      </c>
      <c r="AC50" s="166">
        <v>0.98821935850110809</v>
      </c>
      <c r="AD50" s="166">
        <v>1.0524939436255651E-3</v>
      </c>
      <c r="AE50" s="166">
        <v>1.6316367645812227E-11</v>
      </c>
      <c r="AF50" s="166"/>
      <c r="AG50" s="166"/>
      <c r="AH50" s="166"/>
      <c r="AI50" s="166">
        <v>0.7036126649065505</v>
      </c>
      <c r="AJ50" s="166">
        <v>2.1108379947196516</v>
      </c>
      <c r="AK50" s="166">
        <v>0.35180633245327525</v>
      </c>
      <c r="AL50" s="166">
        <v>1.5558154696508929E-3</v>
      </c>
      <c r="AM50" s="166">
        <v>7.6000000000000041</v>
      </c>
      <c r="AN50" s="166">
        <v>-4.2903183278535764</v>
      </c>
      <c r="AO50" s="166">
        <v>-7.5439686787097823E-2</v>
      </c>
      <c r="AP50" s="166">
        <v>-0.79749145521055054</v>
      </c>
      <c r="AQ50" s="166">
        <v>-6.3564742805227858</v>
      </c>
      <c r="AR50" s="166"/>
      <c r="AS50" s="166"/>
      <c r="AT50" s="166"/>
      <c r="AU50" s="166">
        <v>-1.8114507740119825</v>
      </c>
      <c r="AV50" s="166">
        <v>20.121755062427837</v>
      </c>
      <c r="AW50" s="166">
        <v>7.6000000000000041</v>
      </c>
      <c r="AX50" s="166">
        <v>-1.969462512116207</v>
      </c>
      <c r="AY50" s="166">
        <v>-5.1466095297824114E-3</v>
      </c>
      <c r="AZ50" s="166">
        <v>-2.9777611164332889</v>
      </c>
      <c r="BA50" s="166">
        <v>-10.787306680225578</v>
      </c>
      <c r="BB50" s="166"/>
      <c r="BC50" s="166"/>
      <c r="BD50" s="166"/>
      <c r="BE50" s="166">
        <v>-2.371098680747596</v>
      </c>
      <c r="BF50" s="166">
        <v>-1.185549340373798</v>
      </c>
      <c r="BG50" s="166">
        <v>-2.808023735354801</v>
      </c>
      <c r="BH50" s="166">
        <v>7.6000000000000041</v>
      </c>
      <c r="BI50" s="166">
        <v>-1.8406448358779557</v>
      </c>
      <c r="BJ50" s="166">
        <v>9.8505773086917063</v>
      </c>
      <c r="BK50" s="166">
        <v>-2.0096756535626916</v>
      </c>
      <c r="BL50" s="166">
        <v>-0.88916200528034839</v>
      </c>
      <c r="BM50" s="26"/>
      <c r="BN50" s="26"/>
    </row>
    <row r="51" spans="1:66">
      <c r="A51" s="26"/>
      <c r="B51" s="26"/>
      <c r="C51" s="26"/>
      <c r="D51" s="26"/>
      <c r="E51" s="26"/>
      <c r="F51" s="26"/>
      <c r="G51" s="26"/>
      <c r="H51" s="26"/>
      <c r="I51" s="26"/>
      <c r="J51" s="26"/>
      <c r="K51" s="26"/>
      <c r="L51" s="26"/>
      <c r="M51" s="2"/>
      <c r="N51" s="26"/>
      <c r="O51" s="166">
        <v>7.8000000000000043</v>
      </c>
      <c r="P51" s="166">
        <v>1.106775371172936</v>
      </c>
      <c r="Q51" s="166">
        <v>8.6292078788865792E-5</v>
      </c>
      <c r="R51" s="166">
        <v>0.8930522307931541</v>
      </c>
      <c r="S51" s="166">
        <v>0.10686129100438926</v>
      </c>
      <c r="T51" s="166">
        <v>1.8612366781933033E-7</v>
      </c>
      <c r="U51" s="166"/>
      <c r="V51" s="166"/>
      <c r="W51" s="166"/>
      <c r="X51" s="551">
        <v>1.1002284535478643E-2</v>
      </c>
      <c r="Y51" s="551">
        <v>20.208536063728388</v>
      </c>
      <c r="Z51" s="166">
        <v>10.061040246754805</v>
      </c>
      <c r="AA51" s="166">
        <v>0.98333543685100366</v>
      </c>
      <c r="AB51" s="166">
        <v>1.730878520362935E-2</v>
      </c>
      <c r="AC51" s="166">
        <v>0.98204699274788931</v>
      </c>
      <c r="AD51" s="166">
        <v>6.4422204232995699E-4</v>
      </c>
      <c r="AE51" s="166">
        <v>6.1514361314731565E-12</v>
      </c>
      <c r="AF51" s="166"/>
      <c r="AG51" s="166"/>
      <c r="AH51" s="166"/>
      <c r="AI51" s="166">
        <v>0.71864573191105752</v>
      </c>
      <c r="AJ51" s="166">
        <v>2.1559371957331726</v>
      </c>
      <c r="AK51" s="166">
        <v>0.35932286595552876</v>
      </c>
      <c r="AL51" s="166">
        <v>2.3763685402740731E-3</v>
      </c>
      <c r="AM51" s="166">
        <v>7.8000000000000043</v>
      </c>
      <c r="AN51" s="166">
        <v>-4.0640027581893738</v>
      </c>
      <c r="AO51" s="166">
        <v>-4.9122822325192696E-2</v>
      </c>
      <c r="AP51" s="166">
        <v>-0.97117329595094248</v>
      </c>
      <c r="AQ51" s="166">
        <v>-6.7301548264654754</v>
      </c>
      <c r="AR51" s="166"/>
      <c r="AS51" s="166"/>
      <c r="AT51" s="166"/>
      <c r="AU51" s="166">
        <v>-1.9585044483209444</v>
      </c>
      <c r="AV51" s="166">
        <v>20.208536063728388</v>
      </c>
      <c r="AW51" s="166">
        <v>7.8000000000000043</v>
      </c>
      <c r="AX51" s="166">
        <v>-1.7617220060515231</v>
      </c>
      <c r="AY51" s="166">
        <v>-7.8676789935534872E-3</v>
      </c>
      <c r="AZ51" s="166">
        <v>-3.1909437614255154</v>
      </c>
      <c r="BA51" s="166">
        <v>-11.21095090074626</v>
      </c>
      <c r="BB51" s="166"/>
      <c r="BC51" s="166"/>
      <c r="BD51" s="166"/>
      <c r="BE51" s="166">
        <v>-2.2508341447115399</v>
      </c>
      <c r="BF51" s="166">
        <v>-1.1254170723557699</v>
      </c>
      <c r="BG51" s="166">
        <v>-2.6240692173920874</v>
      </c>
      <c r="BH51" s="166">
        <v>7.8000000000000043</v>
      </c>
      <c r="BI51" s="166">
        <v>-1.893224628827064</v>
      </c>
      <c r="BJ51" s="166">
        <v>10.061040246754805</v>
      </c>
      <c r="BK51" s="166">
        <v>-2.0166645631489963</v>
      </c>
      <c r="BL51" s="166">
        <v>-0.84406280426682745</v>
      </c>
      <c r="BM51" s="26"/>
      <c r="BN51" s="26"/>
    </row>
    <row r="52" spans="1:66">
      <c r="A52" s="26"/>
      <c r="B52" s="26"/>
      <c r="C52" s="26"/>
      <c r="D52" s="26"/>
      <c r="E52" s="26"/>
      <c r="F52" s="26"/>
      <c r="G52" s="26"/>
      <c r="H52" s="26"/>
      <c r="I52" s="26"/>
      <c r="J52" s="26"/>
      <c r="K52" s="26"/>
      <c r="L52" s="26"/>
      <c r="M52" s="2"/>
      <c r="N52" s="26"/>
      <c r="O52" s="166">
        <v>8.0000000000000036</v>
      </c>
      <c r="P52" s="166">
        <v>1.0700471801528715</v>
      </c>
      <c r="Q52" s="166">
        <v>1.4237116091243458E-4</v>
      </c>
      <c r="R52" s="166">
        <v>0.92966815466051922</v>
      </c>
      <c r="S52" s="166">
        <v>7.0189397043352877E-2</v>
      </c>
      <c r="T52" s="166">
        <v>7.7135215522781146E-8</v>
      </c>
      <c r="U52" s="166"/>
      <c r="V52" s="166"/>
      <c r="W52" s="166"/>
      <c r="X52" s="551">
        <v>7.5354301924875139E-3</v>
      </c>
      <c r="Y52" s="551">
        <v>20.344214436772745</v>
      </c>
      <c r="Z52" s="166">
        <v>10.271586190317612</v>
      </c>
      <c r="AA52" s="166">
        <v>0.9725791581026616</v>
      </c>
      <c r="AB52" s="166">
        <v>2.7813424980569434E-2</v>
      </c>
      <c r="AC52" s="166">
        <v>0.97179399193850791</v>
      </c>
      <c r="AD52" s="166">
        <v>3.9258307861417919E-4</v>
      </c>
      <c r="AE52" s="166">
        <v>2.308482420943144E-12</v>
      </c>
      <c r="AF52" s="166"/>
      <c r="AG52" s="166"/>
      <c r="AH52" s="166"/>
      <c r="AI52" s="166">
        <v>0.73368472787982941</v>
      </c>
      <c r="AJ52" s="166">
        <v>2.2010541836394881</v>
      </c>
      <c r="AK52" s="166">
        <v>0.36684236393991471</v>
      </c>
      <c r="AL52" s="166">
        <v>3.715191685370729E-3</v>
      </c>
      <c r="AM52" s="166">
        <v>8.0000000000000036</v>
      </c>
      <c r="AN52" s="166">
        <v>-3.8465530709541502</v>
      </c>
      <c r="AO52" s="166">
        <v>-3.1671840292264788E-2</v>
      </c>
      <c r="AP52" s="166">
        <v>-1.1537210191203109</v>
      </c>
      <c r="AQ52" s="166">
        <v>-7.1127012548371402</v>
      </c>
      <c r="AR52" s="166"/>
      <c r="AS52" s="166"/>
      <c r="AT52" s="166"/>
      <c r="AU52" s="166">
        <v>-2.1228782054925031</v>
      </c>
      <c r="AV52" s="166">
        <v>20.344214436772745</v>
      </c>
      <c r="AW52" s="166">
        <v>8.0000000000000036</v>
      </c>
      <c r="AX52" s="166">
        <v>-1.555735456388589</v>
      </c>
      <c r="AY52" s="166">
        <v>-1.2425709821405263E-2</v>
      </c>
      <c r="AZ52" s="166">
        <v>-3.4060463727441528</v>
      </c>
      <c r="BA52" s="166">
        <v>-11.636598092555683</v>
      </c>
      <c r="BB52" s="166"/>
      <c r="BC52" s="166"/>
      <c r="BD52" s="166"/>
      <c r="BE52" s="166">
        <v>-2.1305221769613647</v>
      </c>
      <c r="BF52" s="166">
        <v>-1.0652610884806823</v>
      </c>
      <c r="BG52" s="166">
        <v>-2.4300030419813896</v>
      </c>
      <c r="BH52" s="166">
        <v>8.0000000000000036</v>
      </c>
      <c r="BI52" s="166">
        <v>-1.9299528198471285</v>
      </c>
      <c r="BJ52" s="166">
        <v>10.271586190317612</v>
      </c>
      <c r="BK52" s="166">
        <v>-2.0274208418973383</v>
      </c>
      <c r="BL52" s="166">
        <v>-0.79894581636051187</v>
      </c>
      <c r="BM52" s="26"/>
      <c r="BN52" s="26"/>
    </row>
    <row r="53" spans="1:66">
      <c r="A53" s="26"/>
      <c r="B53" s="26"/>
      <c r="C53" s="26"/>
      <c r="D53" s="26"/>
      <c r="E53" s="26"/>
      <c r="F53" s="26"/>
      <c r="G53" s="26"/>
      <c r="H53" s="26"/>
      <c r="I53" s="26"/>
      <c r="J53" s="26"/>
      <c r="K53" s="26"/>
      <c r="L53" s="26"/>
      <c r="M53" s="2"/>
      <c r="N53" s="26"/>
      <c r="O53" s="166">
        <v>8.2000000000000028</v>
      </c>
      <c r="P53" s="166">
        <v>1.0452287239954827</v>
      </c>
      <c r="Q53" s="166">
        <v>2.3162352342425102E-4</v>
      </c>
      <c r="R53" s="166">
        <v>0.95430806047963734</v>
      </c>
      <c r="S53" s="166">
        <v>4.5460284474969546E-2</v>
      </c>
      <c r="T53" s="166">
        <v>3.1521968791778234E-8</v>
      </c>
      <c r="U53" s="166"/>
      <c r="V53" s="166"/>
      <c r="W53" s="166"/>
      <c r="X53" s="551">
        <v>5.0297297396036458E-3</v>
      </c>
      <c r="Y53" s="551">
        <v>20.55962798622204</v>
      </c>
      <c r="Z53" s="166">
        <v>10.482261360601155</v>
      </c>
      <c r="AA53" s="166">
        <v>0.9558238601100314</v>
      </c>
      <c r="AB53" s="166">
        <v>4.4413738611536378E-2</v>
      </c>
      <c r="AC53" s="166">
        <v>0.95534866266775598</v>
      </c>
      <c r="AD53" s="166">
        <v>2.3759871984755442E-4</v>
      </c>
      <c r="AE53" s="166">
        <v>8.6012965539946597E-13</v>
      </c>
      <c r="AF53" s="166"/>
      <c r="AG53" s="166"/>
      <c r="AH53" s="166"/>
      <c r="AI53" s="166">
        <v>0.74873295432865394</v>
      </c>
      <c r="AJ53" s="166">
        <v>2.2461988629859619</v>
      </c>
      <c r="AK53" s="166">
        <v>0.37436647716432697</v>
      </c>
      <c r="AL53" s="166">
        <v>5.8165597775786722E-3</v>
      </c>
      <c r="AM53" s="166">
        <v>8.2000000000000028</v>
      </c>
      <c r="AN53" s="166">
        <v>-3.6351938018908609</v>
      </c>
      <c r="AO53" s="166">
        <v>-2.0311276431271709E-2</v>
      </c>
      <c r="AP53" s="166">
        <v>-1.3423591604616143</v>
      </c>
      <c r="AQ53" s="166">
        <v>-7.5013381013807399</v>
      </c>
      <c r="AR53" s="166"/>
      <c r="AS53" s="166"/>
      <c r="AT53" s="166"/>
      <c r="AU53" s="166">
        <v>-2.2984404699101217</v>
      </c>
      <c r="AV53" s="166">
        <v>20.55962798622204</v>
      </c>
      <c r="AW53" s="166">
        <v>8.2000000000000028</v>
      </c>
      <c r="AX53" s="166">
        <v>-1.3524739117602842</v>
      </c>
      <c r="AY53" s="166">
        <v>-1.9837971568011533E-2</v>
      </c>
      <c r="AZ53" s="166">
        <v>-3.6241324408656705</v>
      </c>
      <c r="BA53" s="166">
        <v>-12.06535796705211</v>
      </c>
      <c r="BB53" s="166"/>
      <c r="BC53" s="166"/>
      <c r="BD53" s="166"/>
      <c r="BE53" s="166">
        <v>-2.0101363653707685</v>
      </c>
      <c r="BF53" s="166">
        <v>-1.0050681826853842</v>
      </c>
      <c r="BG53" s="166">
        <v>-2.2353193327187371</v>
      </c>
      <c r="BH53" s="166">
        <v>8.2000000000000028</v>
      </c>
      <c r="BI53" s="166">
        <v>-1.9547712760045173</v>
      </c>
      <c r="BJ53" s="166">
        <v>10.482261360601155</v>
      </c>
      <c r="BK53" s="166">
        <v>-2.0441761398899687</v>
      </c>
      <c r="BL53" s="166">
        <v>-0.75380113701403806</v>
      </c>
      <c r="BM53" s="26"/>
      <c r="BN53" s="26"/>
    </row>
    <row r="54" spans="1:66">
      <c r="A54" s="26"/>
      <c r="B54" s="26"/>
      <c r="C54" s="26"/>
      <c r="D54" s="26"/>
      <c r="E54" s="26"/>
      <c r="F54" s="26"/>
      <c r="G54" s="26"/>
      <c r="H54" s="26"/>
      <c r="I54" s="26"/>
      <c r="J54" s="26"/>
      <c r="K54" s="26"/>
      <c r="L54" s="26"/>
      <c r="M54" s="2"/>
      <c r="N54" s="26"/>
      <c r="O54" s="166">
        <v>8.4000000000000021</v>
      </c>
      <c r="P54" s="166">
        <v>1.0287956243558241</v>
      </c>
      <c r="Q54" s="166">
        <v>3.7331093522827272E-4</v>
      </c>
      <c r="R54" s="166">
        <v>0.97045776653520954</v>
      </c>
      <c r="S54" s="166">
        <v>2.9168909768072241E-2</v>
      </c>
      <c r="T54" s="166">
        <v>1.2761489946631655E-8</v>
      </c>
      <c r="U54" s="166"/>
      <c r="V54" s="166"/>
      <c r="W54" s="166"/>
      <c r="X54" s="551">
        <v>3.313200452824289E-3</v>
      </c>
      <c r="Y54" s="551">
        <v>20.902049214055296</v>
      </c>
      <c r="Z54" s="166">
        <v>10.693128606202979</v>
      </c>
      <c r="AA54" s="166">
        <v>0.92991090841498747</v>
      </c>
      <c r="AB54" s="166">
        <v>7.0231364877945623E-2</v>
      </c>
      <c r="AC54" s="166">
        <v>0.92962636182943836</v>
      </c>
      <c r="AD54" s="166">
        <v>1.4227329229914547E-4</v>
      </c>
      <c r="AE54" s="166">
        <v>3.1693920261516443E-13</v>
      </c>
      <c r="AF54" s="166"/>
      <c r="AG54" s="166"/>
      <c r="AH54" s="166"/>
      <c r="AI54" s="166">
        <v>0.76379490044306997</v>
      </c>
      <c r="AJ54" s="166">
        <v>2.2913847013292101</v>
      </c>
      <c r="AK54" s="166">
        <v>0.38189745022153498</v>
      </c>
      <c r="AL54" s="166">
        <v>8.9999527839548198E-3</v>
      </c>
      <c r="AM54" s="166">
        <v>8.4000000000000021</v>
      </c>
      <c r="AN54" s="166">
        <v>-3.42790709592082</v>
      </c>
      <c r="AO54" s="166">
        <v>-1.3023275663527704E-2</v>
      </c>
      <c r="AP54" s="166">
        <v>-1.5350698648961667</v>
      </c>
      <c r="AQ54" s="166">
        <v>-7.8940475110175878</v>
      </c>
      <c r="AR54" s="166"/>
      <c r="AS54" s="166"/>
      <c r="AT54" s="166"/>
      <c r="AU54" s="166">
        <v>-2.4797362340690454</v>
      </c>
      <c r="AV54" s="166">
        <v>20.902049214055296</v>
      </c>
      <c r="AW54" s="166">
        <v>8.4000000000000021</v>
      </c>
      <c r="AX54" s="166">
        <v>-1.1534614238684855</v>
      </c>
      <c r="AY54" s="166">
        <v>-3.1691364125910462E-2</v>
      </c>
      <c r="AZ54" s="166">
        <v>-3.8468517138732667</v>
      </c>
      <c r="BA54" s="166">
        <v>-12.498943120509406</v>
      </c>
      <c r="BB54" s="166"/>
      <c r="BC54" s="166"/>
      <c r="BD54" s="166"/>
      <c r="BE54" s="166">
        <v>-1.8896407964554403</v>
      </c>
      <c r="BF54" s="166">
        <v>-0.94482039822772013</v>
      </c>
      <c r="BG54" s="166">
        <v>-2.045746524748945</v>
      </c>
      <c r="BH54" s="166">
        <v>8.4000000000000021</v>
      </c>
      <c r="BI54" s="166">
        <v>-1.9712043756441759</v>
      </c>
      <c r="BJ54" s="166">
        <v>10.693128606202979</v>
      </c>
      <c r="BK54" s="166">
        <v>-2.0700890915850128</v>
      </c>
      <c r="BL54" s="166">
        <v>-0.70861529867078987</v>
      </c>
      <c r="BM54" s="26"/>
      <c r="BN54" s="26"/>
    </row>
    <row r="55" spans="1:66">
      <c r="A55" s="26"/>
      <c r="B55" s="26"/>
      <c r="C55" s="26"/>
      <c r="D55" s="26"/>
      <c r="E55" s="26"/>
      <c r="F55" s="26"/>
      <c r="G55" s="26"/>
      <c r="H55" s="26"/>
      <c r="I55" s="26"/>
      <c r="J55" s="26"/>
      <c r="K55" s="26"/>
      <c r="L55" s="26"/>
      <c r="M55" s="2"/>
      <c r="N55" s="26"/>
      <c r="O55" s="166">
        <v>8.6000000000000014</v>
      </c>
      <c r="P55" s="166">
        <v>1.0180025491195841</v>
      </c>
      <c r="Q55" s="166">
        <v>5.9796422975356425E-4</v>
      </c>
      <c r="R55" s="166">
        <v>0.98080152755549987</v>
      </c>
      <c r="S55" s="166">
        <v>1.8600503080155279E-2</v>
      </c>
      <c r="T55" s="166">
        <v>5.1345912481854244E-9</v>
      </c>
      <c r="U55" s="166"/>
      <c r="V55" s="166"/>
      <c r="W55" s="166"/>
      <c r="X55" s="551">
        <v>2.1848262778641201E-3</v>
      </c>
      <c r="Y55" s="551">
        <v>21.442285725788679</v>
      </c>
      <c r="Z55" s="166">
        <v>10.904263374595613</v>
      </c>
      <c r="AA55" s="166">
        <v>0.890687866722077</v>
      </c>
      <c r="AB55" s="166">
        <v>0.10939594870769613</v>
      </c>
      <c r="AC55" s="166">
        <v>0.89052023586264561</v>
      </c>
      <c r="AD55" s="166">
        <v>8.381542954346015E-5</v>
      </c>
      <c r="AE55" s="166">
        <v>1.1482640976917698E-13</v>
      </c>
      <c r="AF55" s="166"/>
      <c r="AG55" s="166"/>
      <c r="AH55" s="166"/>
      <c r="AI55" s="166">
        <v>0.77887595532825815</v>
      </c>
      <c r="AJ55" s="166">
        <v>2.3366278659847741</v>
      </c>
      <c r="AK55" s="166">
        <v>0.38943797766412908</v>
      </c>
      <c r="AL55" s="166">
        <v>1.3608282585501376E-2</v>
      </c>
      <c r="AM55" s="166">
        <v>8.6000000000000014</v>
      </c>
      <c r="AN55" s="166">
        <v>-3.2233039269818167</v>
      </c>
      <c r="AO55" s="166">
        <v>-8.4188119268200669E-3</v>
      </c>
      <c r="AP55" s="166">
        <v>-1.7304641063617552</v>
      </c>
      <c r="AQ55" s="166">
        <v>-8.2894404576854726</v>
      </c>
      <c r="AR55" s="166"/>
      <c r="AS55" s="166"/>
      <c r="AT55" s="166"/>
      <c r="AU55" s="166">
        <v>-2.6605658648022894</v>
      </c>
      <c r="AV55" s="166">
        <v>21.442285725788679</v>
      </c>
      <c r="AW55" s="166">
        <v>8.6000000000000014</v>
      </c>
      <c r="AX55" s="166">
        <v>-0.96099253956496733</v>
      </c>
      <c r="AY55" s="166">
        <v>-5.035588133096084E-2</v>
      </c>
      <c r="AZ55" s="166">
        <v>-4.0766496325868857</v>
      </c>
      <c r="BA55" s="166">
        <v>-12.939874440731593</v>
      </c>
      <c r="BB55" s="166"/>
      <c r="BC55" s="166"/>
      <c r="BD55" s="166"/>
      <c r="BE55" s="166">
        <v>-1.7689923573739348</v>
      </c>
      <c r="BF55" s="166">
        <v>-0.88449617868696739</v>
      </c>
      <c r="BG55" s="166">
        <v>-1.8661845991374406</v>
      </c>
      <c r="BH55" s="166">
        <v>8.6000000000000014</v>
      </c>
      <c r="BI55" s="166">
        <v>-1.9819974508804159</v>
      </c>
      <c r="BJ55" s="166">
        <v>10.904263374595613</v>
      </c>
      <c r="BK55" s="166">
        <v>-2.109312133277923</v>
      </c>
      <c r="BL55" s="166">
        <v>-0.66337213401522588</v>
      </c>
      <c r="BM55" s="26"/>
      <c r="BN55" s="26"/>
    </row>
    <row r="56" spans="1:66">
      <c r="A56" s="26"/>
      <c r="B56" s="26"/>
      <c r="C56" s="26"/>
      <c r="D56" s="26"/>
      <c r="E56" s="26"/>
      <c r="F56" s="26"/>
      <c r="G56" s="26"/>
      <c r="H56" s="26"/>
      <c r="I56" s="26"/>
      <c r="J56" s="26"/>
      <c r="K56" s="26"/>
      <c r="L56" s="26"/>
      <c r="M56" s="2"/>
      <c r="N56" s="26"/>
      <c r="O56" s="166">
        <v>8.8000000000000007</v>
      </c>
      <c r="P56" s="166">
        <v>1.0108591621796201</v>
      </c>
      <c r="Q56" s="166">
        <v>9.5392390497511901E-4</v>
      </c>
      <c r="R56" s="166">
        <v>0.98723299206795134</v>
      </c>
      <c r="S56" s="166">
        <v>1.1813081969552013E-2</v>
      </c>
      <c r="T56" s="166">
        <v>2.0575215999712446E-9</v>
      </c>
      <c r="U56" s="166"/>
      <c r="V56" s="166"/>
      <c r="W56" s="166"/>
      <c r="X56" s="551">
        <v>1.4750117581534686E-3</v>
      </c>
      <c r="Y56" s="551">
        <v>22.281442677194718</v>
      </c>
      <c r="Z56" s="166">
        <v>11.115733453073027</v>
      </c>
      <c r="AA56" s="166">
        <v>0.83345430369094209</v>
      </c>
      <c r="AB56" s="166">
        <v>0.16659389571259955</v>
      </c>
      <c r="AC56" s="166">
        <v>0.8333579048838996</v>
      </c>
      <c r="AD56" s="166">
        <v>4.8199403460318842E-5</v>
      </c>
      <c r="AE56" s="166">
        <v>4.0577883955737625E-14</v>
      </c>
      <c r="AF56" s="166"/>
      <c r="AG56" s="166"/>
      <c r="AH56" s="166"/>
      <c r="AI56" s="166">
        <v>0.79398096093378767</v>
      </c>
      <c r="AJ56" s="166">
        <v>2.3819428828013627</v>
      </c>
      <c r="AK56" s="166">
        <v>0.39699048046689384</v>
      </c>
      <c r="AL56" s="166">
        <v>1.9864405427772912E-2</v>
      </c>
      <c r="AM56" s="166">
        <v>8.8000000000000007</v>
      </c>
      <c r="AN56" s="166">
        <v>-3.0204667132260674</v>
      </c>
      <c r="AO56" s="166">
        <v>-5.5803033733675582E-3</v>
      </c>
      <c r="AP56" s="166">
        <v>-1.9276243030105991</v>
      </c>
      <c r="AQ56" s="166">
        <v>-8.6865993595366131</v>
      </c>
      <c r="AR56" s="166"/>
      <c r="AS56" s="166"/>
      <c r="AT56" s="166"/>
      <c r="AU56" s="166">
        <v>-2.8311861884793958</v>
      </c>
      <c r="AV56" s="166">
        <v>22.281442677194718</v>
      </c>
      <c r="AW56" s="166">
        <v>8.8000000000000007</v>
      </c>
      <c r="AX56" s="166">
        <v>-0.77833587696570172</v>
      </c>
      <c r="AY56" s="166">
        <v>-7.9167928154249348E-2</v>
      </c>
      <c r="AZ56" s="166">
        <v>-4.3169303888327279</v>
      </c>
      <c r="BA56" s="166">
        <v>-13.391623906399989</v>
      </c>
      <c r="BB56" s="166"/>
      <c r="BC56" s="166"/>
      <c r="BD56" s="166"/>
      <c r="BE56" s="166">
        <v>-1.6481523125296986</v>
      </c>
      <c r="BF56" s="166">
        <v>-0.82407615626484931</v>
      </c>
      <c r="BG56" s="166">
        <v>-1.7019134112771221</v>
      </c>
      <c r="BH56" s="166">
        <v>8.8000000000000007</v>
      </c>
      <c r="BI56" s="166">
        <v>-1.9891408378203799</v>
      </c>
      <c r="BJ56" s="166">
        <v>11.115733453073027</v>
      </c>
      <c r="BK56" s="166">
        <v>-2.1665456963090577</v>
      </c>
      <c r="BL56" s="166">
        <v>-0.61805711719863732</v>
      </c>
      <c r="BM56" s="26"/>
      <c r="BN56" s="26"/>
    </row>
    <row r="57" spans="1:66">
      <c r="A57" s="26"/>
      <c r="B57" s="26"/>
      <c r="C57" s="26"/>
      <c r="D57" s="26"/>
      <c r="E57" s="26"/>
      <c r="F57" s="26"/>
      <c r="G57" s="26"/>
      <c r="H57" s="26"/>
      <c r="I57" s="26"/>
      <c r="J57" s="26"/>
      <c r="K57" s="26"/>
      <c r="L57" s="26"/>
      <c r="M57" s="2"/>
      <c r="N57" s="26"/>
      <c r="O57" s="166">
        <v>9</v>
      </c>
      <c r="P57" s="166">
        <v>1.0059643590050169</v>
      </c>
      <c r="Q57" s="166">
        <v>1.5176369346641891E-3</v>
      </c>
      <c r="R57" s="166">
        <v>0.99100036794789437</v>
      </c>
      <c r="S57" s="166">
        <v>7.4819942952013959E-3</v>
      </c>
      <c r="T57" s="166">
        <v>8.222399205739279E-10</v>
      </c>
      <c r="U57" s="166"/>
      <c r="V57" s="166"/>
      <c r="W57" s="166"/>
      <c r="X57" s="551">
        <v>1.0616998013731854E-3</v>
      </c>
      <c r="Y57" s="551">
        <v>23.553723619261291</v>
      </c>
      <c r="Z57" s="166">
        <v>11.327553158845967</v>
      </c>
      <c r="AA57" s="166">
        <v>0.75442460377135589</v>
      </c>
      <c r="AB57" s="166">
        <v>0.2456021863941559</v>
      </c>
      <c r="AC57" s="166">
        <v>0.75437102344034646</v>
      </c>
      <c r="AD57" s="166">
        <v>2.6790165483948131E-5</v>
      </c>
      <c r="AE57" s="166">
        <v>1.3848521930202158E-14</v>
      </c>
      <c r="AF57" s="166"/>
      <c r="AG57" s="166"/>
      <c r="AH57" s="166"/>
      <c r="AI57" s="166">
        <v>0.80911093991756911</v>
      </c>
      <c r="AJ57" s="166">
        <v>2.4273328197527073</v>
      </c>
      <c r="AK57" s="166">
        <v>0.40455546995878455</v>
      </c>
      <c r="AL57" s="166">
        <v>2.7642617596644499E-2</v>
      </c>
      <c r="AM57" s="166">
        <v>9</v>
      </c>
      <c r="AN57" s="166">
        <v>-2.8188138634981055</v>
      </c>
      <c r="AO57" s="166">
        <v>-3.9261588477017819E-3</v>
      </c>
      <c r="AP57" s="166">
        <v>-2.1259688636872296</v>
      </c>
      <c r="AQ57" s="166">
        <v>-9.0849426254155397</v>
      </c>
      <c r="AR57" s="166"/>
      <c r="AS57" s="166"/>
      <c r="AT57" s="166"/>
      <c r="AU57" s="166">
        <v>-2.9739790102616657</v>
      </c>
      <c r="AV57" s="166">
        <v>23.553723619261291</v>
      </c>
      <c r="AW57" s="166">
        <v>9</v>
      </c>
      <c r="AX57" s="166">
        <v>-0.60976382371772753</v>
      </c>
      <c r="AY57" s="166">
        <v>-0.12241420936087337</v>
      </c>
      <c r="AZ57" s="166">
        <v>-4.5719950044939504</v>
      </c>
      <c r="BA57" s="166">
        <v>-13.85850685651581</v>
      </c>
      <c r="BB57" s="166"/>
      <c r="BC57" s="166"/>
      <c r="BD57" s="166"/>
      <c r="BE57" s="166">
        <v>-1.5271124806594472</v>
      </c>
      <c r="BF57" s="166">
        <v>-0.76355624032972358</v>
      </c>
      <c r="BG57" s="166">
        <v>-1.5584107449663964</v>
      </c>
      <c r="BH57" s="166">
        <v>9</v>
      </c>
      <c r="BI57" s="166">
        <v>-1.9940356409949831</v>
      </c>
      <c r="BJ57" s="166">
        <v>11.327553158845967</v>
      </c>
      <c r="BK57" s="166">
        <v>-2.2455753962286442</v>
      </c>
      <c r="BL57" s="166">
        <v>-0.57266718024729268</v>
      </c>
      <c r="BM57" s="26"/>
      <c r="BN57" s="26"/>
    </row>
    <row r="58" spans="1:66">
      <c r="A58" s="26"/>
      <c r="B58" s="26"/>
      <c r="C58" s="26"/>
      <c r="D58" s="26"/>
      <c r="E58" s="26"/>
      <c r="F58" s="26"/>
      <c r="G58" s="26"/>
      <c r="H58" s="26"/>
      <c r="I58" s="26"/>
      <c r="J58" s="26"/>
      <c r="K58" s="26"/>
      <c r="L58" s="26"/>
      <c r="M58" s="2"/>
      <c r="N58" s="26"/>
      <c r="O58" s="166">
        <v>9.1999999999999993</v>
      </c>
      <c r="P58" s="166">
        <v>1.0023198737902235</v>
      </c>
      <c r="Q58" s="166">
        <v>2.4098072685543978E-3</v>
      </c>
      <c r="R58" s="166">
        <v>0.99286051200062175</v>
      </c>
      <c r="S58" s="166">
        <v>4.7296804028698278E-3</v>
      </c>
      <c r="T58" s="166">
        <v>3.2795403675143606E-10</v>
      </c>
      <c r="U58" s="166"/>
      <c r="V58" s="166"/>
      <c r="W58" s="166"/>
      <c r="X58" s="551">
        <v>8.6836671180764188E-4</v>
      </c>
      <c r="Y58" s="551">
        <v>25.425947584153619</v>
      </c>
      <c r="Z58" s="166">
        <v>11.539624057245398</v>
      </c>
      <c r="AA58" s="166">
        <v>0.65338334854214952</v>
      </c>
      <c r="AB58" s="166">
        <v>0.34663089010190618</v>
      </c>
      <c r="AC58" s="166">
        <v>0.65335487125404246</v>
      </c>
      <c r="AD58" s="166">
        <v>1.4238644046759861E-5</v>
      </c>
      <c r="AE58" s="166">
        <v>4.5167469670538582E-15</v>
      </c>
      <c r="AF58" s="166"/>
      <c r="AG58" s="166"/>
      <c r="AH58" s="166"/>
      <c r="AI58" s="166">
        <v>0.82425886123181413</v>
      </c>
      <c r="AJ58" s="166">
        <v>2.4727765836954423</v>
      </c>
      <c r="AK58" s="166">
        <v>0.41212943061590707</v>
      </c>
      <c r="AL58" s="166">
        <v>3.6354060271112647E-2</v>
      </c>
      <c r="AM58" s="166">
        <v>9.1999999999999993</v>
      </c>
      <c r="AN58" s="166">
        <v>-2.6180007410021977</v>
      </c>
      <c r="AO58" s="166">
        <v>-3.111741554090532E-3</v>
      </c>
      <c r="AP58" s="166">
        <v>-2.3251531515959147</v>
      </c>
      <c r="AQ58" s="166">
        <v>-9.4841256185265213</v>
      </c>
      <c r="AR58" s="166"/>
      <c r="AS58" s="166"/>
      <c r="AT58" s="166"/>
      <c r="AU58" s="166">
        <v>-3.0612770144540971</v>
      </c>
      <c r="AV58" s="166">
        <v>25.425947584153619</v>
      </c>
      <c r="AW58" s="166">
        <v>9.1999999999999993</v>
      </c>
      <c r="AX58" s="166">
        <v>-0.46012975873777456</v>
      </c>
      <c r="AY58" s="166">
        <v>-0.18484966983579007</v>
      </c>
      <c r="AZ58" s="166">
        <v>-4.8464999904237365</v>
      </c>
      <c r="BA58" s="166">
        <v>-14.345081367900466</v>
      </c>
      <c r="BB58" s="166"/>
      <c r="BC58" s="166"/>
      <c r="BD58" s="166"/>
      <c r="BE58" s="166">
        <v>-1.4059291101454869</v>
      </c>
      <c r="BF58" s="166">
        <v>-0.70296455507274347</v>
      </c>
      <c r="BG58" s="166">
        <v>-1.4394377581419544</v>
      </c>
      <c r="BH58" s="166">
        <v>9.1999999999999993</v>
      </c>
      <c r="BI58" s="166">
        <v>-1.9976801262097765</v>
      </c>
      <c r="BJ58" s="166">
        <v>11.539624057245398</v>
      </c>
      <c r="BK58" s="166">
        <v>-2.3466166514578504</v>
      </c>
      <c r="BL58" s="166">
        <v>-0.52722341630455771</v>
      </c>
      <c r="BM58" s="26"/>
      <c r="BN58" s="26"/>
    </row>
    <row r="59" spans="1:66">
      <c r="A59" s="26"/>
      <c r="B59" s="26"/>
      <c r="C59" s="26"/>
      <c r="D59" s="26"/>
      <c r="E59" s="26"/>
      <c r="F59" s="26"/>
      <c r="G59" s="26"/>
      <c r="H59" s="26"/>
      <c r="I59" s="26"/>
      <c r="J59" s="26"/>
      <c r="K59" s="26"/>
      <c r="L59" s="26"/>
      <c r="M59" s="2"/>
      <c r="N59" s="26"/>
      <c r="O59" s="166">
        <v>9.3999999999999986</v>
      </c>
      <c r="P59" s="166">
        <v>0.99916465906032204</v>
      </c>
      <c r="Q59" s="166">
        <v>3.8205707480714248E-3</v>
      </c>
      <c r="R59" s="166">
        <v>0.9931941995741399</v>
      </c>
      <c r="S59" s="166">
        <v>2.9852295471840063E-3</v>
      </c>
      <c r="T59" s="166">
        <v>1.3060473345656519E-10</v>
      </c>
      <c r="U59" s="166"/>
      <c r="V59" s="166"/>
      <c r="W59" s="166"/>
      <c r="X59" s="551">
        <v>8.5798658733276796E-4</v>
      </c>
      <c r="Y59" s="551">
        <v>28.122492051625159</v>
      </c>
      <c r="Z59" s="166">
        <v>11.751718173325493</v>
      </c>
      <c r="AA59" s="166">
        <v>0.53632026280259038</v>
      </c>
      <c r="AB59" s="166">
        <v>0.46368690915931121</v>
      </c>
      <c r="AC59" s="166">
        <v>0.53630591887878865</v>
      </c>
      <c r="AD59" s="166">
        <v>7.171961898785251E-6</v>
      </c>
      <c r="AE59" s="166">
        <v>1.3960500420025606E-15</v>
      </c>
      <c r="AF59" s="166"/>
      <c r="AG59" s="166"/>
      <c r="AH59" s="166"/>
      <c r="AI59" s="166">
        <v>0.83940844095182088</v>
      </c>
      <c r="AJ59" s="166">
        <v>2.518225322855463</v>
      </c>
      <c r="AK59" s="166">
        <v>0.41970422047591044</v>
      </c>
      <c r="AL59" s="166">
        <v>4.5379988512943843E-2</v>
      </c>
      <c r="AM59" s="166">
        <v>9.3999999999999986</v>
      </c>
      <c r="AN59" s="166">
        <v>-2.4178561005100265</v>
      </c>
      <c r="AO59" s="166">
        <v>-2.9658062642157344E-3</v>
      </c>
      <c r="AP59" s="166">
        <v>-2.5250059215083365</v>
      </c>
      <c r="AQ59" s="166">
        <v>-9.8839770936412386</v>
      </c>
      <c r="AR59" s="166"/>
      <c r="AS59" s="166"/>
      <c r="AT59" s="166"/>
      <c r="AU59" s="166">
        <v>-3.0664996486918232</v>
      </c>
      <c r="AV59" s="166">
        <v>28.122492051625159</v>
      </c>
      <c r="AW59" s="166">
        <v>9.3999999999999986</v>
      </c>
      <c r="AX59" s="166">
        <v>-0.33377300410619953</v>
      </c>
      <c r="AY59" s="166">
        <v>-0.27058565818943875</v>
      </c>
      <c r="AZ59" s="166">
        <v>-5.1443287217626095</v>
      </c>
      <c r="BA59" s="166">
        <v>-14.855002842224563</v>
      </c>
      <c r="BB59" s="166"/>
      <c r="BC59" s="166"/>
      <c r="BD59" s="166"/>
      <c r="BE59" s="166">
        <v>-1.284732472385433</v>
      </c>
      <c r="BF59" s="166">
        <v>-0.64236623619271649</v>
      </c>
      <c r="BG59" s="166">
        <v>-1.3431269229396519</v>
      </c>
      <c r="BH59" s="166">
        <v>9.3999999999999986</v>
      </c>
      <c r="BI59" s="166">
        <v>-2.0008353409396777</v>
      </c>
      <c r="BJ59" s="166">
        <v>11.751718173325493</v>
      </c>
      <c r="BK59" s="166">
        <v>-2.4636797371974097</v>
      </c>
      <c r="BL59" s="166">
        <v>-0.48177467714453703</v>
      </c>
      <c r="BM59" s="26"/>
      <c r="BN59" s="26"/>
    </row>
    <row r="60" spans="1:66">
      <c r="A60" s="26"/>
      <c r="B60" s="26"/>
      <c r="C60" s="26"/>
      <c r="D60" s="26"/>
      <c r="E60" s="26"/>
      <c r="F60" s="26"/>
      <c r="G60" s="26"/>
      <c r="H60" s="26"/>
      <c r="I60" s="26"/>
      <c r="J60" s="26"/>
      <c r="K60" s="26"/>
      <c r="L60" s="26"/>
      <c r="M60" s="2"/>
      <c r="N60" s="26"/>
      <c r="O60" s="166">
        <v>9.5999999999999979</v>
      </c>
      <c r="P60" s="166">
        <v>0.99583307695187606</v>
      </c>
      <c r="Q60" s="166">
        <v>6.0483441063189178E-3</v>
      </c>
      <c r="R60" s="166">
        <v>0.99207023488742163</v>
      </c>
      <c r="S60" s="166">
        <v>1.881420954323485E-3</v>
      </c>
      <c r="T60" s="166">
        <v>5.1935840254388812E-11</v>
      </c>
      <c r="U60" s="166"/>
      <c r="V60" s="166"/>
      <c r="W60" s="166"/>
      <c r="X60" s="551">
        <v>1.0290521629532994E-3</v>
      </c>
      <c r="Y60" s="551">
        <v>32.065280988172162</v>
      </c>
      <c r="Z60" s="166">
        <v>11.963554366049292</v>
      </c>
      <c r="AA60" s="166">
        <v>0.41526219743916726</v>
      </c>
      <c r="AB60" s="166">
        <v>0.58474121216887731</v>
      </c>
      <c r="AC60" s="166">
        <v>0.41525537822307884</v>
      </c>
      <c r="AD60" s="166">
        <v>3.4096080435792799E-6</v>
      </c>
      <c r="AE60" s="166">
        <v>4.0750343744267386E-16</v>
      </c>
      <c r="AF60" s="166"/>
      <c r="AG60" s="166"/>
      <c r="AH60" s="166"/>
      <c r="AI60" s="166">
        <v>0.85453959757494946</v>
      </c>
      <c r="AJ60" s="166">
        <v>2.5636187927248484</v>
      </c>
      <c r="AK60" s="166">
        <v>0.42726979878747473</v>
      </c>
      <c r="AL60" s="166">
        <v>5.523328548968038E-2</v>
      </c>
      <c r="AM60" s="166">
        <v>9.5999999999999979</v>
      </c>
      <c r="AN60" s="166">
        <v>-2.2183491469805219</v>
      </c>
      <c r="AO60" s="166">
        <v>-3.457557937007636E-3</v>
      </c>
      <c r="AP60" s="166">
        <v>-2.7254963783834243</v>
      </c>
      <c r="AQ60" s="166">
        <v>-10.284466255718623</v>
      </c>
      <c r="AR60" s="166"/>
      <c r="AS60" s="166"/>
      <c r="AT60" s="166"/>
      <c r="AU60" s="166">
        <v>-2.9875432687200183</v>
      </c>
      <c r="AV60" s="166">
        <v>32.065280988172162</v>
      </c>
      <c r="AW60" s="166">
        <v>9.5999999999999979</v>
      </c>
      <c r="AX60" s="166">
        <v>-0.23303478762559407</v>
      </c>
      <c r="AY60" s="166">
        <v>-0.38168226300755415</v>
      </c>
      <c r="AZ60" s="166">
        <v>-5.4672601478794451</v>
      </c>
      <c r="BA60" s="166">
        <v>-15.38976908964012</v>
      </c>
      <c r="BB60" s="166"/>
      <c r="BC60" s="166"/>
      <c r="BD60" s="166"/>
      <c r="BE60" s="166">
        <v>-1.1636832194004043</v>
      </c>
      <c r="BF60" s="166">
        <v>-0.58184160970020216</v>
      </c>
      <c r="BG60" s="166">
        <v>-1.2577909795135389</v>
      </c>
      <c r="BH60" s="166">
        <v>9.5999999999999979</v>
      </c>
      <c r="BI60" s="166">
        <v>-2.0041669230481238</v>
      </c>
      <c r="BJ60" s="166">
        <v>11.963554366049292</v>
      </c>
      <c r="BK60" s="166">
        <v>-2.5847378025608325</v>
      </c>
      <c r="BL60" s="166">
        <v>-0.43638120727515162</v>
      </c>
      <c r="BM60" s="26"/>
      <c r="BN60" s="26"/>
    </row>
    <row r="61" spans="1:66">
      <c r="A61" s="26"/>
      <c r="B61" s="26"/>
      <c r="C61" s="26"/>
      <c r="D61" s="26"/>
      <c r="E61" s="26"/>
      <c r="F61" s="26"/>
      <c r="G61" s="26"/>
      <c r="H61" s="26"/>
      <c r="I61" s="26"/>
      <c r="J61" s="26"/>
      <c r="K61" s="26"/>
      <c r="L61" s="26"/>
      <c r="M61" s="2"/>
      <c r="N61" s="26"/>
      <c r="O61" s="166">
        <v>9.7999999999999972</v>
      </c>
      <c r="P61" s="166">
        <v>0.99162492993690565</v>
      </c>
      <c r="Q61" s="166">
        <v>9.558800759507791E-3</v>
      </c>
      <c r="R61" s="166">
        <v>0.98925746856469599</v>
      </c>
      <c r="S61" s="166">
        <v>1.183730655178713E-3</v>
      </c>
      <c r="T61" s="166">
        <v>2.0617408715658796E-11</v>
      </c>
      <c r="U61" s="166"/>
      <c r="V61" s="166"/>
      <c r="W61" s="166"/>
      <c r="X61" s="551">
        <v>1.4158831559157431E-3</v>
      </c>
      <c r="Y61" s="551">
        <v>38.31748273660196</v>
      </c>
      <c r="Z61" s="166">
        <v>12.174908797581793</v>
      </c>
      <c r="AA61" s="166">
        <v>0.30387243327183067</v>
      </c>
      <c r="AB61" s="166">
        <v>0.69612910036199671</v>
      </c>
      <c r="AC61" s="166">
        <v>0.30386936600417597</v>
      </c>
      <c r="AD61" s="166">
        <v>1.533633827144236E-6</v>
      </c>
      <c r="AE61" s="166">
        <v>1.1266630909495503E-16</v>
      </c>
      <c r="AF61" s="166"/>
      <c r="AG61" s="166"/>
      <c r="AH61" s="166"/>
      <c r="AI61" s="166">
        <v>0.86963634268441381</v>
      </c>
      <c r="AJ61" s="166">
        <v>2.6089090280532412</v>
      </c>
      <c r="AK61" s="166">
        <v>0.43481817134220691</v>
      </c>
      <c r="AL61" s="166">
        <v>6.8730051464283209E-2</v>
      </c>
      <c r="AM61" s="166">
        <v>9.7999999999999972</v>
      </c>
      <c r="AN61" s="166">
        <v>-2.0195835157446624</v>
      </c>
      <c r="AO61" s="166">
        <v>-4.6906319034443382E-3</v>
      </c>
      <c r="AP61" s="166">
        <v>-2.9267281575521573</v>
      </c>
      <c r="AQ61" s="166">
        <v>-10.685696740089654</v>
      </c>
      <c r="AR61" s="166"/>
      <c r="AS61" s="166"/>
      <c r="AT61" s="166"/>
      <c r="AU61" s="166">
        <v>-2.848954140590628</v>
      </c>
      <c r="AV61" s="166">
        <v>38.31748273660196</v>
      </c>
      <c r="AW61" s="166">
        <v>9.7999999999999972</v>
      </c>
      <c r="AX61" s="166">
        <v>-0.15730919257483819</v>
      </c>
      <c r="AY61" s="166">
        <v>-0.51730973118313639</v>
      </c>
      <c r="AZ61" s="166">
        <v>-5.8142406792813661</v>
      </c>
      <c r="BA61" s="166">
        <v>-15.948102684268379</v>
      </c>
      <c r="BB61" s="166"/>
      <c r="BC61" s="166"/>
      <c r="BD61" s="166"/>
      <c r="BE61" s="166">
        <v>-1.0429092585246895</v>
      </c>
      <c r="BF61" s="166">
        <v>-0.52145462926234476</v>
      </c>
      <c r="BG61" s="166">
        <v>-1.1628458025969262</v>
      </c>
      <c r="BH61" s="166">
        <v>9.7999999999999972</v>
      </c>
      <c r="BI61" s="166">
        <v>-2.0083750700630945</v>
      </c>
      <c r="BJ61" s="166">
        <v>12.174908797581793</v>
      </c>
      <c r="BK61" s="166">
        <v>-2.6961275667281694</v>
      </c>
      <c r="BL61" s="166">
        <v>-0.39109097194675879</v>
      </c>
      <c r="BM61" s="26"/>
      <c r="BN61" s="26"/>
    </row>
    <row r="62" spans="1:66">
      <c r="A62" s="26"/>
      <c r="B62" s="26"/>
      <c r="C62" s="26"/>
      <c r="D62" s="26"/>
      <c r="E62" s="26"/>
      <c r="F62" s="26"/>
      <c r="G62" s="26"/>
      <c r="H62" s="26"/>
      <c r="I62" s="26"/>
      <c r="J62" s="26"/>
      <c r="K62" s="26"/>
      <c r="L62" s="26"/>
      <c r="M62" s="2"/>
      <c r="N62" s="26"/>
      <c r="O62" s="166">
        <v>9.9999999999999964</v>
      </c>
      <c r="P62" s="166">
        <v>0.98567105712219227</v>
      </c>
      <c r="Q62" s="166">
        <v>1.5071996722906525E-2</v>
      </c>
      <c r="R62" s="166">
        <v>0.98418494944016033</v>
      </c>
      <c r="S62" s="166">
        <v>7.4305382876725494E-4</v>
      </c>
      <c r="T62" s="166">
        <v>8.1658512027948545E-12</v>
      </c>
      <c r="U62" s="166"/>
      <c r="V62" s="166"/>
      <c r="W62" s="166"/>
      <c r="X62" s="551">
        <v>2.0937939301416968E-3</v>
      </c>
      <c r="Y62" s="551">
        <v>49.999999998544808</v>
      </c>
      <c r="Z62" s="166">
        <v>12.385643935645515</v>
      </c>
      <c r="AA62" s="166">
        <v>0.21179059338548806</v>
      </c>
      <c r="AB62" s="166">
        <v>0.78821006458072074</v>
      </c>
      <c r="AC62" s="166">
        <v>0.21178927745307055</v>
      </c>
      <c r="AD62" s="166">
        <v>6.5796620871604737E-7</v>
      </c>
      <c r="AE62" s="166">
        <v>2.9753690426844751E-17</v>
      </c>
      <c r="AF62" s="166"/>
      <c r="AG62" s="166"/>
      <c r="AH62" s="166"/>
      <c r="AI62" s="166">
        <v>0.88468885254610818</v>
      </c>
      <c r="AJ62" s="166">
        <v>2.6540665576383242</v>
      </c>
      <c r="AK62" s="166">
        <v>0.44234442627305409</v>
      </c>
      <c r="AL62" s="166">
        <v>9.1310450241663066E-2</v>
      </c>
      <c r="AM62" s="166">
        <v>9.9999999999999964</v>
      </c>
      <c r="AN62" s="166">
        <v>-1.8218174144781514</v>
      </c>
      <c r="AO62" s="166">
        <v>-6.9232358392294574E-3</v>
      </c>
      <c r="AP62" s="166">
        <v>-3.1289594666902389</v>
      </c>
      <c r="AQ62" s="166">
        <v>-11.087926754430031</v>
      </c>
      <c r="AR62" s="166"/>
      <c r="AS62" s="166"/>
      <c r="AT62" s="166"/>
      <c r="AU62" s="166">
        <v>-2.6790487192959236</v>
      </c>
      <c r="AV62" s="166">
        <v>49.999999998544808</v>
      </c>
      <c r="AW62" s="166">
        <v>9.9999999999999964</v>
      </c>
      <c r="AX62" s="166">
        <v>-0.10335735483066054</v>
      </c>
      <c r="AY62" s="166">
        <v>-0.67409166720581704</v>
      </c>
      <c r="AZ62" s="166">
        <v>-6.1817563890709053</v>
      </c>
      <c r="BA62" s="166">
        <v>-16.526352167824776</v>
      </c>
      <c r="BB62" s="166"/>
      <c r="BC62" s="166"/>
      <c r="BD62" s="166"/>
      <c r="BE62" s="166">
        <v>-0.92248917963113453</v>
      </c>
      <c r="BF62" s="166">
        <v>-0.46124458981556726</v>
      </c>
      <c r="BG62" s="166">
        <v>-1.0394727861778328</v>
      </c>
      <c r="BH62" s="166">
        <v>9.9999999999999964</v>
      </c>
      <c r="BI62" s="166">
        <v>-2.0143289428778077</v>
      </c>
      <c r="BJ62" s="166">
        <v>12.385643935645515</v>
      </c>
      <c r="BK62" s="166">
        <v>-2.788209406614512</v>
      </c>
      <c r="BL62" s="166">
        <v>-0.34593344236167578</v>
      </c>
      <c r="BM62" s="26"/>
      <c r="BN62" s="26"/>
    </row>
    <row r="63" spans="1:66">
      <c r="A63" s="26"/>
      <c r="B63" s="26"/>
      <c r="C63" s="26"/>
      <c r="D63" s="26"/>
      <c r="E63" s="26"/>
      <c r="F63" s="26"/>
      <c r="G63" s="26"/>
      <c r="H63" s="26"/>
      <c r="I63" s="26"/>
      <c r="J63" s="26"/>
      <c r="K63" s="26"/>
      <c r="L63" s="26"/>
      <c r="M63" s="2"/>
      <c r="N63" s="26"/>
      <c r="O63" s="166">
        <v>10.199999999999996</v>
      </c>
      <c r="P63" s="166">
        <v>0.97677966190913523</v>
      </c>
      <c r="Q63" s="166">
        <v>2.3685202823609631E-2</v>
      </c>
      <c r="R63" s="166">
        <v>0.97584993244686868</v>
      </c>
      <c r="S63" s="166">
        <v>4.6486472629832487E-4</v>
      </c>
      <c r="T63" s="166">
        <v>3.2233523313833998E-12</v>
      </c>
      <c r="U63" s="166"/>
      <c r="V63" s="166"/>
      <c r="W63" s="166"/>
      <c r="X63" s="551">
        <v>3.1884721452273466E-3</v>
      </c>
      <c r="Y63" s="551"/>
      <c r="Z63" s="166"/>
      <c r="AA63" s="166"/>
      <c r="AB63" s="166"/>
      <c r="AC63" s="166"/>
      <c r="AD63" s="166"/>
      <c r="AE63" s="166"/>
      <c r="AF63" s="166"/>
      <c r="AG63" s="166"/>
      <c r="AH63" s="166"/>
      <c r="AI63" s="166"/>
      <c r="AJ63" s="166"/>
      <c r="AK63" s="166"/>
      <c r="AL63" s="166"/>
      <c r="AM63" s="166">
        <v>10.199999999999996</v>
      </c>
      <c r="AN63" s="166">
        <v>-1.6255123683075723</v>
      </c>
      <c r="AO63" s="166">
        <v>-1.061689487094657E-2</v>
      </c>
      <c r="AP63" s="166">
        <v>-3.3326518309242523</v>
      </c>
      <c r="AQ63" s="166">
        <v>-11.49161782386634</v>
      </c>
      <c r="AR63" s="166"/>
      <c r="AS63" s="166"/>
      <c r="AT63" s="166"/>
      <c r="AU63" s="166">
        <v>-2.4964012109174858</v>
      </c>
      <c r="AV63" s="166"/>
      <c r="AW63" s="166">
        <v>10.199999999999996</v>
      </c>
      <c r="AX63" s="166"/>
      <c r="AY63" s="166"/>
      <c r="AZ63" s="166"/>
      <c r="BA63" s="166"/>
      <c r="BB63" s="166"/>
      <c r="BC63" s="166"/>
      <c r="BD63" s="166"/>
      <c r="BE63" s="166"/>
      <c r="BF63" s="166"/>
      <c r="BG63" s="166"/>
      <c r="BH63" s="166">
        <v>10.199999999999996</v>
      </c>
      <c r="BI63" s="166">
        <v>-2.0232203380908649</v>
      </c>
      <c r="BJ63" s="166"/>
      <c r="BK63" s="166"/>
      <c r="BL63" s="166"/>
      <c r="BM63" s="26"/>
      <c r="BN63" s="26"/>
    </row>
    <row r="64" spans="1:66">
      <c r="A64" s="26"/>
      <c r="B64" s="26"/>
      <c r="C64" s="26"/>
      <c r="D64" s="26"/>
      <c r="E64" s="26"/>
      <c r="F64" s="26"/>
      <c r="G64" s="26"/>
      <c r="H64" s="26"/>
      <c r="I64" s="26"/>
      <c r="J64" s="26"/>
      <c r="K64" s="26"/>
      <c r="L64" s="26"/>
      <c r="M64" s="2"/>
      <c r="N64" s="26"/>
      <c r="O64" s="166">
        <v>10.399999999999995</v>
      </c>
      <c r="P64" s="166">
        <v>0.96325749519364512</v>
      </c>
      <c r="Q64" s="166">
        <v>3.7031855791726936E-2</v>
      </c>
      <c r="R64" s="166">
        <v>0.96267879322416694</v>
      </c>
      <c r="S64" s="166">
        <v>2.8935098284026221E-4</v>
      </c>
      <c r="T64" s="166">
        <v>1.2659196685526628E-12</v>
      </c>
      <c r="U64" s="166"/>
      <c r="V64" s="166"/>
      <c r="W64" s="166"/>
      <c r="X64" s="551">
        <v>4.8865028458402234E-3</v>
      </c>
      <c r="Y64" s="551"/>
      <c r="Z64" s="166"/>
      <c r="AA64" s="166"/>
      <c r="AB64" s="166"/>
      <c r="AC64" s="166"/>
      <c r="AD64" s="166"/>
      <c r="AE64" s="166"/>
      <c r="AF64" s="166"/>
      <c r="AG64" s="166"/>
      <c r="AH64" s="166"/>
      <c r="AI64" s="166"/>
      <c r="AJ64" s="166"/>
      <c r="AK64" s="166"/>
      <c r="AL64" s="166"/>
      <c r="AM64" s="166">
        <v>10.399999999999995</v>
      </c>
      <c r="AN64" s="166">
        <v>-1.4314152564117639</v>
      </c>
      <c r="AO64" s="166">
        <v>-1.6518488177434561E-2</v>
      </c>
      <c r="AP64" s="166">
        <v>-3.5385521294330369</v>
      </c>
      <c r="AQ64" s="166">
        <v>-11.897516827577421</v>
      </c>
      <c r="AR64" s="166"/>
      <c r="AS64" s="166"/>
      <c r="AT64" s="166"/>
      <c r="AU64" s="166">
        <v>-2.3109868825663575</v>
      </c>
      <c r="AV64" s="166"/>
      <c r="AW64" s="166">
        <v>10.399999999999995</v>
      </c>
      <c r="AX64" s="166"/>
      <c r="AY64" s="166"/>
      <c r="AZ64" s="166"/>
      <c r="BA64" s="166"/>
      <c r="BB64" s="166"/>
      <c r="BC64" s="166"/>
      <c r="BD64" s="166"/>
      <c r="BE64" s="166"/>
      <c r="BF64" s="166"/>
      <c r="BG64" s="166"/>
      <c r="BH64" s="166">
        <v>10.399999999999995</v>
      </c>
      <c r="BI64" s="166">
        <v>-2.0367425048063548</v>
      </c>
      <c r="BJ64" s="166"/>
      <c r="BK64" s="166"/>
      <c r="BL64" s="166"/>
      <c r="BM64" s="26"/>
      <c r="BN64" s="26"/>
    </row>
    <row r="65" spans="1:66">
      <c r="A65" s="26"/>
      <c r="B65" s="26"/>
      <c r="C65" s="26"/>
      <c r="D65" s="26"/>
      <c r="E65" s="26"/>
      <c r="F65" s="26"/>
      <c r="G65" s="26"/>
      <c r="H65" s="26"/>
      <c r="I65" s="26"/>
      <c r="J65" s="26"/>
      <c r="K65" s="26"/>
      <c r="L65" s="26"/>
      <c r="M65" s="2"/>
      <c r="N65" s="26"/>
      <c r="O65" s="166">
        <v>10.599999999999994</v>
      </c>
      <c r="P65" s="166">
        <v>0.94272546418019187</v>
      </c>
      <c r="Q65" s="166">
        <v>5.7453252095010378E-2</v>
      </c>
      <c r="R65" s="166">
        <v>0.94236803163028049</v>
      </c>
      <c r="S65" s="166">
        <v>1.7871627421570579E-4</v>
      </c>
      <c r="T65" s="166">
        <v>4.9333881645131508E-13</v>
      </c>
      <c r="U65" s="166"/>
      <c r="V65" s="166"/>
      <c r="W65" s="166"/>
      <c r="X65" s="551">
        <v>7.438465095029591E-3</v>
      </c>
      <c r="Y65" s="551"/>
      <c r="Z65" s="166"/>
      <c r="AA65" s="166"/>
      <c r="AB65" s="166"/>
      <c r="AC65" s="166"/>
      <c r="AD65" s="166"/>
      <c r="AE65" s="166"/>
      <c r="AF65" s="166"/>
      <c r="AG65" s="166"/>
      <c r="AH65" s="166"/>
      <c r="AI65" s="166"/>
      <c r="AJ65" s="166"/>
      <c r="AK65" s="166"/>
      <c r="AL65" s="166"/>
      <c r="AM65" s="166">
        <v>10.599999999999994</v>
      </c>
      <c r="AN65" s="166">
        <v>-1.2406773512080227</v>
      </c>
      <c r="AO65" s="166">
        <v>-2.5779288175989661E-2</v>
      </c>
      <c r="AP65" s="166">
        <v>-3.7478116346338881</v>
      </c>
      <c r="AQ65" s="166">
        <v>-12.306775037980568</v>
      </c>
      <c r="AR65" s="166"/>
      <c r="AS65" s="166"/>
      <c r="AT65" s="166"/>
      <c r="AU65" s="166">
        <v>-2.1285028905812258</v>
      </c>
      <c r="AV65" s="166"/>
      <c r="AW65" s="166">
        <v>10.599999999999994</v>
      </c>
      <c r="AX65" s="166"/>
      <c r="AY65" s="166"/>
      <c r="AZ65" s="166"/>
      <c r="BA65" s="166"/>
      <c r="BB65" s="166"/>
      <c r="BC65" s="166"/>
      <c r="BD65" s="166"/>
      <c r="BE65" s="166"/>
      <c r="BF65" s="166"/>
      <c r="BG65" s="166"/>
      <c r="BH65" s="166">
        <v>10.599999999999994</v>
      </c>
      <c r="BI65" s="166">
        <v>-2.0572745358198081</v>
      </c>
      <c r="BJ65" s="166"/>
      <c r="BK65" s="166"/>
      <c r="BL65" s="166"/>
      <c r="BM65" s="26"/>
      <c r="BN65" s="26"/>
    </row>
    <row r="66" spans="1:66">
      <c r="A66" s="26"/>
      <c r="B66" s="26"/>
      <c r="C66" s="26"/>
      <c r="D66" s="26"/>
      <c r="E66" s="26"/>
      <c r="F66" s="26"/>
      <c r="G66" s="26"/>
      <c r="H66" s="26"/>
      <c r="I66" s="26"/>
      <c r="J66" s="26"/>
      <c r="K66" s="26"/>
      <c r="L66" s="26"/>
      <c r="M66" s="2"/>
      <c r="N66" s="26"/>
      <c r="O66" s="166">
        <v>10.799999999999994</v>
      </c>
      <c r="P66" s="166">
        <v>0.91200662160559731</v>
      </c>
      <c r="Q66" s="166">
        <v>8.8102481629514895E-2</v>
      </c>
      <c r="R66" s="166">
        <v>0.91178841513556308</v>
      </c>
      <c r="S66" s="166">
        <v>1.0910323473208167E-4</v>
      </c>
      <c r="T66" s="166">
        <v>1.9002853164533453E-13</v>
      </c>
      <c r="U66" s="166"/>
      <c r="V66" s="166"/>
      <c r="W66" s="166"/>
      <c r="X66" s="551">
        <v>1.1136071889972565E-2</v>
      </c>
      <c r="Y66" s="551"/>
      <c r="Z66" s="166"/>
      <c r="AA66" s="166"/>
      <c r="AB66" s="166"/>
      <c r="AC66" s="166"/>
      <c r="AD66" s="166"/>
      <c r="AE66" s="166"/>
      <c r="AF66" s="166"/>
      <c r="AG66" s="166"/>
      <c r="AH66" s="166"/>
      <c r="AI66" s="166"/>
      <c r="AJ66" s="166"/>
      <c r="AK66" s="166"/>
      <c r="AL66" s="166"/>
      <c r="AM66" s="166">
        <v>10.799999999999994</v>
      </c>
      <c r="AN66" s="166">
        <v>-1.0550050282770729</v>
      </c>
      <c r="AO66" s="166">
        <v>-4.010567044733615E-2</v>
      </c>
      <c r="AP66" s="166">
        <v>-3.9621367221075308</v>
      </c>
      <c r="AQ66" s="166">
        <v>-12.721098830656508</v>
      </c>
      <c r="AR66" s="166"/>
      <c r="AS66" s="166"/>
      <c r="AT66" s="166"/>
      <c r="AU66" s="166">
        <v>-1.9532553286606473</v>
      </c>
      <c r="AV66" s="166"/>
      <c r="AW66" s="166">
        <v>10.799999999999994</v>
      </c>
      <c r="AX66" s="166"/>
      <c r="AY66" s="166"/>
      <c r="AZ66" s="166"/>
      <c r="BA66" s="166"/>
      <c r="BB66" s="166"/>
      <c r="BC66" s="166"/>
      <c r="BD66" s="166"/>
      <c r="BE66" s="166"/>
      <c r="BF66" s="166"/>
      <c r="BG66" s="166"/>
      <c r="BH66" s="166">
        <v>10.799999999999994</v>
      </c>
      <c r="BI66" s="166">
        <v>-2.0879933783944029</v>
      </c>
      <c r="BJ66" s="166"/>
      <c r="BK66" s="166"/>
      <c r="BL66" s="166"/>
      <c r="BM66" s="26"/>
      <c r="BN66" s="26"/>
    </row>
    <row r="67" spans="1:66">
      <c r="A67" s="26"/>
      <c r="B67" s="26"/>
      <c r="C67" s="26"/>
      <c r="D67" s="26"/>
      <c r="E67" s="26"/>
      <c r="F67" s="26"/>
      <c r="G67" s="26"/>
      <c r="H67" s="26"/>
      <c r="I67" s="26"/>
      <c r="J67" s="26"/>
      <c r="K67" s="26"/>
      <c r="L67" s="26"/>
      <c r="M67" s="2"/>
      <c r="N67" s="26"/>
      <c r="O67" s="166">
        <v>10.999999999999993</v>
      </c>
      <c r="P67" s="166">
        <v>0.86727011480118732</v>
      </c>
      <c r="Q67" s="166">
        <v>0.13279535369514844</v>
      </c>
      <c r="R67" s="166">
        <v>0.86713917780858774</v>
      </c>
      <c r="S67" s="166">
        <v>6.5468496191826997E-5</v>
      </c>
      <c r="T67" s="166">
        <v>7.1947142680111086E-14</v>
      </c>
      <c r="U67" s="166"/>
      <c r="V67" s="166"/>
      <c r="W67" s="166"/>
      <c r="X67" s="551">
        <v>1.6234447597023374E-2</v>
      </c>
      <c r="Y67" s="551"/>
      <c r="Z67" s="166"/>
      <c r="AA67" s="166"/>
      <c r="AB67" s="166"/>
      <c r="AC67" s="166"/>
      <c r="AD67" s="166"/>
      <c r="AE67" s="166"/>
      <c r="AF67" s="166"/>
      <c r="AG67" s="166"/>
      <c r="AH67" s="166"/>
      <c r="AI67" s="166"/>
      <c r="AJ67" s="166"/>
      <c r="AK67" s="166"/>
      <c r="AL67" s="166"/>
      <c r="AM67" s="166">
        <v>10.999999999999993</v>
      </c>
      <c r="AN67" s="166">
        <v>-0.87681144349309437</v>
      </c>
      <c r="AO67" s="166">
        <v>-6.191079086565409E-2</v>
      </c>
      <c r="AP67" s="166">
        <v>-4.1839405477281453</v>
      </c>
      <c r="AQ67" s="166">
        <v>-13.142901361479419</v>
      </c>
      <c r="AR67" s="166"/>
      <c r="AS67" s="166"/>
      <c r="AT67" s="166"/>
      <c r="AU67" s="166">
        <v>-1.789550898742132</v>
      </c>
      <c r="AV67" s="166"/>
      <c r="AW67" s="166">
        <v>10.999999999999993</v>
      </c>
      <c r="AX67" s="166"/>
      <c r="AY67" s="166"/>
      <c r="AZ67" s="166"/>
      <c r="BA67" s="166"/>
      <c r="BB67" s="166"/>
      <c r="BC67" s="166"/>
      <c r="BD67" s="166"/>
      <c r="BE67" s="166"/>
      <c r="BF67" s="166"/>
      <c r="BG67" s="166"/>
      <c r="BH67" s="166">
        <v>10.999999999999993</v>
      </c>
      <c r="BI67" s="166">
        <v>-2.1327298851988128</v>
      </c>
      <c r="BJ67" s="166"/>
      <c r="BK67" s="166"/>
      <c r="BL67" s="166"/>
      <c r="BM67" s="26"/>
      <c r="BN67" s="26"/>
    </row>
    <row r="68" spans="1:66">
      <c r="A68" s="26"/>
      <c r="B68" s="26"/>
      <c r="C68" s="26"/>
      <c r="D68" s="26"/>
      <c r="E68" s="26"/>
      <c r="F68" s="26"/>
      <c r="G68" s="26"/>
      <c r="H68" s="26"/>
      <c r="I68" s="26"/>
      <c r="J68" s="26"/>
      <c r="K68" s="26"/>
      <c r="L68" s="26"/>
      <c r="M68" s="2"/>
      <c r="N68" s="26"/>
      <c r="O68" s="166">
        <v>11.199999999999992</v>
      </c>
      <c r="P68" s="166">
        <v>0.80473647084949662</v>
      </c>
      <c r="Q68" s="166">
        <v>0.19530186065511448</v>
      </c>
      <c r="R68" s="166">
        <v>0.80465980784030089</v>
      </c>
      <c r="S68" s="166">
        <v>3.8331504557983186E-5</v>
      </c>
      <c r="T68" s="166">
        <v>2.6578902978136064E-14</v>
      </c>
      <c r="U68" s="166"/>
      <c r="V68" s="166"/>
      <c r="W68" s="166"/>
      <c r="X68" s="551">
        <v>2.2801366917055674E-2</v>
      </c>
      <c r="Y68" s="551"/>
      <c r="Z68" s="166"/>
      <c r="AA68" s="166"/>
      <c r="AB68" s="166"/>
      <c r="AC68" s="166"/>
      <c r="AD68" s="166"/>
      <c r="AE68" s="166"/>
      <c r="AF68" s="166"/>
      <c r="AG68" s="166"/>
      <c r="AH68" s="166"/>
      <c r="AI68" s="166"/>
      <c r="AJ68" s="166"/>
      <c r="AK68" s="166"/>
      <c r="AL68" s="166"/>
      <c r="AM68" s="166">
        <v>11.199999999999992</v>
      </c>
      <c r="AN68" s="166">
        <v>-0.7092890271783906</v>
      </c>
      <c r="AO68" s="166">
        <v>-9.4387079753246672E-2</v>
      </c>
      <c r="AP68" s="166">
        <v>-4.4164155418180338</v>
      </c>
      <c r="AQ68" s="166">
        <v>-13.575375060771604</v>
      </c>
      <c r="AR68" s="166"/>
      <c r="AS68" s="166"/>
      <c r="AT68" s="166"/>
      <c r="AU68" s="166">
        <v>-1.6420284861966383</v>
      </c>
      <c r="AV68" s="166"/>
      <c r="AW68" s="166">
        <v>11.199999999999992</v>
      </c>
      <c r="AX68" s="166"/>
      <c r="AY68" s="166"/>
      <c r="AZ68" s="166"/>
      <c r="BA68" s="166"/>
      <c r="BB68" s="166"/>
      <c r="BC68" s="166"/>
      <c r="BD68" s="166"/>
      <c r="BE68" s="166"/>
      <c r="BF68" s="166"/>
      <c r="BG68" s="166"/>
      <c r="BH68" s="166">
        <v>11.199999999999992</v>
      </c>
      <c r="BI68" s="166">
        <v>-2.1952635291505036</v>
      </c>
      <c r="BJ68" s="166"/>
      <c r="BK68" s="166"/>
      <c r="BL68" s="166"/>
      <c r="BM68" s="26"/>
      <c r="BN68" s="26"/>
    </row>
    <row r="69" spans="1:66">
      <c r="A69" s="26"/>
      <c r="B69" s="26"/>
      <c r="C69" s="26"/>
      <c r="D69" s="26"/>
      <c r="E69" s="26"/>
      <c r="F69" s="26"/>
      <c r="G69" s="26"/>
      <c r="H69" s="26"/>
      <c r="I69" s="26"/>
      <c r="J69" s="26"/>
      <c r="K69" s="26"/>
      <c r="L69" s="26"/>
      <c r="M69" s="2"/>
      <c r="N69" s="26"/>
      <c r="O69" s="166">
        <v>11.399999999999991</v>
      </c>
      <c r="P69" s="166">
        <v>0.72221881395640797</v>
      </c>
      <c r="Q69" s="166">
        <v>0.27780289236597144</v>
      </c>
      <c r="R69" s="166">
        <v>0.72217540131165869</v>
      </c>
      <c r="S69" s="166">
        <v>2.1706322360415026E-5</v>
      </c>
      <c r="T69" s="166">
        <v>9.4965844381332886E-15</v>
      </c>
      <c r="U69" s="166"/>
      <c r="V69" s="166"/>
      <c r="W69" s="166"/>
      <c r="X69" s="551">
        <v>3.0553630750289672E-2</v>
      </c>
      <c r="Y69" s="551"/>
      <c r="Z69" s="166"/>
      <c r="AA69" s="166"/>
      <c r="AB69" s="166"/>
      <c r="AC69" s="166"/>
      <c r="AD69" s="166"/>
      <c r="AE69" s="166"/>
      <c r="AF69" s="166"/>
      <c r="AG69" s="166"/>
      <c r="AH69" s="166"/>
      <c r="AI69" s="166"/>
      <c r="AJ69" s="166"/>
      <c r="AK69" s="166"/>
      <c r="AL69" s="166"/>
      <c r="AM69" s="166">
        <v>11.399999999999991</v>
      </c>
      <c r="AN69" s="166">
        <v>-0.55625963564298297</v>
      </c>
      <c r="AO69" s="166">
        <v>-0.1413563934201352</v>
      </c>
      <c r="AP69" s="166">
        <v>-4.6633835606872189</v>
      </c>
      <c r="AQ69" s="166">
        <v>-14.022341784843087</v>
      </c>
      <c r="AR69" s="166"/>
      <c r="AS69" s="166"/>
      <c r="AT69" s="166"/>
      <c r="AU69" s="166">
        <v>-1.5149273665694651</v>
      </c>
      <c r="AV69" s="166"/>
      <c r="AW69" s="166">
        <v>11.399999999999991</v>
      </c>
      <c r="AX69" s="166"/>
      <c r="AY69" s="166"/>
      <c r="AZ69" s="166"/>
      <c r="BA69" s="166"/>
      <c r="BB69" s="166"/>
      <c r="BC69" s="166"/>
      <c r="BD69" s="166"/>
      <c r="BE69" s="166"/>
      <c r="BF69" s="166"/>
      <c r="BG69" s="166"/>
      <c r="BH69" s="166">
        <v>11.399999999999991</v>
      </c>
      <c r="BI69" s="166">
        <v>-2.2777811860435921</v>
      </c>
      <c r="BJ69" s="166"/>
      <c r="BK69" s="166"/>
      <c r="BL69" s="166"/>
      <c r="BM69" s="26"/>
      <c r="BN69" s="26"/>
    </row>
    <row r="70" spans="1:66">
      <c r="A70" s="26"/>
      <c r="B70" s="26"/>
      <c r="C70" s="26"/>
      <c r="D70" s="26"/>
      <c r="E70" s="26"/>
      <c r="F70" s="26"/>
      <c r="G70" s="26"/>
      <c r="H70" s="26"/>
      <c r="I70" s="26"/>
      <c r="J70" s="26"/>
      <c r="K70" s="26"/>
      <c r="L70" s="26"/>
      <c r="M70" s="2"/>
      <c r="N70" s="26"/>
      <c r="O70" s="166">
        <v>11.599999999999991</v>
      </c>
      <c r="P70" s="166">
        <v>0.62126200054383174</v>
      </c>
      <c r="Q70" s="166">
        <v>0.3787497809911185</v>
      </c>
      <c r="R70" s="166">
        <v>0.62123843747393459</v>
      </c>
      <c r="S70" s="166">
        <v>1.17815349437159E-5</v>
      </c>
      <c r="T70" s="166">
        <v>3.2522435523120755E-15</v>
      </c>
      <c r="U70" s="166"/>
      <c r="V70" s="166"/>
      <c r="W70" s="166"/>
      <c r="X70" s="551">
        <v>3.8901944703044415E-2</v>
      </c>
      <c r="Y70" s="551"/>
      <c r="Z70" s="166"/>
      <c r="AA70" s="166"/>
      <c r="AB70" s="166"/>
      <c r="AC70" s="166"/>
      <c r="AD70" s="166"/>
      <c r="AE70" s="166"/>
      <c r="AF70" s="166"/>
      <c r="AG70" s="166"/>
      <c r="AH70" s="166"/>
      <c r="AI70" s="166"/>
      <c r="AJ70" s="166"/>
      <c r="AK70" s="166"/>
      <c r="AL70" s="166"/>
      <c r="AM70" s="166">
        <v>11.599999999999991</v>
      </c>
      <c r="AN70" s="166">
        <v>-0.42164487987492255</v>
      </c>
      <c r="AO70" s="166">
        <v>-0.20674034285437121</v>
      </c>
      <c r="AP70" s="166">
        <v>-4.9287662153237513</v>
      </c>
      <c r="AQ70" s="166">
        <v>-14.487723144681913</v>
      </c>
      <c r="AR70" s="166"/>
      <c r="AS70" s="166"/>
      <c r="AT70" s="166"/>
      <c r="AU70" s="166">
        <v>-1.4100195592986766</v>
      </c>
      <c r="AV70" s="166"/>
      <c r="AW70" s="166">
        <v>11.599999999999991</v>
      </c>
      <c r="AX70" s="166"/>
      <c r="AY70" s="166"/>
      <c r="AZ70" s="166"/>
      <c r="BA70" s="166"/>
      <c r="BB70" s="166"/>
      <c r="BC70" s="166"/>
      <c r="BD70" s="166"/>
      <c r="BE70" s="166"/>
      <c r="BF70" s="166"/>
      <c r="BG70" s="166"/>
      <c r="BH70" s="166">
        <v>11.599999999999991</v>
      </c>
      <c r="BI70" s="166">
        <v>-2.3787379994561682</v>
      </c>
      <c r="BJ70" s="166"/>
      <c r="BK70" s="166"/>
      <c r="BL70" s="166"/>
      <c r="BM70" s="26"/>
      <c r="BN70" s="26"/>
    </row>
    <row r="71" spans="1:66">
      <c r="A71" s="26"/>
      <c r="B71" s="26"/>
      <c r="C71" s="26"/>
      <c r="D71" s="26"/>
      <c r="E71" s="26"/>
      <c r="F71" s="26"/>
      <c r="G71" s="26"/>
      <c r="H71" s="26"/>
      <c r="I71" s="26"/>
      <c r="J71" s="26"/>
      <c r="K71" s="26"/>
      <c r="L71" s="26"/>
      <c r="M71" s="2"/>
      <c r="N71" s="26"/>
      <c r="O71" s="166">
        <v>11.79999999999999</v>
      </c>
      <c r="P71" s="166">
        <v>0.50858877596904672</v>
      </c>
      <c r="Q71" s="166">
        <v>0.49141730958235946</v>
      </c>
      <c r="R71" s="166">
        <v>0.50857660486623535</v>
      </c>
      <c r="S71" s="166">
        <v>6.0855514041288533E-6</v>
      </c>
      <c r="T71" s="166">
        <v>1.0599396071240158E-15</v>
      </c>
      <c r="U71" s="166"/>
      <c r="V71" s="166"/>
      <c r="W71" s="166"/>
      <c r="X71" s="551">
        <v>4.7492454760874082E-2</v>
      </c>
      <c r="Y71" s="551"/>
      <c r="Z71" s="166"/>
      <c r="AA71" s="166"/>
      <c r="AB71" s="166"/>
      <c r="AC71" s="166"/>
      <c r="AD71" s="166"/>
      <c r="AE71" s="166"/>
      <c r="AF71" s="166"/>
      <c r="AG71" s="166"/>
      <c r="AH71" s="166"/>
      <c r="AI71" s="166"/>
      <c r="AJ71" s="166"/>
      <c r="AK71" s="166"/>
      <c r="AL71" s="166"/>
      <c r="AM71" s="166">
        <v>11.79999999999999</v>
      </c>
      <c r="AN71" s="166">
        <v>-0.30854755254065785</v>
      </c>
      <c r="AO71" s="166">
        <v>-0.2936417207224028</v>
      </c>
      <c r="AP71" s="166">
        <v>-5.2156662983940798</v>
      </c>
      <c r="AQ71" s="166">
        <v>-14.974621932954539</v>
      </c>
      <c r="AR71" s="166"/>
      <c r="AS71" s="166"/>
      <c r="AT71" s="166"/>
      <c r="AU71" s="166">
        <v>-1.323366814773985</v>
      </c>
      <c r="AV71" s="166"/>
      <c r="AW71" s="166">
        <v>11.79999999999999</v>
      </c>
      <c r="AX71" s="166"/>
      <c r="AY71" s="166"/>
      <c r="AZ71" s="166"/>
      <c r="BA71" s="166"/>
      <c r="BB71" s="166"/>
      <c r="BC71" s="166"/>
      <c r="BD71" s="166"/>
      <c r="BE71" s="166"/>
      <c r="BF71" s="166"/>
      <c r="BG71" s="166"/>
      <c r="BH71" s="166">
        <v>11.79999999999999</v>
      </c>
      <c r="BI71" s="166">
        <v>-2.4914112240309532</v>
      </c>
      <c r="BJ71" s="166"/>
      <c r="BK71" s="166"/>
      <c r="BL71" s="166"/>
      <c r="BM71" s="26"/>
      <c r="BN71" s="26"/>
    </row>
    <row r="72" spans="1:66">
      <c r="A72" s="26"/>
      <c r="B72" s="26"/>
      <c r="C72" s="26"/>
      <c r="D72" s="26"/>
      <c r="E72" s="26"/>
      <c r="F72" s="26"/>
      <c r="G72" s="26"/>
      <c r="H72" s="26"/>
      <c r="I72" s="26"/>
      <c r="J72" s="26"/>
      <c r="K72" s="26"/>
      <c r="L72" s="26"/>
      <c r="M72" s="2"/>
      <c r="N72" s="26"/>
      <c r="O72" s="166">
        <v>11.999999999999989</v>
      </c>
      <c r="P72" s="166">
        <v>0.39504011808192208</v>
      </c>
      <c r="Q72" s="166">
        <v>0.60496286440262215</v>
      </c>
      <c r="R72" s="166">
        <v>0.39503415311283407</v>
      </c>
      <c r="S72" s="166">
        <v>2.9824845434925367E-6</v>
      </c>
      <c r="T72" s="166">
        <v>3.2776259342073192E-16</v>
      </c>
      <c r="U72" s="166"/>
      <c r="V72" s="166"/>
      <c r="W72" s="166"/>
      <c r="X72" s="551">
        <v>5.7179367525627023E-2</v>
      </c>
      <c r="Y72" s="551"/>
      <c r="Z72" s="166"/>
      <c r="AA72" s="166"/>
      <c r="AB72" s="166"/>
      <c r="AC72" s="166"/>
      <c r="AD72" s="166"/>
      <c r="AE72" s="166"/>
      <c r="AF72" s="166"/>
      <c r="AG72" s="166"/>
      <c r="AH72" s="166"/>
      <c r="AI72" s="166"/>
      <c r="AJ72" s="166"/>
      <c r="AK72" s="166"/>
      <c r="AL72" s="166"/>
      <c r="AM72" s="166">
        <v>11.999999999999989</v>
      </c>
      <c r="AN72" s="166">
        <v>-0.21826987057582137</v>
      </c>
      <c r="AO72" s="166">
        <v>-0.40336274395986266</v>
      </c>
      <c r="AP72" s="166">
        <v>-5.5253860268338348</v>
      </c>
      <c r="AQ72" s="166">
        <v>-15.484340366596591</v>
      </c>
      <c r="AR72" s="166"/>
      <c r="AS72" s="166"/>
      <c r="AT72" s="166"/>
      <c r="AU72" s="166">
        <v>-1.2427526071662254</v>
      </c>
      <c r="AV72" s="166"/>
      <c r="AW72" s="166">
        <v>11.999999999999989</v>
      </c>
      <c r="AX72" s="166"/>
      <c r="AY72" s="166"/>
      <c r="AZ72" s="166"/>
      <c r="BA72" s="166"/>
      <c r="BB72" s="166"/>
      <c r="BC72" s="166"/>
      <c r="BD72" s="166"/>
      <c r="BE72" s="166"/>
      <c r="BF72" s="166"/>
      <c r="BG72" s="166"/>
      <c r="BH72" s="166">
        <v>11.999999999999989</v>
      </c>
      <c r="BI72" s="166">
        <v>-2.6049598819180781</v>
      </c>
      <c r="BJ72" s="166"/>
      <c r="BK72" s="166"/>
      <c r="BL72" s="166"/>
      <c r="BM72" s="26"/>
      <c r="BN72" s="26"/>
    </row>
    <row r="73" spans="1:66">
      <c r="A73" s="26"/>
      <c r="B73" s="26"/>
      <c r="C73" s="26"/>
      <c r="D73" s="26"/>
      <c r="E73" s="26"/>
      <c r="F73" s="26"/>
      <c r="G73" s="26"/>
      <c r="H73" s="26"/>
      <c r="I73" s="26"/>
      <c r="J73" s="26"/>
      <c r="K73" s="26"/>
      <c r="L73" s="26"/>
      <c r="M73" s="2"/>
      <c r="N73" s="26"/>
      <c r="O73" s="166">
        <v>12.199999999999989</v>
      </c>
      <c r="P73" s="166">
        <v>0.29179122245083511</v>
      </c>
      <c r="Q73" s="166">
        <v>0.70821016753905941</v>
      </c>
      <c r="R73" s="166">
        <v>0.29178844247104618</v>
      </c>
      <c r="S73" s="166">
        <v>1.3899898943089273E-6</v>
      </c>
      <c r="T73" s="166">
        <v>9.6381310797602333E-17</v>
      </c>
      <c r="U73" s="166"/>
      <c r="V73" s="166"/>
      <c r="W73" s="166"/>
      <c r="X73" s="551">
        <v>7.0806926153434244E-2</v>
      </c>
      <c r="Y73" s="551"/>
      <c r="Z73" s="166"/>
      <c r="AA73" s="166"/>
      <c r="AB73" s="166"/>
      <c r="AC73" s="166"/>
      <c r="AD73" s="166"/>
      <c r="AE73" s="166"/>
      <c r="AF73" s="166"/>
      <c r="AG73" s="166"/>
      <c r="AH73" s="166"/>
      <c r="AI73" s="166"/>
      <c r="AJ73" s="166"/>
      <c r="AK73" s="166"/>
      <c r="AL73" s="166"/>
      <c r="AM73" s="166">
        <v>12.199999999999989</v>
      </c>
      <c r="AN73" s="166">
        <v>-0.14983687246249119</v>
      </c>
      <c r="AO73" s="166">
        <v>-0.53492845104882891</v>
      </c>
      <c r="AP73" s="166">
        <v>-5.8569504391250975</v>
      </c>
      <c r="AQ73" s="166">
        <v>-16.015903484090149</v>
      </c>
      <c r="AR73" s="166"/>
      <c r="AS73" s="166"/>
      <c r="AT73" s="166"/>
      <c r="AU73" s="166">
        <v>-1.149916814054246</v>
      </c>
      <c r="AV73" s="166"/>
      <c r="AW73" s="166">
        <v>12.199999999999989</v>
      </c>
      <c r="AX73" s="166"/>
      <c r="AY73" s="166"/>
      <c r="AZ73" s="166"/>
      <c r="BA73" s="166"/>
      <c r="BB73" s="166"/>
      <c r="BC73" s="166"/>
      <c r="BD73" s="166"/>
      <c r="BE73" s="166"/>
      <c r="BF73" s="166"/>
      <c r="BG73" s="166"/>
      <c r="BH73" s="166">
        <v>12.199999999999989</v>
      </c>
      <c r="BI73" s="166">
        <v>-2.708208777549165</v>
      </c>
      <c r="BJ73" s="166"/>
      <c r="BK73" s="166"/>
      <c r="BL73" s="166"/>
      <c r="BM73" s="26"/>
      <c r="BN73" s="26"/>
    </row>
    <row r="74" spans="1:66">
      <c r="A74" s="26"/>
      <c r="B74" s="26"/>
      <c r="C74" s="26"/>
      <c r="D74" s="26"/>
      <c r="E74" s="26"/>
      <c r="F74" s="26"/>
      <c r="G74" s="26"/>
      <c r="H74" s="26"/>
      <c r="I74" s="26"/>
      <c r="J74" s="26"/>
      <c r="K74" s="26"/>
      <c r="L74" s="26"/>
      <c r="M74" s="2"/>
      <c r="N74" s="26"/>
      <c r="O74" s="166">
        <v>12.399999999999988</v>
      </c>
      <c r="P74" s="166">
        <v>0.20632489639774698</v>
      </c>
      <c r="Q74" s="166">
        <v>0.79367572374630424</v>
      </c>
      <c r="R74" s="166">
        <v>0.20632365610964459</v>
      </c>
      <c r="S74" s="166">
        <v>6.2014405114896231E-7</v>
      </c>
      <c r="T74" s="166">
        <v>2.7131497670384811E-17</v>
      </c>
      <c r="U74" s="166"/>
      <c r="V74" s="166"/>
      <c r="W74" s="166"/>
      <c r="X74" s="551">
        <v>9.3367151729144296E-2</v>
      </c>
      <c r="Y74" s="551"/>
      <c r="Z74" s="166"/>
      <c r="AA74" s="166"/>
      <c r="AB74" s="166"/>
      <c r="AC74" s="166"/>
      <c r="AD74" s="166"/>
      <c r="AE74" s="166"/>
      <c r="AF74" s="166"/>
      <c r="AG74" s="166"/>
      <c r="AH74" s="166"/>
      <c r="AI74" s="166"/>
      <c r="AJ74" s="166"/>
      <c r="AK74" s="166"/>
      <c r="AL74" s="166"/>
      <c r="AM74" s="166">
        <v>12.399999999999988</v>
      </c>
      <c r="AN74" s="166">
        <v>-0.10035625359870899</v>
      </c>
      <c r="AO74" s="166">
        <v>-0.68544653738734296</v>
      </c>
      <c r="AP74" s="166">
        <v>-6.207467230665908</v>
      </c>
      <c r="AQ74" s="166">
        <v>-16.566418980833255</v>
      </c>
      <c r="AR74" s="166"/>
      <c r="AS74" s="166"/>
      <c r="AT74" s="166"/>
      <c r="AU74" s="166">
        <v>-1.0297992226852899</v>
      </c>
      <c r="AV74" s="166"/>
      <c r="AW74" s="166">
        <v>12.399999999999988</v>
      </c>
      <c r="AX74" s="166"/>
      <c r="AY74" s="166"/>
      <c r="AZ74" s="166"/>
      <c r="BA74" s="166"/>
      <c r="BB74" s="166"/>
      <c r="BC74" s="166"/>
      <c r="BD74" s="166"/>
      <c r="BE74" s="166"/>
      <c r="BF74" s="166"/>
      <c r="BG74" s="166"/>
      <c r="BH74" s="166">
        <v>12.399999999999988</v>
      </c>
      <c r="BI74" s="166">
        <v>-2.7936751036022529</v>
      </c>
      <c r="BJ74" s="166"/>
      <c r="BK74" s="166"/>
      <c r="BL74" s="166"/>
      <c r="BM74" s="26"/>
      <c r="BN74" s="26"/>
    </row>
    <row r="75" spans="1:66">
      <c r="A75" s="26"/>
      <c r="B75" s="26"/>
      <c r="C75" s="26"/>
      <c r="D75" s="26"/>
      <c r="E75" s="26"/>
      <c r="F75" s="26"/>
      <c r="G75" s="26"/>
      <c r="H75" s="26"/>
      <c r="I75" s="26"/>
      <c r="J75" s="26"/>
      <c r="K75" s="26"/>
      <c r="L75" s="26"/>
      <c r="M75" s="2"/>
      <c r="N75" s="26"/>
      <c r="O75" s="166">
        <v>12.599999999999987</v>
      </c>
      <c r="P75" s="166">
        <v>0.14091127091902761</v>
      </c>
      <c r="Q75" s="166">
        <v>0.85908899631246771</v>
      </c>
      <c r="R75" s="166">
        <v>0.14091073645603708</v>
      </c>
      <c r="S75" s="166">
        <v>2.6723149524552903E-7</v>
      </c>
      <c r="T75" s="166">
        <v>7.3768139002173107E-18</v>
      </c>
      <c r="U75" s="166"/>
      <c r="V75" s="166"/>
      <c r="W75" s="166"/>
      <c r="X75" s="551">
        <v>0.13203373475581767</v>
      </c>
      <c r="Y75" s="551"/>
      <c r="Z75" s="166"/>
      <c r="AA75" s="166"/>
      <c r="AB75" s="166"/>
      <c r="AC75" s="166"/>
      <c r="AD75" s="166"/>
      <c r="AE75" s="166"/>
      <c r="AF75" s="166"/>
      <c r="AG75" s="166"/>
      <c r="AH75" s="166"/>
      <c r="AI75" s="166"/>
      <c r="AJ75" s="166"/>
      <c r="AK75" s="166"/>
      <c r="AL75" s="166"/>
      <c r="AM75" s="166">
        <v>12.599999999999987</v>
      </c>
      <c r="AN75" s="166">
        <v>-6.5961416576819976E-2</v>
      </c>
      <c r="AO75" s="166">
        <v>-0.85105040556775013</v>
      </c>
      <c r="AP75" s="166">
        <v>-6.573069804048612</v>
      </c>
      <c r="AQ75" s="166">
        <v>-17.132020259418255</v>
      </c>
      <c r="AR75" s="166"/>
      <c r="AS75" s="166"/>
      <c r="AT75" s="166"/>
      <c r="AU75" s="166">
        <v>-0.87930939925098861</v>
      </c>
      <c r="AV75" s="166"/>
      <c r="AW75" s="166">
        <v>12.599999999999987</v>
      </c>
      <c r="AX75" s="166"/>
      <c r="AY75" s="166"/>
      <c r="AZ75" s="166"/>
      <c r="BA75" s="166"/>
      <c r="BB75" s="166"/>
      <c r="BC75" s="166"/>
      <c r="BD75" s="166"/>
      <c r="BE75" s="166"/>
      <c r="BF75" s="166"/>
      <c r="BG75" s="166"/>
      <c r="BH75" s="166">
        <v>12.599999999999987</v>
      </c>
      <c r="BI75" s="166">
        <v>-2.8590887290809723</v>
      </c>
      <c r="BJ75" s="166"/>
      <c r="BK75" s="166"/>
      <c r="BL75" s="166"/>
      <c r="BM75" s="26"/>
      <c r="BN75" s="26"/>
    </row>
    <row r="76" spans="1:66">
      <c r="A76" s="26"/>
      <c r="B76" s="26"/>
      <c r="C76" s="26"/>
      <c r="D76" s="26"/>
      <c r="E76" s="26"/>
      <c r="F76" s="26"/>
      <c r="G76" s="26"/>
      <c r="H76" s="26"/>
      <c r="I76" s="26"/>
      <c r="J76" s="26"/>
      <c r="K76" s="26"/>
      <c r="L76" s="26"/>
      <c r="M76" s="2"/>
      <c r="N76" s="26"/>
      <c r="O76" s="166">
        <v>12.799999999999986</v>
      </c>
      <c r="P76" s="166">
        <v>9.3785956013772473E-2</v>
      </c>
      <c r="Q76" s="166">
        <v>0.90621415620882773</v>
      </c>
      <c r="R76" s="166">
        <v>9.3785731568571895E-2</v>
      </c>
      <c r="S76" s="166">
        <v>1.1222260028742242E-7</v>
      </c>
      <c r="T76" s="166">
        <v>1.9546162863464389E-18</v>
      </c>
      <c r="U76" s="166"/>
      <c r="V76" s="166"/>
      <c r="W76" s="166"/>
      <c r="X76" s="551">
        <v>0.19695540486637989</v>
      </c>
      <c r="Y76" s="551"/>
      <c r="Z76" s="166"/>
      <c r="AA76" s="166"/>
      <c r="AB76" s="166"/>
      <c r="AC76" s="166"/>
      <c r="AD76" s="166"/>
      <c r="AE76" s="166"/>
      <c r="AF76" s="166"/>
      <c r="AG76" s="166"/>
      <c r="AH76" s="166"/>
      <c r="AI76" s="166"/>
      <c r="AJ76" s="166"/>
      <c r="AK76" s="166"/>
      <c r="AL76" s="166"/>
      <c r="AM76" s="166">
        <v>12.799999999999986</v>
      </c>
      <c r="AN76" s="166">
        <v>-4.2768880988888119E-2</v>
      </c>
      <c r="AO76" s="166">
        <v>-1.0278565751821147</v>
      </c>
      <c r="AP76" s="166">
        <v>-6.9498746788652737</v>
      </c>
      <c r="AQ76" s="166">
        <v>-17.708823839437212</v>
      </c>
      <c r="AR76" s="166"/>
      <c r="AS76" s="166"/>
      <c r="AT76" s="166"/>
      <c r="AU76" s="166">
        <v>-0.70562752849241495</v>
      </c>
      <c r="AV76" s="166"/>
      <c r="AW76" s="166">
        <v>12.799999999999986</v>
      </c>
      <c r="AX76" s="166"/>
      <c r="AY76" s="166"/>
      <c r="AZ76" s="166"/>
      <c r="BA76" s="166"/>
      <c r="BB76" s="166"/>
      <c r="BC76" s="166"/>
      <c r="BD76" s="166"/>
      <c r="BE76" s="166"/>
      <c r="BF76" s="166"/>
      <c r="BG76" s="166"/>
      <c r="BH76" s="166">
        <v>12.799999999999986</v>
      </c>
      <c r="BI76" s="166">
        <v>-2.9062140439862274</v>
      </c>
      <c r="BJ76" s="166"/>
      <c r="BK76" s="166"/>
      <c r="BL76" s="166"/>
      <c r="BM76" s="26"/>
      <c r="BN76" s="26"/>
    </row>
    <row r="77" spans="1:66">
      <c r="A77" s="26"/>
      <c r="B77" s="26"/>
      <c r="C77" s="26"/>
      <c r="D77" s="26"/>
      <c r="E77" s="26"/>
      <c r="F77" s="26"/>
      <c r="G77" s="26"/>
      <c r="H77" s="26"/>
      <c r="I77" s="26"/>
      <c r="J77" s="26"/>
      <c r="K77" s="26"/>
      <c r="L77" s="26"/>
      <c r="M77" s="2"/>
      <c r="N77" s="26"/>
      <c r="O77" s="166">
        <v>12.999999999999986</v>
      </c>
      <c r="P77" s="166">
        <v>6.1296415927851206E-2</v>
      </c>
      <c r="Q77" s="166">
        <v>0.9387036303505113</v>
      </c>
      <c r="R77" s="166">
        <v>6.1296323371126379E-2</v>
      </c>
      <c r="S77" s="166">
        <v>4.6278362411639003E-8</v>
      </c>
      <c r="T77" s="166">
        <v>5.0857987232152105E-19</v>
      </c>
      <c r="U77" s="166"/>
      <c r="V77" s="166"/>
      <c r="W77" s="166"/>
      <c r="X77" s="551">
        <v>0.3032696874017477</v>
      </c>
      <c r="Y77" s="551"/>
      <c r="Z77" s="166"/>
      <c r="AA77" s="166"/>
      <c r="AB77" s="166"/>
      <c r="AC77" s="166"/>
      <c r="AD77" s="166"/>
      <c r="AE77" s="166"/>
      <c r="AF77" s="166"/>
      <c r="AG77" s="166"/>
      <c r="AH77" s="166"/>
      <c r="AI77" s="166"/>
      <c r="AJ77" s="166"/>
      <c r="AK77" s="166"/>
      <c r="AL77" s="166"/>
      <c r="AM77" s="166">
        <v>12.999999999999986</v>
      </c>
      <c r="AN77" s="166">
        <v>-2.7471324686481727E-2</v>
      </c>
      <c r="AO77" s="166">
        <v>-1.2125577240820047</v>
      </c>
      <c r="AP77" s="166">
        <v>-7.3345745329674594</v>
      </c>
      <c r="AQ77" s="166">
        <v>-18.293522398741693</v>
      </c>
      <c r="AR77" s="166"/>
      <c r="AS77" s="166"/>
      <c r="AT77" s="166"/>
      <c r="AU77" s="166">
        <v>-0.51816764175605601</v>
      </c>
      <c r="AV77" s="166"/>
      <c r="AW77" s="166">
        <v>12.999999999999986</v>
      </c>
      <c r="AX77" s="166"/>
      <c r="AY77" s="166"/>
      <c r="AZ77" s="166"/>
      <c r="BA77" s="166"/>
      <c r="BB77" s="166"/>
      <c r="BC77" s="166"/>
      <c r="BD77" s="166"/>
      <c r="BE77" s="166"/>
      <c r="BF77" s="166"/>
      <c r="BG77" s="166"/>
      <c r="BH77" s="166">
        <v>12.999999999999986</v>
      </c>
      <c r="BI77" s="166">
        <v>-2.9387035840721487</v>
      </c>
      <c r="BJ77" s="166"/>
      <c r="BK77" s="166"/>
      <c r="BL77" s="166"/>
      <c r="BM77" s="26"/>
      <c r="BN77" s="26"/>
    </row>
    <row r="78" spans="1:66">
      <c r="A78" s="26"/>
      <c r="B78" s="26"/>
      <c r="C78" s="26"/>
      <c r="D78" s="26"/>
      <c r="E78" s="26"/>
      <c r="F78" s="26"/>
      <c r="G78" s="26"/>
      <c r="H78" s="26"/>
      <c r="I78" s="26"/>
      <c r="J78" s="26"/>
      <c r="K78" s="26"/>
      <c r="L78" s="26"/>
      <c r="M78" s="2"/>
      <c r="N78" s="26"/>
      <c r="O78" s="166">
        <v>13.199999999999985</v>
      </c>
      <c r="P78" s="166">
        <v>3.9570526588397291E-2</v>
      </c>
      <c r="Q78" s="166">
        <v>0.96042949226175967</v>
      </c>
      <c r="R78" s="166">
        <v>3.9570488888083184E-2</v>
      </c>
      <c r="S78" s="166">
        <v>1.8850157052659E-8</v>
      </c>
      <c r="T78" s="166">
        <v>1.3070619095250562E-19</v>
      </c>
      <c r="U78" s="166"/>
      <c r="V78" s="166"/>
      <c r="W78" s="166"/>
      <c r="X78" s="551">
        <v>0.47452643184760263</v>
      </c>
      <c r="Y78" s="551"/>
      <c r="Z78" s="166"/>
      <c r="AA78" s="166"/>
      <c r="AB78" s="166"/>
      <c r="AC78" s="166"/>
      <c r="AD78" s="166"/>
      <c r="AE78" s="166"/>
      <c r="AF78" s="166"/>
      <c r="AG78" s="166"/>
      <c r="AH78" s="166"/>
      <c r="AI78" s="166"/>
      <c r="AJ78" s="166"/>
      <c r="AK78" s="166"/>
      <c r="AL78" s="166"/>
      <c r="AM78" s="166">
        <v>13.199999999999985</v>
      </c>
      <c r="AN78" s="166">
        <v>-1.7534398851584861E-2</v>
      </c>
      <c r="AO78" s="166">
        <v>-1.4026195034494042</v>
      </c>
      <c r="AP78" s="166">
        <v>-7.7246350175371541</v>
      </c>
      <c r="AQ78" s="166">
        <v>-18.883581588513689</v>
      </c>
      <c r="AR78" s="166"/>
      <c r="AS78" s="166"/>
      <c r="AT78" s="166"/>
      <c r="AU78" s="166">
        <v>-0.32373749581003769</v>
      </c>
      <c r="AV78" s="166"/>
      <c r="AW78" s="166">
        <v>13.199999999999985</v>
      </c>
      <c r="AX78" s="166"/>
      <c r="AY78" s="166"/>
      <c r="AZ78" s="166"/>
      <c r="BA78" s="166"/>
      <c r="BB78" s="166"/>
      <c r="BC78" s="166"/>
      <c r="BD78" s="166"/>
      <c r="BE78" s="166"/>
      <c r="BF78" s="166"/>
      <c r="BG78" s="166"/>
      <c r="BH78" s="166">
        <v>13.199999999999985</v>
      </c>
      <c r="BI78" s="166">
        <v>-2.9604294734116028</v>
      </c>
      <c r="BJ78" s="166"/>
      <c r="BK78" s="166"/>
      <c r="BL78" s="166"/>
      <c r="BM78" s="26"/>
      <c r="BN78" s="26"/>
    </row>
    <row r="79" spans="1:66">
      <c r="A79" s="26"/>
      <c r="B79" s="26"/>
      <c r="C79" s="26"/>
      <c r="D79" s="26"/>
      <c r="E79" s="26"/>
      <c r="F79" s="26"/>
      <c r="G79" s="26"/>
      <c r="H79" s="26"/>
      <c r="I79" s="26"/>
      <c r="J79" s="26"/>
      <c r="K79" s="26"/>
      <c r="L79" s="26"/>
      <c r="M79" s="2"/>
      <c r="N79" s="26"/>
      <c r="O79" s="166">
        <v>13.399999999999984</v>
      </c>
      <c r="P79" s="166">
        <v>2.5337311671560211E-2</v>
      </c>
      <c r="Q79" s="166">
        <v>0.97466269594403465</v>
      </c>
      <c r="R79" s="166">
        <v>2.5337296440370579E-2</v>
      </c>
      <c r="S79" s="166">
        <v>7.6155948164003231E-9</v>
      </c>
      <c r="T79" s="166">
        <v>3.3318467320124258E-20</v>
      </c>
      <c r="U79" s="166"/>
      <c r="V79" s="166"/>
      <c r="W79" s="166"/>
      <c r="X79" s="551">
        <v>0.74798220973199625</v>
      </c>
      <c r="Y79" s="551"/>
      <c r="Z79" s="166"/>
      <c r="AA79" s="166"/>
      <c r="AB79" s="166"/>
      <c r="AC79" s="166"/>
      <c r="AD79" s="166"/>
      <c r="AE79" s="166"/>
      <c r="AF79" s="166"/>
      <c r="AG79" s="166"/>
      <c r="AH79" s="166"/>
      <c r="AI79" s="166"/>
      <c r="AJ79" s="166"/>
      <c r="AK79" s="166"/>
      <c r="AL79" s="166"/>
      <c r="AM79" s="166">
        <v>13.399999999999984</v>
      </c>
      <c r="AN79" s="166">
        <v>-1.1145583565406543E-2</v>
      </c>
      <c r="AO79" s="166">
        <v>-1.5962293933655221</v>
      </c>
      <c r="AP79" s="166">
        <v>-8.1182436126555686</v>
      </c>
      <c r="AQ79" s="166">
        <v>-19.477188888834398</v>
      </c>
      <c r="AR79" s="166"/>
      <c r="AS79" s="166"/>
      <c r="AT79" s="166"/>
      <c r="AU79" s="166">
        <v>-0.12610791499663515</v>
      </c>
      <c r="AV79" s="166"/>
      <c r="AW79" s="166">
        <v>13.399999999999984</v>
      </c>
      <c r="AX79" s="166"/>
      <c r="AY79" s="166"/>
      <c r="AZ79" s="166"/>
      <c r="BA79" s="166"/>
      <c r="BB79" s="166"/>
      <c r="BC79" s="166"/>
      <c r="BD79" s="166"/>
      <c r="BE79" s="166"/>
      <c r="BF79" s="166"/>
      <c r="BG79" s="166"/>
      <c r="BH79" s="166">
        <v>13.399999999999984</v>
      </c>
      <c r="BI79" s="166">
        <v>-2.9746626883284399</v>
      </c>
      <c r="BJ79" s="166"/>
      <c r="BK79" s="166"/>
      <c r="BL79" s="166"/>
      <c r="BM79" s="26"/>
      <c r="BN79" s="26"/>
    </row>
    <row r="80" spans="1:66">
      <c r="A80" s="26"/>
      <c r="B80" s="26"/>
      <c r="C80" s="26"/>
      <c r="D80" s="26"/>
      <c r="E80" s="26"/>
      <c r="F80" s="26"/>
      <c r="G80" s="26"/>
      <c r="H80" s="26"/>
      <c r="I80" s="26"/>
      <c r="J80" s="26"/>
      <c r="K80" s="26"/>
      <c r="L80" s="26"/>
      <c r="M80" s="2"/>
      <c r="N80" s="26"/>
      <c r="O80" s="166">
        <v>13.599999999999984</v>
      </c>
      <c r="P80" s="166">
        <v>1.6137655257964671E-2</v>
      </c>
      <c r="Q80" s="166">
        <v>0.98386234780247495</v>
      </c>
      <c r="R80" s="166">
        <v>1.6137649137085288E-2</v>
      </c>
      <c r="S80" s="166">
        <v>3.0604396919013453E-9</v>
      </c>
      <c r="T80" s="166">
        <v>8.4482160455121434E-21</v>
      </c>
      <c r="U80" s="166"/>
      <c r="V80" s="166"/>
      <c r="W80" s="166"/>
      <c r="X80" s="551">
        <v>1.1827937293584514</v>
      </c>
      <c r="Y80" s="551"/>
      <c r="Z80" s="166"/>
      <c r="AA80" s="166"/>
      <c r="AB80" s="166"/>
      <c r="AC80" s="166"/>
      <c r="AD80" s="166"/>
      <c r="AE80" s="166"/>
      <c r="AF80" s="166"/>
      <c r="AG80" s="166"/>
      <c r="AH80" s="166"/>
      <c r="AI80" s="166"/>
      <c r="AJ80" s="166"/>
      <c r="AK80" s="166"/>
      <c r="AL80" s="166"/>
      <c r="AM80" s="166">
        <v>13.599999999999984</v>
      </c>
      <c r="AN80" s="166">
        <v>-7.0656137236618519E-3</v>
      </c>
      <c r="AO80" s="166">
        <v>-1.7921481287260734</v>
      </c>
      <c r="AP80" s="166">
        <v>-8.514161053218416</v>
      </c>
      <c r="AQ80" s="166"/>
      <c r="AR80" s="166"/>
      <c r="AS80" s="166"/>
      <c r="AT80" s="166"/>
      <c r="AU80" s="166">
        <v>7.2908541413623754E-2</v>
      </c>
      <c r="AV80" s="166"/>
      <c r="AW80" s="166">
        <v>13.599999999999984</v>
      </c>
      <c r="AX80" s="166"/>
      <c r="AY80" s="166"/>
      <c r="AZ80" s="166"/>
      <c r="BA80" s="166"/>
      <c r="BB80" s="166"/>
      <c r="BC80" s="166"/>
      <c r="BD80" s="166"/>
      <c r="BE80" s="166"/>
      <c r="BF80" s="166"/>
      <c r="BG80" s="166"/>
      <c r="BH80" s="166">
        <v>13.599999999999984</v>
      </c>
      <c r="BI80" s="166">
        <v>-2.9838623447420352</v>
      </c>
      <c r="BJ80" s="166"/>
      <c r="BK80" s="166"/>
      <c r="BL80" s="166"/>
      <c r="BM80" s="26"/>
      <c r="BN80" s="26"/>
    </row>
    <row r="81" spans="1:66">
      <c r="A81" s="26"/>
      <c r="B81" s="26"/>
      <c r="C81" s="26"/>
      <c r="D81" s="26"/>
      <c r="E81" s="26"/>
      <c r="F81" s="26"/>
      <c r="G81" s="26"/>
      <c r="H81" s="26"/>
      <c r="I81" s="26"/>
      <c r="J81" s="26"/>
      <c r="K81" s="26"/>
      <c r="L81" s="26"/>
      <c r="M81" s="2"/>
      <c r="N81" s="26"/>
      <c r="O81" s="166">
        <v>13.799999999999983</v>
      </c>
      <c r="P81" s="166">
        <v>1.0243173726719646E-2</v>
      </c>
      <c r="Q81" s="166">
        <v>0.98975682749896277</v>
      </c>
      <c r="R81" s="166">
        <v>1.0243171275354611E-2</v>
      </c>
      <c r="S81" s="166">
        <v>1.2256825174619056E-9</v>
      </c>
      <c r="T81" s="166">
        <v>2.1348097481124492E-21</v>
      </c>
      <c r="U81" s="166"/>
      <c r="V81" s="166"/>
      <c r="W81" s="166"/>
      <c r="X81" s="551">
        <v>1.8728718471547081</v>
      </c>
      <c r="Y81" s="551"/>
      <c r="Z81" s="166"/>
      <c r="AA81" s="166"/>
      <c r="AB81" s="166"/>
      <c r="AC81" s="166"/>
      <c r="AD81" s="166"/>
      <c r="AE81" s="166"/>
      <c r="AF81" s="166"/>
      <c r="AG81" s="166"/>
      <c r="AH81" s="166"/>
      <c r="AI81" s="166"/>
      <c r="AJ81" s="166"/>
      <c r="AK81" s="166"/>
      <c r="AL81" s="166"/>
      <c r="AM81" s="166">
        <v>13.799999999999983</v>
      </c>
      <c r="AN81" s="166">
        <v>-4.4714647850776111E-3</v>
      </c>
      <c r="AO81" s="166">
        <v>-1.9895526849897858</v>
      </c>
      <c r="AP81" s="166">
        <v>-8.9115643146844246</v>
      </c>
      <c r="AQ81" s="166"/>
      <c r="AR81" s="166"/>
      <c r="AS81" s="166"/>
      <c r="AT81" s="166"/>
      <c r="AU81" s="166">
        <v>0.27250629720940811</v>
      </c>
      <c r="AV81" s="166"/>
      <c r="AW81" s="166">
        <v>13.799999999999983</v>
      </c>
      <c r="AX81" s="166"/>
      <c r="AY81" s="166"/>
      <c r="AZ81" s="166"/>
      <c r="BA81" s="166"/>
      <c r="BB81" s="166"/>
      <c r="BC81" s="166"/>
      <c r="BD81" s="166"/>
      <c r="BE81" s="166"/>
      <c r="BF81" s="166"/>
      <c r="BG81" s="166"/>
      <c r="BH81" s="166">
        <v>13.799999999999983</v>
      </c>
      <c r="BI81" s="166">
        <v>-2.9897568262732803</v>
      </c>
      <c r="BJ81" s="166"/>
      <c r="BK81" s="166"/>
      <c r="BL81" s="166"/>
      <c r="BM81" s="26"/>
      <c r="BN81" s="26"/>
    </row>
    <row r="82" spans="1:66">
      <c r="A82" s="26"/>
      <c r="B82" s="26"/>
      <c r="C82" s="26"/>
      <c r="D82" s="26"/>
      <c r="E82" s="26"/>
      <c r="F82" s="26"/>
      <c r="G82" s="26"/>
      <c r="H82" s="26"/>
      <c r="I82" s="26"/>
      <c r="J82" s="26"/>
      <c r="K82" s="26"/>
      <c r="L82" s="26"/>
      <c r="M82" s="26"/>
      <c r="N82" s="26"/>
      <c r="O82" s="166">
        <v>13.999999999999982</v>
      </c>
      <c r="P82" s="166">
        <v>6.4875290717873058E-3</v>
      </c>
      <c r="Q82" s="166">
        <v>0.99351247141801713</v>
      </c>
      <c r="R82" s="166">
        <v>6.4875280921782219E-3</v>
      </c>
      <c r="S82" s="166">
        <v>4.8980454241557239E-10</v>
      </c>
      <c r="T82" s="166">
        <v>5.3827473286212253E-22</v>
      </c>
      <c r="U82" s="166"/>
      <c r="V82" s="166"/>
      <c r="W82" s="166"/>
      <c r="X82" s="551">
        <v>2.9671939901579969</v>
      </c>
      <c r="Y82" s="551"/>
      <c r="Z82" s="166"/>
      <c r="AA82" s="166"/>
      <c r="AB82" s="166"/>
      <c r="AC82" s="166"/>
      <c r="AD82" s="166"/>
      <c r="AE82" s="166"/>
      <c r="AF82" s="166"/>
      <c r="AG82" s="166"/>
      <c r="AH82" s="166"/>
      <c r="AI82" s="166"/>
      <c r="AJ82" s="166"/>
      <c r="AK82" s="166"/>
      <c r="AL82" s="166"/>
      <c r="AM82" s="166">
        <v>13.999999999999982</v>
      </c>
      <c r="AN82" s="166">
        <v>-2.8266585844067115E-3</v>
      </c>
      <c r="AO82" s="166">
        <v>-2.1879065839914111</v>
      </c>
      <c r="AP82" s="166">
        <v>-9.3099169188883462</v>
      </c>
      <c r="AQ82" s="166"/>
      <c r="AR82" s="166"/>
      <c r="AS82" s="166"/>
      <c r="AT82" s="166"/>
      <c r="AU82" s="166">
        <v>0.47234288272642883</v>
      </c>
      <c r="AV82" s="166"/>
      <c r="AW82" s="166">
        <v>13.999999999999982</v>
      </c>
      <c r="AX82" s="166"/>
      <c r="AY82" s="166"/>
      <c r="AZ82" s="166"/>
      <c r="BA82" s="166"/>
      <c r="BB82" s="166"/>
      <c r="BC82" s="166"/>
      <c r="BD82" s="166"/>
      <c r="BE82" s="166"/>
      <c r="BF82" s="166"/>
      <c r="BG82" s="166"/>
      <c r="BH82" s="166">
        <v>13.999999999999982</v>
      </c>
      <c r="BI82" s="166">
        <v>-2.9935124709282128</v>
      </c>
      <c r="BJ82" s="166"/>
      <c r="BK82" s="166"/>
      <c r="BL82" s="166"/>
      <c r="BM82" s="26"/>
      <c r="BN82" s="26"/>
    </row>
    <row r="83" spans="1:66">
      <c r="A83" s="26"/>
      <c r="B83" s="26"/>
      <c r="C83" s="26"/>
      <c r="D83" s="26"/>
      <c r="E83" s="26"/>
      <c r="F83" s="26"/>
      <c r="G83" s="26"/>
      <c r="H83" s="26"/>
      <c r="I83" s="26"/>
      <c r="J83" s="26"/>
      <c r="K83" s="26"/>
      <c r="L83" s="26"/>
      <c r="M83" s="26"/>
      <c r="N83" s="26"/>
      <c r="O83" s="166"/>
      <c r="P83" s="166"/>
      <c r="Q83" s="166"/>
      <c r="R83" s="166"/>
      <c r="S83" s="166"/>
      <c r="T83" s="166"/>
      <c r="U83" s="166"/>
      <c r="V83" s="166"/>
      <c r="W83" s="166"/>
      <c r="X83" s="551"/>
      <c r="Y83" s="551"/>
      <c r="Z83" s="166"/>
      <c r="AA83" s="166"/>
      <c r="AB83" s="166"/>
      <c r="AC83" s="166"/>
      <c r="AD83" s="166"/>
      <c r="AE83" s="166"/>
      <c r="AF83" s="166"/>
      <c r="AG83" s="166"/>
      <c r="AH83" s="166"/>
      <c r="AI83" s="166"/>
      <c r="AJ83" s="166"/>
      <c r="AK83" s="166"/>
      <c r="AL83" s="166"/>
      <c r="AM83" s="166"/>
      <c r="AN83" s="166"/>
      <c r="AO83" s="166"/>
      <c r="AP83" s="166"/>
      <c r="AQ83" s="166"/>
      <c r="AR83" s="166"/>
      <c r="AS83" s="166"/>
      <c r="AT83" s="166"/>
      <c r="AU83" s="166"/>
      <c r="AV83" s="166"/>
      <c r="AW83" s="166"/>
      <c r="AX83" s="166"/>
      <c r="AY83" s="166"/>
      <c r="AZ83" s="166"/>
      <c r="BA83" s="166"/>
      <c r="BB83" s="166"/>
      <c r="BC83" s="166"/>
      <c r="BD83" s="166"/>
      <c r="BE83" s="166"/>
      <c r="BF83" s="166"/>
      <c r="BG83" s="166"/>
      <c r="BH83" s="166"/>
      <c r="BI83" s="166"/>
      <c r="BJ83" s="166"/>
      <c r="BK83" s="166"/>
      <c r="BL83" s="166"/>
      <c r="BM83" s="26"/>
      <c r="BN83" s="26"/>
    </row>
    <row r="84" spans="1:66">
      <c r="A84" s="26"/>
      <c r="B84" s="26"/>
      <c r="C84" s="26"/>
      <c r="D84" s="26"/>
      <c r="E84" s="26"/>
      <c r="F84" s="26"/>
      <c r="G84" s="26"/>
      <c r="H84" s="26"/>
      <c r="I84" s="26"/>
      <c r="J84" s="26"/>
      <c r="K84" s="26"/>
      <c r="L84" s="26"/>
      <c r="M84" s="26"/>
      <c r="N84" s="26"/>
      <c r="O84" s="166"/>
      <c r="P84" s="166"/>
      <c r="Q84" s="166"/>
      <c r="R84" s="166"/>
      <c r="S84" s="166"/>
      <c r="T84" s="166"/>
      <c r="U84" s="166"/>
      <c r="V84" s="166"/>
      <c r="W84" s="166"/>
      <c r="X84" s="551"/>
      <c r="Y84" s="551"/>
      <c r="Z84" s="166"/>
      <c r="AA84" s="166"/>
      <c r="AB84" s="166"/>
      <c r="AC84" s="166"/>
      <c r="AD84" s="166"/>
      <c r="AE84" s="166"/>
      <c r="AF84" s="166"/>
      <c r="AG84" s="166"/>
      <c r="AH84" s="166"/>
      <c r="AI84" s="166"/>
      <c r="AJ84" s="166"/>
      <c r="AK84" s="166"/>
      <c r="AL84" s="166"/>
      <c r="AM84" s="166"/>
      <c r="AN84" s="166"/>
      <c r="AO84" s="166"/>
      <c r="AP84" s="166"/>
      <c r="AQ84" s="166"/>
      <c r="AR84" s="166"/>
      <c r="AS84" s="166"/>
      <c r="AT84" s="166"/>
      <c r="AU84" s="166"/>
      <c r="AV84" s="166"/>
      <c r="AW84" s="166"/>
      <c r="AX84" s="166"/>
      <c r="AY84" s="166"/>
      <c r="AZ84" s="166"/>
      <c r="BA84" s="166"/>
      <c r="BB84" s="166"/>
      <c r="BC84" s="166"/>
      <c r="BD84" s="166"/>
      <c r="BE84" s="166"/>
      <c r="BF84" s="166"/>
      <c r="BG84" s="166"/>
      <c r="BH84" s="166"/>
      <c r="BI84" s="166"/>
      <c r="BJ84" s="166"/>
      <c r="BK84" s="166"/>
      <c r="BL84" s="166"/>
      <c r="BM84" s="26"/>
      <c r="BN84" s="26"/>
    </row>
    <row r="85" spans="1:66">
      <c r="A85" s="26"/>
      <c r="B85" s="26"/>
      <c r="C85" s="26"/>
      <c r="D85" s="26"/>
      <c r="E85" s="26"/>
      <c r="F85" s="26"/>
      <c r="G85" s="26"/>
      <c r="H85" s="26"/>
      <c r="I85" s="26"/>
      <c r="J85" s="26"/>
      <c r="K85" s="26"/>
      <c r="L85" s="26"/>
      <c r="M85" s="26"/>
      <c r="N85" s="26"/>
      <c r="O85" s="166"/>
      <c r="P85" s="166"/>
      <c r="Q85" s="166"/>
      <c r="R85" s="166"/>
      <c r="S85" s="166"/>
      <c r="T85" s="166"/>
      <c r="U85" s="166"/>
      <c r="V85" s="166"/>
      <c r="W85" s="166"/>
      <c r="X85" s="551"/>
      <c r="Y85" s="551"/>
      <c r="Z85" s="166"/>
      <c r="AA85" s="166"/>
      <c r="AB85" s="166"/>
      <c r="AC85" s="166"/>
      <c r="AD85" s="166"/>
      <c r="AE85" s="166"/>
      <c r="AF85" s="166"/>
      <c r="AG85" s="166"/>
      <c r="AH85" s="166"/>
      <c r="AI85" s="166"/>
      <c r="AJ85" s="166"/>
      <c r="AK85" s="166"/>
      <c r="AL85" s="166"/>
      <c r="AM85" s="166"/>
      <c r="AN85" s="166"/>
      <c r="AO85" s="166"/>
      <c r="AP85" s="166"/>
      <c r="AQ85" s="166"/>
      <c r="AR85" s="166"/>
      <c r="AS85" s="166"/>
      <c r="AT85" s="166"/>
      <c r="AU85" s="166"/>
      <c r="AV85" s="166"/>
      <c r="AW85" s="166"/>
      <c r="AX85" s="166"/>
      <c r="AY85" s="166"/>
      <c r="AZ85" s="166"/>
      <c r="BA85" s="166"/>
      <c r="BB85" s="166"/>
      <c r="BC85" s="166"/>
      <c r="BD85" s="166"/>
      <c r="BE85" s="166"/>
      <c r="BF85" s="166"/>
      <c r="BG85" s="166"/>
      <c r="BH85" s="166"/>
      <c r="BI85" s="166"/>
      <c r="BJ85" s="166"/>
      <c r="BK85" s="166"/>
      <c r="BL85" s="166"/>
      <c r="BM85" s="26"/>
      <c r="BN85" s="26"/>
    </row>
    <row r="86" spans="1:66">
      <c r="A86" s="26"/>
      <c r="B86" s="26"/>
      <c r="C86" s="26"/>
      <c r="D86" s="26"/>
      <c r="E86" s="26"/>
      <c r="F86" s="26"/>
      <c r="G86" s="26"/>
      <c r="H86" s="26"/>
      <c r="I86" s="26"/>
      <c r="J86" s="26"/>
      <c r="K86" s="26"/>
      <c r="L86" s="26"/>
      <c r="M86" s="26"/>
      <c r="N86" s="26"/>
      <c r="O86" s="166"/>
      <c r="P86" s="166"/>
      <c r="Q86" s="166"/>
      <c r="R86" s="166"/>
      <c r="S86" s="166"/>
      <c r="T86" s="166"/>
      <c r="U86" s="166"/>
      <c r="V86" s="166"/>
      <c r="W86" s="166"/>
      <c r="X86" s="551"/>
      <c r="Y86" s="551"/>
      <c r="Z86" s="166"/>
      <c r="AA86" s="166"/>
      <c r="AB86" s="166"/>
      <c r="AC86" s="166"/>
      <c r="AD86" s="166"/>
      <c r="AE86" s="166"/>
      <c r="AF86" s="166"/>
      <c r="AG86" s="166"/>
      <c r="AH86" s="166"/>
      <c r="AI86" s="166"/>
      <c r="AJ86" s="166"/>
      <c r="AK86" s="166"/>
      <c r="AL86" s="166"/>
      <c r="AM86" s="166"/>
      <c r="AN86" s="166"/>
      <c r="AO86" s="166"/>
      <c r="AP86" s="166"/>
      <c r="AQ86" s="166"/>
      <c r="AR86" s="166"/>
      <c r="AS86" s="166"/>
      <c r="AT86" s="166"/>
      <c r="AU86" s="166"/>
      <c r="AV86" s="166"/>
      <c r="AW86" s="166"/>
      <c r="AX86" s="166"/>
      <c r="AY86" s="166"/>
      <c r="AZ86" s="166"/>
      <c r="BA86" s="166"/>
      <c r="BB86" s="166"/>
      <c r="BC86" s="166"/>
      <c r="BD86" s="166"/>
      <c r="BE86" s="166"/>
      <c r="BF86" s="166"/>
      <c r="BG86" s="166"/>
      <c r="BH86" s="166"/>
      <c r="BI86" s="166"/>
      <c r="BJ86" s="166"/>
      <c r="BK86" s="166"/>
      <c r="BL86" s="166"/>
      <c r="BM86" s="26"/>
      <c r="BN86" s="26"/>
    </row>
    <row r="87" spans="1:66">
      <c r="A87" s="26"/>
      <c r="B87" s="26"/>
      <c r="C87" s="26"/>
      <c r="D87" s="26"/>
      <c r="E87" s="26"/>
      <c r="F87" s="26"/>
      <c r="G87" s="26"/>
      <c r="H87" s="26"/>
      <c r="I87" s="26"/>
      <c r="J87" s="26"/>
      <c r="K87" s="26"/>
      <c r="L87" s="26"/>
      <c r="M87" s="26"/>
      <c r="N87" s="26"/>
      <c r="O87" s="166"/>
      <c r="P87" s="166"/>
      <c r="Q87" s="166"/>
      <c r="R87" s="166"/>
      <c r="S87" s="166"/>
      <c r="T87" s="166"/>
      <c r="U87" s="166"/>
      <c r="V87" s="166"/>
      <c r="W87" s="166"/>
      <c r="X87" s="551"/>
      <c r="Y87" s="551"/>
      <c r="Z87" s="166"/>
      <c r="AA87" s="166"/>
      <c r="AB87" s="166"/>
      <c r="AC87" s="166"/>
      <c r="AD87" s="166"/>
      <c r="AE87" s="166"/>
      <c r="AF87" s="166"/>
      <c r="AG87" s="166"/>
      <c r="AH87" s="166"/>
      <c r="AI87" s="166"/>
      <c r="AJ87" s="166"/>
      <c r="AK87" s="166"/>
      <c r="AL87" s="166"/>
      <c r="AM87" s="166"/>
      <c r="AN87" s="166"/>
      <c r="AO87" s="166"/>
      <c r="AP87" s="166"/>
      <c r="AQ87" s="166"/>
      <c r="AR87" s="166"/>
      <c r="AS87" s="166"/>
      <c r="AT87" s="166"/>
      <c r="AU87" s="166"/>
      <c r="AV87" s="166"/>
      <c r="AW87" s="166"/>
      <c r="AX87" s="166"/>
      <c r="AY87" s="166"/>
      <c r="AZ87" s="166"/>
      <c r="BA87" s="166"/>
      <c r="BB87" s="166"/>
      <c r="BC87" s="166"/>
      <c r="BD87" s="166"/>
      <c r="BE87" s="166"/>
      <c r="BF87" s="166"/>
      <c r="BG87" s="166"/>
      <c r="BH87" s="166"/>
      <c r="BI87" s="166"/>
      <c r="BJ87" s="166"/>
      <c r="BK87" s="166"/>
      <c r="BL87" s="166"/>
      <c r="BM87" s="26"/>
      <c r="BN87" s="26"/>
    </row>
    <row r="88" spans="1:66">
      <c r="A88" s="26"/>
      <c r="B88" s="26"/>
      <c r="C88" s="26"/>
      <c r="D88" s="26"/>
      <c r="E88" s="26"/>
      <c r="F88" s="26"/>
      <c r="G88" s="26"/>
      <c r="H88" s="26"/>
      <c r="I88" s="26"/>
      <c r="J88" s="26"/>
      <c r="K88" s="26"/>
      <c r="L88" s="26"/>
      <c r="M88" s="26"/>
      <c r="N88" s="26"/>
      <c r="O88" s="166"/>
      <c r="P88" s="166"/>
      <c r="Q88" s="166"/>
      <c r="R88" s="166"/>
      <c r="S88" s="166"/>
      <c r="T88" s="166"/>
      <c r="U88" s="166"/>
      <c r="V88" s="166"/>
      <c r="W88" s="166"/>
      <c r="X88" s="551"/>
      <c r="Y88" s="551"/>
      <c r="Z88" s="166"/>
      <c r="AA88" s="166"/>
      <c r="AB88" s="166"/>
      <c r="AC88" s="166"/>
      <c r="AD88" s="166"/>
      <c r="AE88" s="166"/>
      <c r="AF88" s="166"/>
      <c r="AG88" s="166"/>
      <c r="AH88" s="166"/>
      <c r="AI88" s="166"/>
      <c r="AJ88" s="166"/>
      <c r="AK88" s="166"/>
      <c r="AL88" s="166"/>
      <c r="AM88" s="166"/>
      <c r="AN88" s="166"/>
      <c r="AO88" s="166"/>
      <c r="AP88" s="166"/>
      <c r="AQ88" s="166"/>
      <c r="AR88" s="166"/>
      <c r="AS88" s="166"/>
      <c r="AT88" s="166"/>
      <c r="AU88" s="166"/>
      <c r="AV88" s="166"/>
      <c r="AW88" s="166"/>
      <c r="AX88" s="166"/>
      <c r="AY88" s="166"/>
      <c r="AZ88" s="166"/>
      <c r="BA88" s="166"/>
      <c r="BB88" s="166"/>
      <c r="BC88" s="166"/>
      <c r="BD88" s="166"/>
      <c r="BE88" s="166"/>
      <c r="BF88" s="166"/>
      <c r="BG88" s="166"/>
      <c r="BH88" s="166"/>
      <c r="BI88" s="166"/>
      <c r="BJ88" s="166"/>
      <c r="BK88" s="166"/>
      <c r="BL88" s="166"/>
      <c r="BM88" s="26"/>
      <c r="BN88" s="26"/>
    </row>
    <row r="89" spans="1:66">
      <c r="A89" s="26"/>
      <c r="B89" s="26"/>
      <c r="C89" s="26"/>
      <c r="D89" s="26"/>
      <c r="E89" s="26"/>
      <c r="F89" s="26"/>
      <c r="G89" s="26"/>
      <c r="H89" s="26"/>
      <c r="I89" s="26"/>
      <c r="J89" s="26"/>
      <c r="K89" s="26"/>
      <c r="L89" s="26"/>
      <c r="M89" s="26"/>
      <c r="N89" s="26"/>
      <c r="O89" s="166"/>
      <c r="P89" s="166"/>
      <c r="Q89" s="166"/>
      <c r="R89" s="166"/>
      <c r="S89" s="166"/>
      <c r="T89" s="166"/>
      <c r="U89" s="166"/>
      <c r="V89" s="166"/>
      <c r="W89" s="166"/>
      <c r="X89" s="551"/>
      <c r="Y89" s="551"/>
      <c r="Z89" s="166"/>
      <c r="AA89" s="166"/>
      <c r="AB89" s="166"/>
      <c r="AC89" s="166"/>
      <c r="AD89" s="166"/>
      <c r="AE89" s="166"/>
      <c r="AF89" s="166"/>
      <c r="AG89" s="166"/>
      <c r="AH89" s="166"/>
      <c r="AI89" s="166"/>
      <c r="AJ89" s="166"/>
      <c r="AK89" s="166"/>
      <c r="AL89" s="166"/>
      <c r="AM89" s="166"/>
      <c r="AN89" s="166"/>
      <c r="AO89" s="166"/>
      <c r="AP89" s="166"/>
      <c r="AQ89" s="166"/>
      <c r="AR89" s="166"/>
      <c r="AS89" s="166"/>
      <c r="AT89" s="166"/>
      <c r="AU89" s="166"/>
      <c r="AV89" s="166"/>
      <c r="AW89" s="166"/>
      <c r="AX89" s="166"/>
      <c r="AY89" s="166"/>
      <c r="AZ89" s="166"/>
      <c r="BA89" s="166"/>
      <c r="BB89" s="166"/>
      <c r="BC89" s="166"/>
      <c r="BD89" s="166"/>
      <c r="BE89" s="166"/>
      <c r="BF89" s="166"/>
      <c r="BG89" s="166"/>
      <c r="BH89" s="166"/>
      <c r="BI89" s="166"/>
      <c r="BJ89" s="166"/>
      <c r="BK89" s="166"/>
      <c r="BL89" s="166"/>
      <c r="BM89" s="26"/>
      <c r="BN89" s="26"/>
    </row>
    <row r="90" spans="1:66">
      <c r="A90" s="26"/>
      <c r="B90" s="26"/>
      <c r="C90" s="26"/>
      <c r="D90" s="26"/>
      <c r="E90" s="26"/>
      <c r="F90" s="26"/>
      <c r="G90" s="26"/>
      <c r="H90" s="26"/>
      <c r="I90" s="26"/>
      <c r="J90" s="26"/>
      <c r="K90" s="26"/>
      <c r="L90" s="26"/>
      <c r="M90" s="26"/>
      <c r="N90" s="26"/>
      <c r="O90" s="166"/>
      <c r="P90" s="166"/>
      <c r="Q90" s="166"/>
      <c r="R90" s="166"/>
      <c r="S90" s="166"/>
      <c r="T90" s="166"/>
      <c r="U90" s="166"/>
      <c r="V90" s="166"/>
      <c r="W90" s="166"/>
      <c r="X90" s="551"/>
      <c r="Y90" s="551"/>
      <c r="Z90" s="166"/>
      <c r="AA90" s="166"/>
      <c r="AB90" s="166"/>
      <c r="AC90" s="166"/>
      <c r="AD90" s="166"/>
      <c r="AE90" s="166"/>
      <c r="AF90" s="166"/>
      <c r="AG90" s="166"/>
      <c r="AH90" s="166"/>
      <c r="AI90" s="166"/>
      <c r="AJ90" s="166"/>
      <c r="AK90" s="166"/>
      <c r="AL90" s="166"/>
      <c r="AM90" s="166"/>
      <c r="AN90" s="166"/>
      <c r="AO90" s="166"/>
      <c r="AP90" s="166"/>
      <c r="AQ90" s="166"/>
      <c r="AR90" s="166"/>
      <c r="AS90" s="166"/>
      <c r="AT90" s="166"/>
      <c r="AU90" s="166"/>
      <c r="AV90" s="166"/>
      <c r="AW90" s="166"/>
      <c r="AX90" s="166"/>
      <c r="AY90" s="166"/>
      <c r="AZ90" s="166"/>
      <c r="BA90" s="166"/>
      <c r="BB90" s="166"/>
      <c r="BC90" s="166"/>
      <c r="BD90" s="166"/>
      <c r="BE90" s="166"/>
      <c r="BF90" s="166"/>
      <c r="BG90" s="166"/>
      <c r="BH90" s="166"/>
      <c r="BI90" s="166"/>
      <c r="BJ90" s="166"/>
      <c r="BK90" s="166"/>
      <c r="BL90" s="166"/>
      <c r="BM90" s="26"/>
      <c r="BN90" s="26"/>
    </row>
    <row r="91" spans="1:66">
      <c r="A91" s="26"/>
      <c r="B91" s="26"/>
      <c r="C91" s="26"/>
      <c r="D91" s="26"/>
      <c r="E91" s="26"/>
      <c r="F91" s="26"/>
      <c r="G91" s="26"/>
      <c r="H91" s="26"/>
      <c r="I91" s="26"/>
      <c r="J91" s="26"/>
      <c r="K91" s="26"/>
      <c r="L91" s="26"/>
      <c r="M91" s="26"/>
      <c r="N91" s="26"/>
      <c r="O91" s="166"/>
      <c r="P91" s="166"/>
      <c r="Q91" s="166"/>
      <c r="R91" s="166"/>
      <c r="S91" s="166"/>
      <c r="T91" s="166"/>
      <c r="U91" s="166"/>
      <c r="V91" s="166"/>
      <c r="W91" s="166"/>
      <c r="X91" s="551"/>
      <c r="Y91" s="551"/>
      <c r="Z91" s="166"/>
      <c r="AA91" s="166"/>
      <c r="AB91" s="166"/>
      <c r="AC91" s="166"/>
      <c r="AD91" s="166"/>
      <c r="AE91" s="166"/>
      <c r="AF91" s="166"/>
      <c r="AG91" s="166"/>
      <c r="AH91" s="166"/>
      <c r="AI91" s="166"/>
      <c r="AJ91" s="166"/>
      <c r="AK91" s="166"/>
      <c r="AL91" s="166"/>
      <c r="AM91" s="166"/>
      <c r="AN91" s="166"/>
      <c r="AO91" s="166"/>
      <c r="AP91" s="166"/>
      <c r="AQ91" s="166"/>
      <c r="AR91" s="166"/>
      <c r="AS91" s="166"/>
      <c r="AT91" s="166"/>
      <c r="AU91" s="166"/>
      <c r="AV91" s="166"/>
      <c r="AW91" s="166"/>
      <c r="AX91" s="166"/>
      <c r="AY91" s="166"/>
      <c r="AZ91" s="166"/>
      <c r="BA91" s="166"/>
      <c r="BB91" s="166"/>
      <c r="BC91" s="166"/>
      <c r="BD91" s="166"/>
      <c r="BE91" s="166"/>
      <c r="BF91" s="166"/>
      <c r="BG91" s="166"/>
      <c r="BH91" s="166"/>
      <c r="BI91" s="166"/>
      <c r="BJ91" s="166"/>
      <c r="BK91" s="166"/>
      <c r="BL91" s="166"/>
      <c r="BM91" s="26"/>
      <c r="BN91" s="26"/>
    </row>
    <row r="92" spans="1:66">
      <c r="A92" s="26"/>
      <c r="B92" s="26"/>
      <c r="C92" s="26"/>
      <c r="D92" s="26"/>
      <c r="E92" s="26"/>
      <c r="F92" s="26"/>
      <c r="G92" s="26"/>
      <c r="H92" s="26"/>
      <c r="I92" s="26"/>
      <c r="J92" s="26"/>
      <c r="K92" s="26"/>
      <c r="L92" s="26"/>
      <c r="M92" s="26"/>
      <c r="N92" s="26"/>
      <c r="O92" s="166"/>
      <c r="P92" s="166"/>
      <c r="Q92" s="166"/>
      <c r="R92" s="166"/>
      <c r="S92" s="166"/>
      <c r="T92" s="166"/>
      <c r="U92" s="166"/>
      <c r="V92" s="166"/>
      <c r="W92" s="166"/>
      <c r="X92" s="551"/>
      <c r="Y92" s="551"/>
      <c r="Z92" s="166"/>
      <c r="AA92" s="166"/>
      <c r="AB92" s="166"/>
      <c r="AC92" s="166"/>
      <c r="AD92" s="166"/>
      <c r="AE92" s="166"/>
      <c r="AF92" s="166"/>
      <c r="AG92" s="166"/>
      <c r="AH92" s="166"/>
      <c r="AI92" s="166"/>
      <c r="AJ92" s="166"/>
      <c r="AK92" s="166"/>
      <c r="AL92" s="166"/>
      <c r="AM92" s="166"/>
      <c r="AN92" s="166"/>
      <c r="AO92" s="166"/>
      <c r="AP92" s="166"/>
      <c r="AQ92" s="166"/>
      <c r="AR92" s="166"/>
      <c r="AS92" s="166"/>
      <c r="AT92" s="166"/>
      <c r="AU92" s="166"/>
      <c r="AV92" s="166"/>
      <c r="AW92" s="166"/>
      <c r="AX92" s="166"/>
      <c r="AY92" s="166"/>
      <c r="AZ92" s="166"/>
      <c r="BA92" s="166"/>
      <c r="BB92" s="166"/>
      <c r="BC92" s="166"/>
      <c r="BD92" s="166"/>
      <c r="BE92" s="166"/>
      <c r="BF92" s="166"/>
      <c r="BG92" s="166"/>
      <c r="BH92" s="166"/>
      <c r="BI92" s="166"/>
      <c r="BJ92" s="166"/>
      <c r="BK92" s="166"/>
      <c r="BL92" s="166"/>
      <c r="BM92" s="26"/>
      <c r="BN92" s="26"/>
    </row>
    <row r="93" spans="1:66">
      <c r="A93" s="26"/>
      <c r="B93" s="26"/>
      <c r="C93" s="26"/>
      <c r="D93" s="26"/>
      <c r="E93" s="26"/>
      <c r="F93" s="26"/>
      <c r="G93" s="26"/>
      <c r="H93" s="26"/>
      <c r="I93" s="26"/>
      <c r="J93" s="26"/>
      <c r="K93" s="26"/>
      <c r="L93" s="26"/>
      <c r="M93" s="26"/>
      <c r="N93" s="26"/>
      <c r="O93" s="166"/>
      <c r="P93" s="166"/>
      <c r="Q93" s="166"/>
      <c r="R93" s="166"/>
      <c r="S93" s="166"/>
      <c r="T93" s="166"/>
      <c r="U93" s="166"/>
      <c r="V93" s="166"/>
      <c r="W93" s="166"/>
      <c r="X93" s="551"/>
      <c r="Y93" s="551"/>
      <c r="Z93" s="166"/>
      <c r="AA93" s="166"/>
      <c r="AB93" s="166"/>
      <c r="AC93" s="166"/>
      <c r="AD93" s="166"/>
      <c r="AE93" s="166"/>
      <c r="AF93" s="166"/>
      <c r="AG93" s="166"/>
      <c r="AH93" s="166"/>
      <c r="AI93" s="166"/>
      <c r="AJ93" s="166"/>
      <c r="AK93" s="166"/>
      <c r="AL93" s="166"/>
      <c r="AM93" s="166"/>
      <c r="AN93" s="166"/>
      <c r="AO93" s="166"/>
      <c r="AP93" s="166"/>
      <c r="AQ93" s="166"/>
      <c r="AR93" s="166"/>
      <c r="AS93" s="166"/>
      <c r="AT93" s="166"/>
      <c r="AU93" s="166"/>
      <c r="AV93" s="166"/>
      <c r="AW93" s="166"/>
      <c r="AX93" s="166"/>
      <c r="AY93" s="166"/>
      <c r="AZ93" s="166"/>
      <c r="BA93" s="166"/>
      <c r="BB93" s="166"/>
      <c r="BC93" s="166"/>
      <c r="BD93" s="166"/>
      <c r="BE93" s="166"/>
      <c r="BF93" s="166"/>
      <c r="BG93" s="166"/>
      <c r="BH93" s="166"/>
      <c r="BI93" s="166"/>
      <c r="BJ93" s="166"/>
      <c r="BK93" s="166"/>
      <c r="BL93" s="166"/>
      <c r="BM93" s="26"/>
      <c r="BN93" s="26"/>
    </row>
    <row r="94" spans="1:66">
      <c r="A94" s="26"/>
      <c r="B94" s="26"/>
      <c r="C94" s="26"/>
      <c r="D94" s="26"/>
      <c r="E94" s="26"/>
      <c r="F94" s="26"/>
      <c r="G94" s="26"/>
      <c r="H94" s="26"/>
      <c r="I94" s="26"/>
      <c r="J94" s="26"/>
      <c r="K94" s="26"/>
      <c r="L94" s="26"/>
      <c r="M94" s="26"/>
      <c r="N94" s="26"/>
      <c r="O94" s="166"/>
      <c r="P94" s="166"/>
      <c r="Q94" s="166"/>
      <c r="R94" s="166"/>
      <c r="S94" s="166"/>
      <c r="T94" s="166"/>
      <c r="U94" s="166"/>
      <c r="V94" s="166"/>
      <c r="W94" s="166"/>
      <c r="X94" s="551"/>
      <c r="Y94" s="551"/>
      <c r="Z94" s="166"/>
      <c r="AA94" s="166"/>
      <c r="AB94" s="166"/>
      <c r="AC94" s="166"/>
      <c r="AD94" s="166"/>
      <c r="AE94" s="166"/>
      <c r="AF94" s="166"/>
      <c r="AG94" s="166"/>
      <c r="AH94" s="166"/>
      <c r="AI94" s="166"/>
      <c r="AJ94" s="166"/>
      <c r="AK94" s="166"/>
      <c r="AL94" s="166"/>
      <c r="AM94" s="166"/>
      <c r="AN94" s="166"/>
      <c r="AO94" s="166"/>
      <c r="AP94" s="166"/>
      <c r="AQ94" s="166"/>
      <c r="AR94" s="166"/>
      <c r="AS94" s="166"/>
      <c r="AT94" s="166"/>
      <c r="AU94" s="166"/>
      <c r="AV94" s="166"/>
      <c r="AW94" s="166"/>
      <c r="AX94" s="166"/>
      <c r="AY94" s="166"/>
      <c r="AZ94" s="166"/>
      <c r="BA94" s="166"/>
      <c r="BB94" s="166"/>
      <c r="BC94" s="166"/>
      <c r="BD94" s="166"/>
      <c r="BE94" s="166"/>
      <c r="BF94" s="166"/>
      <c r="BG94" s="166"/>
      <c r="BH94" s="166"/>
      <c r="BI94" s="166"/>
      <c r="BJ94" s="166"/>
      <c r="BK94" s="166"/>
      <c r="BL94" s="166"/>
      <c r="BM94" s="26"/>
      <c r="BN94" s="26"/>
    </row>
    <row r="95" spans="1:66">
      <c r="A95" s="26"/>
      <c r="B95" s="26"/>
      <c r="C95" s="26"/>
      <c r="D95" s="26"/>
      <c r="E95" s="26"/>
      <c r="F95" s="26"/>
      <c r="G95" s="26"/>
      <c r="H95" s="26"/>
      <c r="I95" s="26"/>
      <c r="J95" s="26"/>
      <c r="K95" s="26"/>
      <c r="L95" s="26"/>
      <c r="M95" s="26"/>
      <c r="N95" s="26"/>
      <c r="O95" s="166"/>
      <c r="P95" s="166"/>
      <c r="Q95" s="166"/>
      <c r="R95" s="166"/>
      <c r="S95" s="166"/>
      <c r="T95" s="166"/>
      <c r="U95" s="166"/>
      <c r="V95" s="166"/>
      <c r="W95" s="166"/>
      <c r="X95" s="551"/>
      <c r="Y95" s="551"/>
      <c r="Z95" s="166"/>
      <c r="AA95" s="166"/>
      <c r="AB95" s="166"/>
      <c r="AC95" s="166"/>
      <c r="AD95" s="166"/>
      <c r="AE95" s="166"/>
      <c r="AF95" s="166"/>
      <c r="AG95" s="166"/>
      <c r="AH95" s="166"/>
      <c r="AI95" s="166"/>
      <c r="AJ95" s="166"/>
      <c r="AK95" s="166"/>
      <c r="AL95" s="166"/>
      <c r="AM95" s="166"/>
      <c r="AN95" s="166"/>
      <c r="AO95" s="166"/>
      <c r="AP95" s="166"/>
      <c r="AQ95" s="166"/>
      <c r="AR95" s="166"/>
      <c r="AS95" s="166"/>
      <c r="AT95" s="166"/>
      <c r="AU95" s="166"/>
      <c r="AV95" s="166"/>
      <c r="AW95" s="166"/>
      <c r="AX95" s="166"/>
      <c r="AY95" s="166"/>
      <c r="AZ95" s="166"/>
      <c r="BA95" s="166"/>
      <c r="BB95" s="166"/>
      <c r="BC95" s="166"/>
      <c r="BD95" s="166"/>
      <c r="BE95" s="166"/>
      <c r="BF95" s="166"/>
      <c r="BG95" s="166"/>
      <c r="BH95" s="166"/>
      <c r="BI95" s="166"/>
      <c r="BJ95" s="166"/>
      <c r="BK95" s="166"/>
      <c r="BL95" s="166"/>
      <c r="BM95" s="26"/>
      <c r="BN95" s="26"/>
    </row>
    <row r="96" spans="1:66">
      <c r="A96" s="26"/>
      <c r="B96" s="26"/>
      <c r="C96" s="26"/>
      <c r="D96" s="26"/>
      <c r="E96" s="26"/>
      <c r="F96" s="26"/>
      <c r="G96" s="26"/>
      <c r="H96" s="26"/>
      <c r="I96" s="26"/>
      <c r="J96" s="26"/>
      <c r="K96" s="26"/>
      <c r="L96" s="26"/>
      <c r="M96" s="26"/>
      <c r="N96" s="26"/>
      <c r="O96" s="166"/>
      <c r="P96" s="166"/>
      <c r="Q96" s="166"/>
      <c r="R96" s="166"/>
      <c r="S96" s="166"/>
      <c r="T96" s="166"/>
      <c r="U96" s="166"/>
      <c r="V96" s="166"/>
      <c r="W96" s="166"/>
      <c r="X96" s="551"/>
      <c r="Y96" s="551"/>
      <c r="Z96" s="166"/>
      <c r="AA96" s="166"/>
      <c r="AB96" s="166"/>
      <c r="AC96" s="166"/>
      <c r="AD96" s="166"/>
      <c r="AE96" s="166"/>
      <c r="AF96" s="166"/>
      <c r="AG96" s="166"/>
      <c r="AH96" s="166"/>
      <c r="AI96" s="166"/>
      <c r="AJ96" s="166"/>
      <c r="AK96" s="166"/>
      <c r="AL96" s="166"/>
      <c r="AM96" s="166"/>
      <c r="AN96" s="166"/>
      <c r="AO96" s="166"/>
      <c r="AP96" s="166"/>
      <c r="AQ96" s="166"/>
      <c r="AR96" s="166"/>
      <c r="AS96" s="166"/>
      <c r="AT96" s="166"/>
      <c r="AU96" s="166"/>
      <c r="AV96" s="166"/>
      <c r="AW96" s="166"/>
      <c r="AX96" s="166"/>
      <c r="AY96" s="166"/>
      <c r="AZ96" s="166"/>
      <c r="BA96" s="166"/>
      <c r="BB96" s="166"/>
      <c r="BC96" s="166"/>
      <c r="BD96" s="166"/>
      <c r="BE96" s="166"/>
      <c r="BF96" s="166"/>
      <c r="BG96" s="166"/>
      <c r="BH96" s="166"/>
      <c r="BI96" s="166"/>
      <c r="BJ96" s="166"/>
      <c r="BK96" s="166"/>
      <c r="BL96" s="166"/>
      <c r="BM96" s="26"/>
      <c r="BN96" s="26"/>
    </row>
    <row r="97" spans="1:66">
      <c r="A97" s="26"/>
      <c r="B97" s="26"/>
      <c r="C97" s="26"/>
      <c r="D97" s="26"/>
      <c r="E97" s="26"/>
      <c r="F97" s="26"/>
      <c r="G97" s="26"/>
      <c r="H97" s="26"/>
      <c r="I97" s="26"/>
      <c r="J97" s="26"/>
      <c r="K97" s="26"/>
      <c r="L97" s="26"/>
      <c r="M97" s="26"/>
      <c r="N97" s="26"/>
      <c r="O97" s="166"/>
      <c r="P97" s="166"/>
      <c r="Q97" s="166"/>
      <c r="R97" s="166"/>
      <c r="S97" s="166"/>
      <c r="T97" s="166"/>
      <c r="U97" s="166"/>
      <c r="V97" s="166"/>
      <c r="W97" s="166"/>
      <c r="X97" s="551"/>
      <c r="Y97" s="551"/>
      <c r="Z97" s="166"/>
      <c r="AA97" s="166"/>
      <c r="AB97" s="166"/>
      <c r="AC97" s="166"/>
      <c r="AD97" s="166"/>
      <c r="AE97" s="166"/>
      <c r="AF97" s="166"/>
      <c r="AG97" s="166"/>
      <c r="AH97" s="166"/>
      <c r="AI97" s="166"/>
      <c r="AJ97" s="166"/>
      <c r="AK97" s="166"/>
      <c r="AL97" s="166"/>
      <c r="AM97" s="166"/>
      <c r="AN97" s="166"/>
      <c r="AO97" s="166"/>
      <c r="AP97" s="166"/>
      <c r="AQ97" s="166"/>
      <c r="AR97" s="166"/>
      <c r="AS97" s="166"/>
      <c r="AT97" s="166"/>
      <c r="AU97" s="166"/>
      <c r="AV97" s="166"/>
      <c r="AW97" s="166"/>
      <c r="AX97" s="166"/>
      <c r="AY97" s="166"/>
      <c r="AZ97" s="166"/>
      <c r="BA97" s="166"/>
      <c r="BB97" s="166"/>
      <c r="BC97" s="166"/>
      <c r="BD97" s="166"/>
      <c r="BE97" s="166"/>
      <c r="BF97" s="166"/>
      <c r="BG97" s="166"/>
      <c r="BH97" s="166"/>
      <c r="BI97" s="166"/>
      <c r="BJ97" s="166"/>
      <c r="BK97" s="166"/>
      <c r="BL97" s="166"/>
      <c r="BM97" s="26"/>
      <c r="BN97" s="26"/>
    </row>
    <row r="98" spans="1:66">
      <c r="A98" s="26"/>
      <c r="B98" s="26"/>
      <c r="C98" s="26"/>
      <c r="D98" s="26"/>
      <c r="E98" s="26"/>
      <c r="F98" s="26"/>
      <c r="G98" s="26"/>
      <c r="H98" s="26"/>
      <c r="I98" s="26"/>
      <c r="J98" s="26"/>
      <c r="K98" s="26"/>
      <c r="L98" s="26"/>
      <c r="M98" s="26"/>
      <c r="N98" s="26"/>
      <c r="O98" s="166"/>
      <c r="P98" s="166"/>
      <c r="Q98" s="166"/>
      <c r="R98" s="166"/>
      <c r="S98" s="166"/>
      <c r="T98" s="166"/>
      <c r="U98" s="166"/>
      <c r="V98" s="166"/>
      <c r="W98" s="166"/>
      <c r="X98" s="551"/>
      <c r="Y98" s="551"/>
      <c r="Z98" s="166"/>
      <c r="AA98" s="166"/>
      <c r="AB98" s="166"/>
      <c r="AC98" s="166"/>
      <c r="AD98" s="166"/>
      <c r="AE98" s="166"/>
      <c r="AF98" s="166"/>
      <c r="AG98" s="166"/>
      <c r="AH98" s="166"/>
      <c r="AI98" s="166"/>
      <c r="AJ98" s="166"/>
      <c r="AK98" s="166"/>
      <c r="AL98" s="166"/>
      <c r="AM98" s="166"/>
      <c r="AN98" s="166"/>
      <c r="AO98" s="166"/>
      <c r="AP98" s="166"/>
      <c r="AQ98" s="166"/>
      <c r="AR98" s="166"/>
      <c r="AS98" s="166"/>
      <c r="AT98" s="166"/>
      <c r="AU98" s="166"/>
      <c r="AV98" s="166"/>
      <c r="AW98" s="166"/>
      <c r="AX98" s="166"/>
      <c r="AY98" s="166"/>
      <c r="AZ98" s="166"/>
      <c r="BA98" s="166"/>
      <c r="BB98" s="166"/>
      <c r="BC98" s="166"/>
      <c r="BD98" s="166"/>
      <c r="BE98" s="166"/>
      <c r="BF98" s="166"/>
      <c r="BG98" s="166"/>
      <c r="BH98" s="166"/>
      <c r="BI98" s="166"/>
      <c r="BJ98" s="166"/>
      <c r="BK98" s="166"/>
      <c r="BL98" s="166"/>
      <c r="BM98" s="26"/>
      <c r="BN98" s="26"/>
    </row>
    <row r="99" spans="1:66">
      <c r="A99" s="26"/>
      <c r="B99" s="26"/>
      <c r="C99" s="26"/>
      <c r="D99" s="26"/>
      <c r="E99" s="26"/>
      <c r="F99" s="26"/>
      <c r="G99" s="26"/>
      <c r="H99" s="26"/>
      <c r="I99" s="26"/>
      <c r="J99" s="26"/>
      <c r="K99" s="26"/>
      <c r="L99" s="26"/>
      <c r="M99" s="26"/>
      <c r="N99" s="26"/>
      <c r="O99" s="166"/>
      <c r="P99" s="166"/>
      <c r="Q99" s="166"/>
      <c r="R99" s="166"/>
      <c r="S99" s="166"/>
      <c r="T99" s="166"/>
      <c r="U99" s="166"/>
      <c r="V99" s="166"/>
      <c r="W99" s="166"/>
      <c r="X99" s="551"/>
      <c r="Y99" s="551"/>
      <c r="Z99" s="166"/>
      <c r="AA99" s="166"/>
      <c r="AB99" s="166"/>
      <c r="AC99" s="166"/>
      <c r="AD99" s="166"/>
      <c r="AE99" s="166"/>
      <c r="AF99" s="166"/>
      <c r="AG99" s="166"/>
      <c r="AH99" s="166"/>
      <c r="AI99" s="166"/>
      <c r="AJ99" s="166"/>
      <c r="AK99" s="166"/>
      <c r="AL99" s="166"/>
      <c r="AM99" s="166"/>
      <c r="AN99" s="166"/>
      <c r="AO99" s="166"/>
      <c r="AP99" s="166"/>
      <c r="AQ99" s="166"/>
      <c r="AR99" s="166"/>
      <c r="AS99" s="166"/>
      <c r="AT99" s="166"/>
      <c r="AU99" s="166"/>
      <c r="AV99" s="166"/>
      <c r="AW99" s="166"/>
      <c r="AX99" s="166"/>
      <c r="AY99" s="166"/>
      <c r="AZ99" s="166"/>
      <c r="BA99" s="166"/>
      <c r="BB99" s="166"/>
      <c r="BC99" s="166"/>
      <c r="BD99" s="166"/>
      <c r="BE99" s="166"/>
      <c r="BF99" s="166"/>
      <c r="BG99" s="166"/>
      <c r="BH99" s="166"/>
      <c r="BI99" s="166"/>
      <c r="BJ99" s="166"/>
      <c r="BK99" s="166"/>
      <c r="BL99" s="166"/>
      <c r="BM99" s="26"/>
      <c r="BN99" s="26"/>
    </row>
    <row r="100" spans="1:66">
      <c r="A100" s="26"/>
      <c r="B100" s="26"/>
      <c r="C100" s="26"/>
      <c r="D100" s="26"/>
      <c r="E100" s="26"/>
      <c r="F100" s="26"/>
      <c r="G100" s="26"/>
      <c r="H100" s="26"/>
      <c r="I100" s="26"/>
      <c r="J100" s="26"/>
      <c r="K100" s="26"/>
      <c r="L100" s="26"/>
      <c r="M100" s="26"/>
      <c r="N100" s="26"/>
      <c r="O100" s="166"/>
      <c r="P100" s="166"/>
      <c r="Q100" s="166"/>
      <c r="R100" s="166"/>
      <c r="S100" s="166"/>
      <c r="T100" s="166"/>
      <c r="U100" s="166"/>
      <c r="V100" s="166"/>
      <c r="W100" s="166"/>
      <c r="X100" s="551"/>
      <c r="Y100" s="551"/>
      <c r="Z100" s="166"/>
      <c r="AA100" s="166"/>
      <c r="AB100" s="166"/>
      <c r="AC100" s="166"/>
      <c r="AD100" s="166"/>
      <c r="AE100" s="166"/>
      <c r="AF100" s="166"/>
      <c r="AG100" s="166"/>
      <c r="AH100" s="166"/>
      <c r="AI100" s="166"/>
      <c r="AJ100" s="166"/>
      <c r="AK100" s="166"/>
      <c r="AL100" s="166"/>
      <c r="AM100" s="166"/>
      <c r="AN100" s="166"/>
      <c r="AO100" s="166"/>
      <c r="AP100" s="166"/>
      <c r="AQ100" s="166"/>
      <c r="AR100" s="166"/>
      <c r="AS100" s="166"/>
      <c r="AT100" s="166"/>
      <c r="AU100" s="166"/>
      <c r="AV100" s="166"/>
      <c r="AW100" s="166"/>
      <c r="AX100" s="166"/>
      <c r="AY100" s="166"/>
      <c r="AZ100" s="166"/>
      <c r="BA100" s="166"/>
      <c r="BB100" s="166"/>
      <c r="BC100" s="166"/>
      <c r="BD100" s="166"/>
      <c r="BE100" s="166"/>
      <c r="BF100" s="166"/>
      <c r="BG100" s="166"/>
      <c r="BH100" s="166"/>
      <c r="BI100" s="166"/>
      <c r="BJ100" s="166"/>
      <c r="BK100" s="166"/>
      <c r="BL100" s="166"/>
      <c r="BM100" s="26"/>
      <c r="BN100" s="26"/>
    </row>
    <row r="101" spans="1:66">
      <c r="A101" s="26"/>
      <c r="B101" s="26"/>
      <c r="C101" s="26"/>
      <c r="D101" s="26"/>
      <c r="E101" s="26"/>
      <c r="F101" s="26"/>
      <c r="G101" s="26"/>
      <c r="H101" s="26"/>
      <c r="I101" s="26"/>
      <c r="J101" s="26"/>
      <c r="K101" s="26"/>
      <c r="L101" s="26"/>
      <c r="M101" s="26"/>
      <c r="N101" s="26"/>
      <c r="O101" s="166"/>
      <c r="P101" s="166"/>
      <c r="Q101" s="166"/>
      <c r="R101" s="166"/>
      <c r="S101" s="166"/>
      <c r="T101" s="166"/>
      <c r="U101" s="166"/>
      <c r="V101" s="166"/>
      <c r="W101" s="166"/>
      <c r="X101" s="551"/>
      <c r="Y101" s="551"/>
      <c r="Z101" s="166"/>
      <c r="AA101" s="166"/>
      <c r="AB101" s="166"/>
      <c r="AC101" s="166"/>
      <c r="AD101" s="166"/>
      <c r="AE101" s="166"/>
      <c r="AF101" s="166"/>
      <c r="AG101" s="166"/>
      <c r="AH101" s="166"/>
      <c r="AI101" s="166"/>
      <c r="AJ101" s="166"/>
      <c r="AK101" s="166"/>
      <c r="AL101" s="166"/>
      <c r="AM101" s="166"/>
      <c r="AN101" s="166"/>
      <c r="AO101" s="166"/>
      <c r="AP101" s="166"/>
      <c r="AQ101" s="166"/>
      <c r="AR101" s="166"/>
      <c r="AS101" s="166"/>
      <c r="AT101" s="166"/>
      <c r="AU101" s="166"/>
      <c r="AV101" s="166"/>
      <c r="AW101" s="166"/>
      <c r="AX101" s="166"/>
      <c r="AY101" s="166"/>
      <c r="AZ101" s="166"/>
      <c r="BA101" s="166"/>
      <c r="BB101" s="166"/>
      <c r="BC101" s="166"/>
      <c r="BD101" s="166"/>
      <c r="BE101" s="166"/>
      <c r="BF101" s="166"/>
      <c r="BG101" s="166"/>
      <c r="BH101" s="166"/>
      <c r="BI101" s="166"/>
      <c r="BJ101" s="166"/>
      <c r="BK101" s="166"/>
      <c r="BL101" s="166"/>
      <c r="BM101" s="26"/>
      <c r="BN101" s="26"/>
    </row>
    <row r="102" spans="1:66">
      <c r="A102" s="26"/>
      <c r="B102" s="26"/>
      <c r="C102" s="26"/>
      <c r="D102" s="26"/>
      <c r="E102" s="26"/>
      <c r="F102" s="26"/>
      <c r="G102" s="26"/>
      <c r="H102" s="26"/>
      <c r="I102" s="26"/>
      <c r="J102" s="26"/>
      <c r="K102" s="26"/>
      <c r="L102" s="26"/>
      <c r="M102" s="26"/>
      <c r="N102" s="26"/>
      <c r="O102" s="166"/>
      <c r="P102" s="166"/>
      <c r="Q102" s="166"/>
      <c r="R102" s="166"/>
      <c r="S102" s="166"/>
      <c r="T102" s="166"/>
      <c r="U102" s="166"/>
      <c r="V102" s="166"/>
      <c r="W102" s="166"/>
      <c r="X102" s="551"/>
      <c r="Y102" s="551"/>
      <c r="Z102" s="166"/>
      <c r="AA102" s="166"/>
      <c r="AB102" s="166"/>
      <c r="AC102" s="166"/>
      <c r="AD102" s="166"/>
      <c r="AE102" s="166"/>
      <c r="AF102" s="166"/>
      <c r="AG102" s="166"/>
      <c r="AH102" s="166"/>
      <c r="AI102" s="166"/>
      <c r="AJ102" s="166"/>
      <c r="AK102" s="166"/>
      <c r="AL102" s="166"/>
      <c r="AM102" s="166"/>
      <c r="AN102" s="166"/>
      <c r="AO102" s="166"/>
      <c r="AP102" s="166"/>
      <c r="AQ102" s="166"/>
      <c r="AR102" s="166"/>
      <c r="AS102" s="166"/>
      <c r="AT102" s="166"/>
      <c r="AU102" s="166"/>
      <c r="AV102" s="166"/>
      <c r="AW102" s="166"/>
      <c r="AX102" s="166"/>
      <c r="AY102" s="166"/>
      <c r="AZ102" s="166"/>
      <c r="BA102" s="166"/>
      <c r="BB102" s="166"/>
      <c r="BC102" s="166"/>
      <c r="BD102" s="166"/>
      <c r="BE102" s="166"/>
      <c r="BF102" s="166"/>
      <c r="BG102" s="166"/>
      <c r="BH102" s="166"/>
      <c r="BI102" s="166"/>
      <c r="BJ102" s="166"/>
      <c r="BK102" s="166"/>
      <c r="BL102" s="166"/>
      <c r="BM102" s="26"/>
      <c r="BN102" s="26"/>
    </row>
    <row r="103" spans="1:66">
      <c r="A103" s="26"/>
      <c r="B103" s="26"/>
      <c r="C103" s="26"/>
      <c r="D103" s="26"/>
      <c r="E103" s="26"/>
      <c r="F103" s="26"/>
      <c r="G103" s="26"/>
      <c r="H103" s="26"/>
      <c r="I103" s="26"/>
      <c r="J103" s="26"/>
      <c r="K103" s="26"/>
      <c r="L103" s="26"/>
      <c r="M103" s="26"/>
      <c r="N103" s="26"/>
      <c r="O103" s="166"/>
      <c r="P103" s="166"/>
      <c r="Q103" s="166"/>
      <c r="R103" s="166"/>
      <c r="S103" s="166"/>
      <c r="T103" s="166"/>
      <c r="U103" s="166"/>
      <c r="V103" s="166"/>
      <c r="W103" s="166"/>
      <c r="X103" s="551"/>
      <c r="Y103" s="551"/>
      <c r="Z103" s="166"/>
      <c r="AA103" s="166"/>
      <c r="AB103" s="166"/>
      <c r="AC103" s="166"/>
      <c r="AD103" s="166"/>
      <c r="AE103" s="166"/>
      <c r="AF103" s="166"/>
      <c r="AG103" s="166"/>
      <c r="AH103" s="166"/>
      <c r="AI103" s="166"/>
      <c r="AJ103" s="166"/>
      <c r="AK103" s="166"/>
      <c r="AL103" s="166"/>
      <c r="AM103" s="166"/>
      <c r="AN103" s="166"/>
      <c r="AO103" s="166"/>
      <c r="AP103" s="166"/>
      <c r="AQ103" s="166"/>
      <c r="AR103" s="166"/>
      <c r="AS103" s="166"/>
      <c r="AT103" s="166"/>
      <c r="AU103" s="166"/>
      <c r="AV103" s="166"/>
      <c r="AW103" s="166"/>
      <c r="AX103" s="166"/>
      <c r="AY103" s="166"/>
      <c r="AZ103" s="166"/>
      <c r="BA103" s="166"/>
      <c r="BB103" s="166"/>
      <c r="BC103" s="166"/>
      <c r="BD103" s="166"/>
      <c r="BE103" s="166"/>
      <c r="BF103" s="166"/>
      <c r="BG103" s="166"/>
      <c r="BH103" s="166"/>
      <c r="BI103" s="166"/>
      <c r="BJ103" s="166"/>
      <c r="BK103" s="166"/>
      <c r="BL103" s="166"/>
      <c r="BM103" s="26"/>
      <c r="BN103" s="26"/>
    </row>
    <row r="104" spans="1:66">
      <c r="A104" s="26"/>
      <c r="B104" s="26"/>
      <c r="C104" s="26"/>
      <c r="D104" s="26"/>
      <c r="E104" s="26"/>
      <c r="F104" s="26"/>
      <c r="G104" s="26"/>
      <c r="H104" s="26"/>
      <c r="I104" s="26"/>
      <c r="J104" s="26"/>
      <c r="K104" s="26"/>
      <c r="L104" s="26"/>
      <c r="M104" s="26"/>
      <c r="N104" s="26"/>
      <c r="O104" s="166"/>
      <c r="P104" s="166"/>
      <c r="Q104" s="166"/>
      <c r="R104" s="166"/>
      <c r="S104" s="166"/>
      <c r="T104" s="166"/>
      <c r="U104" s="166"/>
      <c r="V104" s="166"/>
      <c r="W104" s="166"/>
      <c r="X104" s="551"/>
      <c r="Y104" s="551"/>
      <c r="Z104" s="166"/>
      <c r="AA104" s="166"/>
      <c r="AB104" s="166"/>
      <c r="AC104" s="166"/>
      <c r="AD104" s="166"/>
      <c r="AE104" s="166"/>
      <c r="AF104" s="166"/>
      <c r="AG104" s="166"/>
      <c r="AH104" s="166"/>
      <c r="AI104" s="166"/>
      <c r="AJ104" s="166"/>
      <c r="AK104" s="166"/>
      <c r="AL104" s="166"/>
      <c r="AM104" s="166"/>
      <c r="AN104" s="166"/>
      <c r="AO104" s="166"/>
      <c r="AP104" s="166"/>
      <c r="AQ104" s="166"/>
      <c r="AR104" s="166"/>
      <c r="AS104" s="166"/>
      <c r="AT104" s="166"/>
      <c r="AU104" s="166"/>
      <c r="AV104" s="166"/>
      <c r="AW104" s="166"/>
      <c r="AX104" s="166"/>
      <c r="AY104" s="166"/>
      <c r="AZ104" s="166"/>
      <c r="BA104" s="166"/>
      <c r="BB104" s="166"/>
      <c r="BC104" s="166"/>
      <c r="BD104" s="166"/>
      <c r="BE104" s="166"/>
      <c r="BF104" s="166"/>
      <c r="BG104" s="166"/>
      <c r="BH104" s="166"/>
      <c r="BI104" s="166"/>
      <c r="BJ104" s="166"/>
      <c r="BK104" s="166"/>
      <c r="BL104" s="166"/>
      <c r="BM104" s="26"/>
      <c r="BN104" s="26"/>
    </row>
    <row r="105" spans="1:66">
      <c r="A105" s="26"/>
      <c r="B105" s="26"/>
      <c r="C105" s="26"/>
      <c r="D105" s="26"/>
      <c r="E105" s="26"/>
      <c r="F105" s="26"/>
      <c r="G105" s="26"/>
      <c r="H105" s="26"/>
      <c r="I105" s="26"/>
      <c r="J105" s="26"/>
      <c r="K105" s="26"/>
      <c r="L105" s="26"/>
      <c r="M105" s="26"/>
      <c r="N105" s="26"/>
      <c r="O105" s="166"/>
      <c r="P105" s="166"/>
      <c r="Q105" s="166"/>
      <c r="R105" s="166"/>
      <c r="S105" s="166"/>
      <c r="T105" s="166"/>
      <c r="U105" s="166"/>
      <c r="V105" s="166"/>
      <c r="W105" s="166"/>
      <c r="X105" s="551"/>
      <c r="Y105" s="551"/>
      <c r="Z105" s="166"/>
      <c r="AA105" s="166"/>
      <c r="AB105" s="166"/>
      <c r="AC105" s="166"/>
      <c r="AD105" s="166"/>
      <c r="AE105" s="166"/>
      <c r="AF105" s="166"/>
      <c r="AG105" s="166"/>
      <c r="AH105" s="166"/>
      <c r="AI105" s="166"/>
      <c r="AJ105" s="166"/>
      <c r="AK105" s="166"/>
      <c r="AL105" s="166"/>
      <c r="AM105" s="166"/>
      <c r="AN105" s="166"/>
      <c r="AO105" s="166"/>
      <c r="AP105" s="166"/>
      <c r="AQ105" s="166"/>
      <c r="AR105" s="166"/>
      <c r="AS105" s="166"/>
      <c r="AT105" s="166"/>
      <c r="AU105" s="166"/>
      <c r="AV105" s="166"/>
      <c r="AW105" s="166"/>
      <c r="AX105" s="166"/>
      <c r="AY105" s="166"/>
      <c r="AZ105" s="166"/>
      <c r="BA105" s="166"/>
      <c r="BB105" s="166"/>
      <c r="BC105" s="166"/>
      <c r="BD105" s="166"/>
      <c r="BE105" s="166"/>
      <c r="BF105" s="166"/>
      <c r="BG105" s="166"/>
      <c r="BH105" s="166"/>
      <c r="BI105" s="166"/>
      <c r="BJ105" s="166"/>
      <c r="BK105" s="166"/>
      <c r="BL105" s="166"/>
      <c r="BM105" s="26"/>
      <c r="BN105" s="26"/>
    </row>
    <row r="106" spans="1:66">
      <c r="A106" s="26"/>
      <c r="B106" s="26"/>
      <c r="C106" s="26"/>
      <c r="D106" s="26"/>
      <c r="E106" s="26"/>
      <c r="F106" s="26"/>
      <c r="G106" s="26"/>
      <c r="H106" s="26"/>
      <c r="I106" s="26"/>
      <c r="J106" s="26"/>
      <c r="K106" s="26"/>
      <c r="L106" s="26"/>
      <c r="M106" s="26"/>
      <c r="N106" s="26"/>
      <c r="O106" s="166"/>
      <c r="P106" s="166"/>
      <c r="Q106" s="166"/>
      <c r="R106" s="166"/>
      <c r="S106" s="166"/>
      <c r="T106" s="166"/>
      <c r="U106" s="166"/>
      <c r="V106" s="166"/>
      <c r="W106" s="166"/>
      <c r="X106" s="551"/>
      <c r="Y106" s="551"/>
      <c r="Z106" s="166"/>
      <c r="AA106" s="166"/>
      <c r="AB106" s="166"/>
      <c r="AC106" s="166"/>
      <c r="AD106" s="166"/>
      <c r="AE106" s="166"/>
      <c r="AF106" s="166"/>
      <c r="AG106" s="166"/>
      <c r="AH106" s="166"/>
      <c r="AI106" s="166"/>
      <c r="AJ106" s="166"/>
      <c r="AK106" s="166"/>
      <c r="AL106" s="166"/>
      <c r="AM106" s="166"/>
      <c r="AN106" s="166"/>
      <c r="AO106" s="166"/>
      <c r="AP106" s="166"/>
      <c r="AQ106" s="166"/>
      <c r="AR106" s="166"/>
      <c r="AS106" s="166"/>
      <c r="AT106" s="166"/>
      <c r="AU106" s="166"/>
      <c r="AV106" s="166"/>
      <c r="AW106" s="166"/>
      <c r="AX106" s="166"/>
      <c r="AY106" s="166"/>
      <c r="AZ106" s="166"/>
      <c r="BA106" s="166"/>
      <c r="BB106" s="166"/>
      <c r="BC106" s="166"/>
      <c r="BD106" s="166"/>
      <c r="BE106" s="166"/>
      <c r="BF106" s="166"/>
      <c r="BG106" s="166"/>
      <c r="BH106" s="166"/>
      <c r="BI106" s="166"/>
      <c r="BJ106" s="166"/>
      <c r="BK106" s="166"/>
      <c r="BL106" s="166"/>
      <c r="BM106" s="26"/>
      <c r="BN106" s="26"/>
    </row>
    <row r="107" spans="1:66">
      <c r="A107" s="26"/>
      <c r="B107" s="26"/>
      <c r="C107" s="26"/>
      <c r="D107" s="26"/>
      <c r="E107" s="26"/>
      <c r="F107" s="26"/>
      <c r="G107" s="26"/>
      <c r="H107" s="26"/>
      <c r="I107" s="26"/>
      <c r="J107" s="26"/>
      <c r="K107" s="26"/>
      <c r="L107" s="26"/>
      <c r="M107" s="26"/>
      <c r="N107" s="26"/>
      <c r="O107" s="166"/>
      <c r="P107" s="166"/>
      <c r="Q107" s="166"/>
      <c r="R107" s="166"/>
      <c r="S107" s="166"/>
      <c r="T107" s="166"/>
      <c r="U107" s="166"/>
      <c r="V107" s="166"/>
      <c r="W107" s="166"/>
      <c r="X107" s="551"/>
      <c r="Y107" s="551"/>
      <c r="Z107" s="166"/>
      <c r="AA107" s="166"/>
      <c r="AB107" s="166"/>
      <c r="AC107" s="166"/>
      <c r="AD107" s="166"/>
      <c r="AE107" s="166"/>
      <c r="AF107" s="166"/>
      <c r="AG107" s="166"/>
      <c r="AH107" s="166"/>
      <c r="AI107" s="166"/>
      <c r="AJ107" s="166"/>
      <c r="AK107" s="166"/>
      <c r="AL107" s="166"/>
      <c r="AM107" s="166"/>
      <c r="AN107" s="166"/>
      <c r="AO107" s="166"/>
      <c r="AP107" s="166"/>
      <c r="AQ107" s="166"/>
      <c r="AR107" s="166"/>
      <c r="AS107" s="166"/>
      <c r="AT107" s="166"/>
      <c r="AU107" s="166"/>
      <c r="AV107" s="166"/>
      <c r="AW107" s="166"/>
      <c r="AX107" s="166"/>
      <c r="AY107" s="166"/>
      <c r="AZ107" s="166"/>
      <c r="BA107" s="166"/>
      <c r="BB107" s="166"/>
      <c r="BC107" s="166"/>
      <c r="BD107" s="166"/>
      <c r="BE107" s="166"/>
      <c r="BF107" s="166"/>
      <c r="BG107" s="166"/>
      <c r="BH107" s="166"/>
      <c r="BI107" s="166"/>
      <c r="BJ107" s="166"/>
      <c r="BK107" s="166"/>
      <c r="BL107" s="166"/>
      <c r="BM107" s="26"/>
      <c r="BN107" s="26"/>
    </row>
    <row r="108" spans="1:66">
      <c r="A108" s="26"/>
      <c r="B108" s="26"/>
      <c r="C108" s="26"/>
      <c r="D108" s="26"/>
      <c r="E108" s="26"/>
      <c r="F108" s="26"/>
      <c r="G108" s="26"/>
      <c r="H108" s="26"/>
      <c r="I108" s="26"/>
      <c r="J108" s="26"/>
      <c r="K108" s="26"/>
      <c r="L108" s="26"/>
      <c r="M108" s="26"/>
      <c r="N108" s="26"/>
      <c r="O108" s="166"/>
      <c r="P108" s="166"/>
      <c r="Q108" s="166"/>
      <c r="R108" s="166"/>
      <c r="S108" s="166"/>
      <c r="T108" s="166"/>
      <c r="U108" s="166"/>
      <c r="V108" s="166"/>
      <c r="W108" s="166"/>
      <c r="X108" s="551"/>
      <c r="Y108" s="551"/>
      <c r="Z108" s="166"/>
      <c r="AA108" s="166"/>
      <c r="AB108" s="166"/>
      <c r="AC108" s="166"/>
      <c r="AD108" s="166"/>
      <c r="AE108" s="166"/>
      <c r="AF108" s="166"/>
      <c r="AG108" s="166"/>
      <c r="AH108" s="166"/>
      <c r="AI108" s="166"/>
      <c r="AJ108" s="166"/>
      <c r="AK108" s="166"/>
      <c r="AL108" s="166"/>
      <c r="AM108" s="166"/>
      <c r="AN108" s="166"/>
      <c r="AO108" s="166"/>
      <c r="AP108" s="166"/>
      <c r="AQ108" s="166"/>
      <c r="AR108" s="166"/>
      <c r="AS108" s="166"/>
      <c r="AT108" s="166"/>
      <c r="AU108" s="166"/>
      <c r="AV108" s="166"/>
      <c r="AW108" s="166"/>
      <c r="AX108" s="166"/>
      <c r="AY108" s="166"/>
      <c r="AZ108" s="166"/>
      <c r="BA108" s="166"/>
      <c r="BB108" s="166"/>
      <c r="BC108" s="166"/>
      <c r="BD108" s="166"/>
      <c r="BE108" s="166"/>
      <c r="BF108" s="166"/>
      <c r="BG108" s="166"/>
      <c r="BH108" s="166"/>
      <c r="BI108" s="166"/>
      <c r="BJ108" s="166"/>
      <c r="BK108" s="166"/>
      <c r="BL108" s="166"/>
      <c r="BM108" s="26"/>
      <c r="BN108" s="26"/>
    </row>
    <row r="109" spans="1:66">
      <c r="A109" s="26"/>
      <c r="B109" s="26"/>
      <c r="C109" s="26"/>
      <c r="D109" s="26"/>
      <c r="E109" s="26"/>
      <c r="F109" s="26"/>
      <c r="G109" s="26"/>
      <c r="H109" s="26"/>
      <c r="I109" s="26"/>
      <c r="J109" s="26"/>
      <c r="K109" s="26"/>
      <c r="L109" s="26"/>
      <c r="M109" s="26"/>
      <c r="N109" s="26"/>
      <c r="O109" s="166"/>
      <c r="P109" s="166"/>
      <c r="Q109" s="166"/>
      <c r="R109" s="166"/>
      <c r="S109" s="166"/>
      <c r="T109" s="166"/>
      <c r="U109" s="166"/>
      <c r="V109" s="166"/>
      <c r="W109" s="166"/>
      <c r="X109" s="551"/>
      <c r="Y109" s="551"/>
      <c r="Z109" s="166"/>
      <c r="AA109" s="166"/>
      <c r="AB109" s="166"/>
      <c r="AC109" s="166"/>
      <c r="AD109" s="166"/>
      <c r="AE109" s="166"/>
      <c r="AF109" s="166"/>
      <c r="AG109" s="166"/>
      <c r="AH109" s="166"/>
      <c r="AI109" s="166"/>
      <c r="AJ109" s="166"/>
      <c r="AK109" s="166"/>
      <c r="AL109" s="166"/>
      <c r="AM109" s="166"/>
      <c r="AN109" s="166"/>
      <c r="AO109" s="166"/>
      <c r="AP109" s="166"/>
      <c r="AQ109" s="166"/>
      <c r="AR109" s="166"/>
      <c r="AS109" s="166"/>
      <c r="AT109" s="166"/>
      <c r="AU109" s="166"/>
      <c r="AV109" s="166"/>
      <c r="AW109" s="166"/>
      <c r="AX109" s="166"/>
      <c r="AY109" s="166"/>
      <c r="AZ109" s="166"/>
      <c r="BA109" s="166"/>
      <c r="BB109" s="166"/>
      <c r="BC109" s="166"/>
      <c r="BD109" s="166"/>
      <c r="BE109" s="166"/>
      <c r="BF109" s="166"/>
      <c r="BG109" s="166"/>
      <c r="BH109" s="166"/>
      <c r="BI109" s="166"/>
      <c r="BJ109" s="166"/>
      <c r="BK109" s="166"/>
      <c r="BL109" s="166"/>
      <c r="BM109" s="26"/>
      <c r="BN109" s="26"/>
    </row>
    <row r="110" spans="1:66">
      <c r="A110" s="26"/>
      <c r="B110" s="26"/>
      <c r="C110" s="26"/>
      <c r="D110" s="26"/>
      <c r="E110" s="26"/>
      <c r="F110" s="26"/>
      <c r="G110" s="26"/>
      <c r="H110" s="26"/>
      <c r="I110" s="26"/>
      <c r="J110" s="26"/>
      <c r="K110" s="26"/>
      <c r="L110" s="26"/>
      <c r="M110" s="26"/>
      <c r="N110" s="26"/>
      <c r="O110" s="166"/>
      <c r="P110" s="166"/>
      <c r="Q110" s="166"/>
      <c r="R110" s="166"/>
      <c r="S110" s="166"/>
      <c r="T110" s="166"/>
      <c r="U110" s="166"/>
      <c r="V110" s="166"/>
      <c r="W110" s="166"/>
      <c r="X110" s="551"/>
      <c r="Y110" s="551"/>
      <c r="Z110" s="166"/>
      <c r="AA110" s="166"/>
      <c r="AB110" s="166"/>
      <c r="AC110" s="166"/>
      <c r="AD110" s="166"/>
      <c r="AE110" s="166"/>
      <c r="AF110" s="166"/>
      <c r="AG110" s="166"/>
      <c r="AH110" s="166"/>
      <c r="AI110" s="166"/>
      <c r="AJ110" s="166"/>
      <c r="AK110" s="166"/>
      <c r="AL110" s="166"/>
      <c r="AM110" s="166"/>
      <c r="AN110" s="166"/>
      <c r="AO110" s="166"/>
      <c r="AP110" s="166"/>
      <c r="AQ110" s="166"/>
      <c r="AR110" s="166"/>
      <c r="AS110" s="166"/>
      <c r="AT110" s="166"/>
      <c r="AU110" s="166"/>
      <c r="AV110" s="166"/>
      <c r="AW110" s="166"/>
      <c r="AX110" s="166"/>
      <c r="AY110" s="166"/>
      <c r="AZ110" s="166"/>
      <c r="BA110" s="166"/>
      <c r="BB110" s="166"/>
      <c r="BC110" s="166"/>
      <c r="BD110" s="166"/>
      <c r="BE110" s="166"/>
      <c r="BF110" s="166"/>
      <c r="BG110" s="166"/>
      <c r="BH110" s="166"/>
      <c r="BI110" s="166"/>
      <c r="BJ110" s="166"/>
      <c r="BK110" s="166"/>
      <c r="BL110" s="166"/>
      <c r="BM110" s="26"/>
      <c r="BN110" s="26"/>
    </row>
    <row r="111" spans="1:66">
      <c r="A111" s="26"/>
      <c r="B111" s="26"/>
      <c r="C111" s="26"/>
      <c r="D111" s="26"/>
      <c r="E111" s="26"/>
      <c r="F111" s="26"/>
      <c r="G111" s="26"/>
      <c r="H111" s="26"/>
      <c r="I111" s="26"/>
      <c r="J111" s="26"/>
      <c r="K111" s="26"/>
      <c r="L111" s="26"/>
      <c r="M111" s="26"/>
      <c r="N111" s="26"/>
      <c r="O111" s="166"/>
      <c r="P111" s="166"/>
      <c r="Q111" s="166"/>
      <c r="R111" s="166"/>
      <c r="S111" s="166"/>
      <c r="T111" s="166"/>
      <c r="U111" s="166"/>
      <c r="V111" s="166"/>
      <c r="W111" s="166"/>
      <c r="X111" s="551"/>
      <c r="Y111" s="551"/>
      <c r="Z111" s="166"/>
      <c r="AA111" s="166"/>
      <c r="AB111" s="166"/>
      <c r="AC111" s="166"/>
      <c r="AD111" s="166"/>
      <c r="AE111" s="166"/>
      <c r="AF111" s="166"/>
      <c r="AG111" s="166"/>
      <c r="AH111" s="166"/>
      <c r="AI111" s="166"/>
      <c r="AJ111" s="166"/>
      <c r="AK111" s="166"/>
      <c r="AL111" s="166"/>
      <c r="AM111" s="166"/>
      <c r="AN111" s="166"/>
      <c r="AO111" s="166"/>
      <c r="AP111" s="166"/>
      <c r="AQ111" s="166"/>
      <c r="AR111" s="166"/>
      <c r="AS111" s="166"/>
      <c r="AT111" s="166"/>
      <c r="AU111" s="166"/>
      <c r="AV111" s="166"/>
      <c r="AW111" s="166"/>
      <c r="AX111" s="166"/>
      <c r="AY111" s="166"/>
      <c r="AZ111" s="166"/>
      <c r="BA111" s="166"/>
      <c r="BB111" s="166"/>
      <c r="BC111" s="166"/>
      <c r="BD111" s="166"/>
      <c r="BE111" s="166"/>
      <c r="BF111" s="166"/>
      <c r="BG111" s="166"/>
      <c r="BH111" s="166"/>
      <c r="BI111" s="166"/>
      <c r="BJ111" s="166"/>
      <c r="BK111" s="166"/>
      <c r="BL111" s="166"/>
      <c r="BM111" s="26"/>
      <c r="BN111" s="26"/>
    </row>
    <row r="112" spans="1:66">
      <c r="A112" s="26"/>
      <c r="B112" s="26"/>
      <c r="C112" s="26"/>
      <c r="D112" s="26"/>
      <c r="E112" s="26"/>
      <c r="F112" s="26"/>
      <c r="G112" s="26"/>
      <c r="H112" s="26"/>
      <c r="I112" s="26"/>
      <c r="J112" s="26"/>
      <c r="K112" s="26"/>
      <c r="L112" s="26"/>
      <c r="M112" s="26"/>
      <c r="N112" s="26"/>
      <c r="O112" s="166"/>
      <c r="P112" s="166"/>
      <c r="Q112" s="166"/>
      <c r="R112" s="166"/>
      <c r="S112" s="166"/>
      <c r="T112" s="166"/>
      <c r="U112" s="166"/>
      <c r="V112" s="166"/>
      <c r="W112" s="166"/>
      <c r="X112" s="551"/>
      <c r="Y112" s="551"/>
      <c r="Z112" s="166"/>
      <c r="AA112" s="166"/>
      <c r="AB112" s="166"/>
      <c r="AC112" s="166"/>
      <c r="AD112" s="166"/>
      <c r="AE112" s="166"/>
      <c r="AF112" s="166"/>
      <c r="AG112" s="166"/>
      <c r="AH112" s="166"/>
      <c r="AI112" s="166"/>
      <c r="AJ112" s="166"/>
      <c r="AK112" s="166"/>
      <c r="AL112" s="166"/>
      <c r="AM112" s="166"/>
      <c r="AN112" s="166"/>
      <c r="AO112" s="166"/>
      <c r="AP112" s="166"/>
      <c r="AQ112" s="166"/>
      <c r="AR112" s="166"/>
      <c r="AS112" s="166"/>
      <c r="AT112" s="166"/>
      <c r="AU112" s="166"/>
      <c r="AV112" s="166"/>
      <c r="AW112" s="166"/>
      <c r="AX112" s="166"/>
      <c r="AY112" s="166"/>
      <c r="AZ112" s="166"/>
      <c r="BA112" s="166"/>
      <c r="BB112" s="166"/>
      <c r="BC112" s="166"/>
      <c r="BD112" s="166"/>
      <c r="BE112" s="166"/>
      <c r="BF112" s="166"/>
      <c r="BG112" s="166"/>
      <c r="BH112" s="166"/>
      <c r="BI112" s="166"/>
      <c r="BJ112" s="166"/>
      <c r="BK112" s="166"/>
      <c r="BL112" s="166"/>
      <c r="BM112" s="26"/>
      <c r="BN112" s="26"/>
    </row>
    <row r="113" spans="1:66">
      <c r="A113" s="26"/>
      <c r="B113" s="26"/>
      <c r="C113" s="26"/>
      <c r="D113" s="26"/>
      <c r="E113" s="26"/>
      <c r="F113" s="26"/>
      <c r="G113" s="26"/>
      <c r="H113" s="26"/>
      <c r="I113" s="26"/>
      <c r="J113" s="26"/>
      <c r="K113" s="26"/>
      <c r="L113" s="26"/>
      <c r="M113" s="26"/>
      <c r="N113" s="26"/>
      <c r="O113" s="166"/>
      <c r="P113" s="166"/>
      <c r="Q113" s="166"/>
      <c r="R113" s="166"/>
      <c r="S113" s="166"/>
      <c r="T113" s="166"/>
      <c r="U113" s="166"/>
      <c r="V113" s="166"/>
      <c r="W113" s="166"/>
      <c r="X113" s="551"/>
      <c r="Y113" s="551"/>
      <c r="Z113" s="166"/>
      <c r="AA113" s="166"/>
      <c r="AB113" s="166"/>
      <c r="AC113" s="166"/>
      <c r="AD113" s="166"/>
      <c r="AE113" s="166"/>
      <c r="AF113" s="166"/>
      <c r="AG113" s="166"/>
      <c r="AH113" s="166"/>
      <c r="AI113" s="166"/>
      <c r="AJ113" s="166"/>
      <c r="AK113" s="166"/>
      <c r="AL113" s="166"/>
      <c r="AM113" s="166"/>
      <c r="AN113" s="166"/>
      <c r="AO113" s="166"/>
      <c r="AP113" s="166"/>
      <c r="AQ113" s="166"/>
      <c r="AR113" s="166"/>
      <c r="AS113" s="166"/>
      <c r="AT113" s="166"/>
      <c r="AU113" s="166"/>
      <c r="AV113" s="166"/>
      <c r="AW113" s="166"/>
      <c r="AX113" s="166"/>
      <c r="AY113" s="166"/>
      <c r="AZ113" s="166"/>
      <c r="BA113" s="166"/>
      <c r="BB113" s="166"/>
      <c r="BC113" s="166"/>
      <c r="BD113" s="166"/>
      <c r="BE113" s="166"/>
      <c r="BF113" s="166"/>
      <c r="BG113" s="166"/>
      <c r="BH113" s="166"/>
      <c r="BI113" s="166"/>
      <c r="BJ113" s="166"/>
      <c r="BK113" s="166"/>
      <c r="BL113" s="166"/>
      <c r="BM113" s="26"/>
      <c r="BN113" s="26"/>
    </row>
    <row r="114" spans="1:66">
      <c r="A114" s="26"/>
      <c r="B114" s="26"/>
      <c r="C114" s="26"/>
      <c r="D114" s="26"/>
      <c r="E114" s="26"/>
      <c r="F114" s="26"/>
      <c r="G114" s="26"/>
      <c r="H114" s="26"/>
      <c r="I114" s="26"/>
      <c r="J114" s="26"/>
      <c r="K114" s="26"/>
      <c r="L114" s="26"/>
      <c r="M114" s="26"/>
      <c r="N114" s="26"/>
      <c r="O114" s="166"/>
      <c r="P114" s="166"/>
      <c r="Q114" s="166"/>
      <c r="R114" s="166"/>
      <c r="S114" s="166"/>
      <c r="T114" s="166"/>
      <c r="U114" s="166"/>
      <c r="V114" s="166"/>
      <c r="W114" s="166"/>
      <c r="X114" s="551"/>
      <c r="Y114" s="551"/>
      <c r="Z114" s="166"/>
      <c r="AA114" s="166"/>
      <c r="AB114" s="166"/>
      <c r="AC114" s="166"/>
      <c r="AD114" s="166"/>
      <c r="AE114" s="166"/>
      <c r="AF114" s="166"/>
      <c r="AG114" s="166"/>
      <c r="AH114" s="166"/>
      <c r="AI114" s="166"/>
      <c r="AJ114" s="166"/>
      <c r="AK114" s="166"/>
      <c r="AL114" s="166"/>
      <c r="AM114" s="166"/>
      <c r="AN114" s="166"/>
      <c r="AO114" s="166"/>
      <c r="AP114" s="166"/>
      <c r="AQ114" s="166"/>
      <c r="AR114" s="166"/>
      <c r="AS114" s="166"/>
      <c r="AT114" s="166"/>
      <c r="AU114" s="166"/>
      <c r="AV114" s="166"/>
      <c r="AW114" s="166"/>
      <c r="AX114" s="166"/>
      <c r="AY114" s="166"/>
      <c r="AZ114" s="166"/>
      <c r="BA114" s="166"/>
      <c r="BB114" s="166"/>
      <c r="BC114" s="166"/>
      <c r="BD114" s="166"/>
      <c r="BE114" s="166"/>
      <c r="BF114" s="166"/>
      <c r="BG114" s="166"/>
      <c r="BH114" s="166"/>
      <c r="BI114" s="166"/>
      <c r="BJ114" s="166"/>
      <c r="BK114" s="166"/>
      <c r="BL114" s="166"/>
      <c r="BM114" s="26"/>
      <c r="BN114" s="26"/>
    </row>
    <row r="115" spans="1:66">
      <c r="A115" s="26"/>
      <c r="B115" s="26"/>
      <c r="C115" s="26"/>
      <c r="D115" s="26"/>
      <c r="E115" s="26"/>
      <c r="F115" s="26"/>
      <c r="G115" s="26"/>
      <c r="H115" s="26"/>
      <c r="I115" s="26"/>
      <c r="J115" s="26"/>
      <c r="K115" s="26"/>
      <c r="L115" s="26"/>
      <c r="M115" s="26"/>
      <c r="N115" s="26"/>
      <c r="O115" s="166"/>
      <c r="P115" s="166"/>
      <c r="Q115" s="166"/>
      <c r="R115" s="166"/>
      <c r="S115" s="166"/>
      <c r="T115" s="166"/>
      <c r="U115" s="166"/>
      <c r="V115" s="166"/>
      <c r="W115" s="166"/>
      <c r="X115" s="551"/>
      <c r="Y115" s="551"/>
      <c r="Z115" s="166"/>
      <c r="AA115" s="166"/>
      <c r="AB115" s="166"/>
      <c r="AC115" s="166"/>
      <c r="AD115" s="166"/>
      <c r="AE115" s="166"/>
      <c r="AF115" s="166"/>
      <c r="AG115" s="166"/>
      <c r="AH115" s="166"/>
      <c r="AI115" s="166"/>
      <c r="AJ115" s="166"/>
      <c r="AK115" s="166"/>
      <c r="AL115" s="166"/>
      <c r="AM115" s="166"/>
      <c r="AN115" s="166"/>
      <c r="AO115" s="166"/>
      <c r="AP115" s="166"/>
      <c r="AQ115" s="166"/>
      <c r="AR115" s="166"/>
      <c r="AS115" s="166"/>
      <c r="AT115" s="166"/>
      <c r="AU115" s="166"/>
      <c r="AV115" s="166"/>
      <c r="AW115" s="166"/>
      <c r="AX115" s="166"/>
      <c r="AY115" s="166"/>
      <c r="AZ115" s="166"/>
      <c r="BA115" s="166"/>
      <c r="BB115" s="166"/>
      <c r="BC115" s="166"/>
      <c r="BD115" s="166"/>
      <c r="BE115" s="166"/>
      <c r="BF115" s="166"/>
      <c r="BG115" s="166"/>
      <c r="BH115" s="166"/>
      <c r="BI115" s="166"/>
      <c r="BJ115" s="166"/>
      <c r="BK115" s="166"/>
      <c r="BL115" s="166"/>
      <c r="BM115" s="26"/>
      <c r="BN115" s="26"/>
    </row>
    <row r="116" spans="1:66">
      <c r="A116" s="26"/>
      <c r="B116" s="26"/>
      <c r="C116" s="26"/>
      <c r="D116" s="26"/>
      <c r="E116" s="26"/>
      <c r="F116" s="26"/>
      <c r="G116" s="26"/>
      <c r="H116" s="26"/>
      <c r="I116" s="26"/>
      <c r="J116" s="26"/>
      <c r="K116" s="26"/>
      <c r="L116" s="26"/>
      <c r="M116" s="26"/>
      <c r="N116" s="26"/>
      <c r="O116" s="166"/>
      <c r="P116" s="166"/>
      <c r="Q116" s="166"/>
      <c r="R116" s="166"/>
      <c r="S116" s="166"/>
      <c r="T116" s="166"/>
      <c r="U116" s="166"/>
      <c r="V116" s="166"/>
      <c r="W116" s="166"/>
      <c r="X116" s="551"/>
      <c r="Y116" s="551"/>
      <c r="Z116" s="166"/>
      <c r="AA116" s="166"/>
      <c r="AB116" s="166"/>
      <c r="AC116" s="166"/>
      <c r="AD116" s="166"/>
      <c r="AE116" s="166"/>
      <c r="AF116" s="166"/>
      <c r="AG116" s="166"/>
      <c r="AH116" s="166"/>
      <c r="AI116" s="166"/>
      <c r="AJ116" s="166"/>
      <c r="AK116" s="166"/>
      <c r="AL116" s="166"/>
      <c r="AM116" s="166"/>
      <c r="AN116" s="166"/>
      <c r="AO116" s="166"/>
      <c r="AP116" s="166"/>
      <c r="AQ116" s="166"/>
      <c r="AR116" s="166"/>
      <c r="AS116" s="166"/>
      <c r="AT116" s="166"/>
      <c r="AU116" s="166"/>
      <c r="AV116" s="166"/>
      <c r="AW116" s="166"/>
      <c r="AX116" s="166"/>
      <c r="AY116" s="166"/>
      <c r="AZ116" s="166"/>
      <c r="BA116" s="166"/>
      <c r="BB116" s="166"/>
      <c r="BC116" s="166"/>
      <c r="BD116" s="166"/>
      <c r="BE116" s="166"/>
      <c r="BF116" s="166"/>
      <c r="BG116" s="166"/>
      <c r="BH116" s="166"/>
      <c r="BI116" s="166"/>
      <c r="BJ116" s="166"/>
      <c r="BK116" s="166"/>
      <c r="BL116" s="166"/>
      <c r="BM116" s="26"/>
      <c r="BN116" s="26"/>
    </row>
    <row r="117" spans="1:66">
      <c r="A117" s="26"/>
      <c r="B117" s="26"/>
      <c r="C117" s="26"/>
      <c r="D117" s="26"/>
      <c r="E117" s="26"/>
      <c r="F117" s="26"/>
      <c r="G117" s="26"/>
      <c r="H117" s="26"/>
      <c r="I117" s="26"/>
      <c r="J117" s="26"/>
      <c r="K117" s="26"/>
      <c r="L117" s="26"/>
      <c r="M117" s="26"/>
      <c r="N117" s="26"/>
      <c r="O117" s="166"/>
      <c r="P117" s="166"/>
      <c r="Q117" s="166"/>
      <c r="R117" s="166"/>
      <c r="S117" s="166"/>
      <c r="T117" s="166"/>
      <c r="U117" s="166"/>
      <c r="V117" s="166"/>
      <c r="W117" s="166"/>
      <c r="X117" s="551"/>
      <c r="Y117" s="551"/>
      <c r="Z117" s="166"/>
      <c r="AA117" s="166"/>
      <c r="AB117" s="166"/>
      <c r="AC117" s="166"/>
      <c r="AD117" s="166"/>
      <c r="AE117" s="166"/>
      <c r="AF117" s="166"/>
      <c r="AG117" s="166"/>
      <c r="AH117" s="166"/>
      <c r="AI117" s="166"/>
      <c r="AJ117" s="166"/>
      <c r="AK117" s="166"/>
      <c r="AL117" s="166"/>
      <c r="AM117" s="166"/>
      <c r="AN117" s="166"/>
      <c r="AO117" s="166"/>
      <c r="AP117" s="166"/>
      <c r="AQ117" s="166"/>
      <c r="AR117" s="166"/>
      <c r="AS117" s="166"/>
      <c r="AT117" s="166"/>
      <c r="AU117" s="166"/>
      <c r="AV117" s="166"/>
      <c r="AW117" s="166"/>
      <c r="AX117" s="166"/>
      <c r="AY117" s="166"/>
      <c r="AZ117" s="166"/>
      <c r="BA117" s="166"/>
      <c r="BB117" s="166"/>
      <c r="BC117" s="166"/>
      <c r="BD117" s="166"/>
      <c r="BE117" s="166"/>
      <c r="BF117" s="166"/>
      <c r="BG117" s="166"/>
      <c r="BH117" s="166"/>
      <c r="BI117" s="166"/>
      <c r="BJ117" s="166"/>
      <c r="BK117" s="166"/>
      <c r="BL117" s="166"/>
      <c r="BM117" s="26"/>
      <c r="BN117" s="26"/>
    </row>
    <row r="118" spans="1:66">
      <c r="A118" s="26"/>
      <c r="B118" s="26"/>
      <c r="C118" s="26"/>
      <c r="D118" s="26"/>
      <c r="E118" s="26"/>
      <c r="F118" s="26"/>
      <c r="G118" s="26"/>
      <c r="H118" s="26"/>
      <c r="I118" s="26"/>
      <c r="J118" s="26"/>
      <c r="K118" s="26"/>
      <c r="L118" s="26"/>
      <c r="M118" s="26"/>
      <c r="N118" s="26"/>
      <c r="O118" s="166"/>
      <c r="P118" s="166"/>
      <c r="Q118" s="166"/>
      <c r="R118" s="166"/>
      <c r="S118" s="166"/>
      <c r="T118" s="166"/>
      <c r="U118" s="166"/>
      <c r="V118" s="166"/>
      <c r="W118" s="166"/>
      <c r="X118" s="551"/>
      <c r="Y118" s="551"/>
      <c r="Z118" s="166"/>
      <c r="AA118" s="166"/>
      <c r="AB118" s="166"/>
      <c r="AC118" s="166"/>
      <c r="AD118" s="166"/>
      <c r="AE118" s="166"/>
      <c r="AF118" s="166"/>
      <c r="AG118" s="166"/>
      <c r="AH118" s="166"/>
      <c r="AI118" s="166"/>
      <c r="AJ118" s="166"/>
      <c r="AK118" s="166"/>
      <c r="AL118" s="166"/>
      <c r="AM118" s="166"/>
      <c r="AN118" s="166"/>
      <c r="AO118" s="166"/>
      <c r="AP118" s="166"/>
      <c r="AQ118" s="166"/>
      <c r="AR118" s="166"/>
      <c r="AS118" s="166"/>
      <c r="AT118" s="166"/>
      <c r="AU118" s="166"/>
      <c r="AV118" s="166"/>
      <c r="AW118" s="166"/>
      <c r="AX118" s="166"/>
      <c r="AY118" s="166"/>
      <c r="AZ118" s="166"/>
      <c r="BA118" s="166"/>
      <c r="BB118" s="166"/>
      <c r="BC118" s="166"/>
      <c r="BD118" s="166"/>
      <c r="BE118" s="166"/>
      <c r="BF118" s="166"/>
      <c r="BG118" s="166"/>
      <c r="BH118" s="166"/>
      <c r="BI118" s="166"/>
      <c r="BJ118" s="166"/>
      <c r="BK118" s="166"/>
      <c r="BL118" s="166"/>
      <c r="BM118" s="26"/>
      <c r="BN118" s="26"/>
    </row>
    <row r="119" spans="1:66">
      <c r="A119" s="26"/>
      <c r="B119" s="26"/>
      <c r="C119" s="26"/>
      <c r="D119" s="26"/>
      <c r="E119" s="26"/>
      <c r="F119" s="26"/>
      <c r="G119" s="26"/>
      <c r="H119" s="26"/>
      <c r="I119" s="26"/>
      <c r="J119" s="26"/>
      <c r="K119" s="26"/>
      <c r="L119" s="26"/>
      <c r="M119" s="26"/>
      <c r="N119" s="26"/>
      <c r="O119" s="166"/>
      <c r="P119" s="166"/>
      <c r="Q119" s="166"/>
      <c r="R119" s="166"/>
      <c r="S119" s="166"/>
      <c r="T119" s="166"/>
      <c r="U119" s="166"/>
      <c r="V119" s="166"/>
      <c r="W119" s="166"/>
      <c r="X119" s="551"/>
      <c r="Y119" s="551"/>
      <c r="Z119" s="166"/>
      <c r="AA119" s="166"/>
      <c r="AB119" s="166"/>
      <c r="AC119" s="166"/>
      <c r="AD119" s="166"/>
      <c r="AE119" s="166"/>
      <c r="AF119" s="166"/>
      <c r="AG119" s="166"/>
      <c r="AH119" s="166"/>
      <c r="AI119" s="166"/>
      <c r="AJ119" s="166"/>
      <c r="AK119" s="166"/>
      <c r="AL119" s="166"/>
      <c r="AM119" s="166"/>
      <c r="AN119" s="166"/>
      <c r="AO119" s="166"/>
      <c r="AP119" s="166"/>
      <c r="AQ119" s="166"/>
      <c r="AR119" s="166"/>
      <c r="AS119" s="166"/>
      <c r="AT119" s="166"/>
      <c r="AU119" s="166"/>
      <c r="AV119" s="166"/>
      <c r="AW119" s="166"/>
      <c r="AX119" s="166"/>
      <c r="AY119" s="166"/>
      <c r="AZ119" s="166"/>
      <c r="BA119" s="166"/>
      <c r="BB119" s="166"/>
      <c r="BC119" s="166"/>
      <c r="BD119" s="166"/>
      <c r="BE119" s="166"/>
      <c r="BF119" s="166"/>
      <c r="BG119" s="166"/>
      <c r="BH119" s="166"/>
      <c r="BI119" s="166"/>
      <c r="BJ119" s="166"/>
      <c r="BK119" s="166"/>
      <c r="BL119" s="166"/>
      <c r="BM119" s="26"/>
      <c r="BN119" s="26"/>
    </row>
    <row r="120" spans="1:66">
      <c r="A120" s="26"/>
      <c r="B120" s="26"/>
      <c r="C120" s="26"/>
      <c r="D120" s="26"/>
      <c r="E120" s="26"/>
      <c r="F120" s="26"/>
      <c r="G120" s="26"/>
      <c r="H120" s="26"/>
      <c r="I120" s="26"/>
      <c r="J120" s="26"/>
      <c r="K120" s="26"/>
      <c r="L120" s="26"/>
      <c r="M120" s="26"/>
      <c r="N120" s="26"/>
      <c r="O120" s="166"/>
      <c r="P120" s="166"/>
      <c r="Q120" s="166"/>
      <c r="R120" s="166"/>
      <c r="S120" s="166"/>
      <c r="T120" s="166"/>
      <c r="U120" s="166"/>
      <c r="V120" s="166"/>
      <c r="W120" s="166"/>
      <c r="X120" s="551"/>
      <c r="Y120" s="551"/>
      <c r="Z120" s="166"/>
      <c r="AA120" s="166"/>
      <c r="AB120" s="166"/>
      <c r="AC120" s="166"/>
      <c r="AD120" s="166"/>
      <c r="AE120" s="166"/>
      <c r="AF120" s="166"/>
      <c r="AG120" s="166"/>
      <c r="AH120" s="166"/>
      <c r="AI120" s="166"/>
      <c r="AJ120" s="166"/>
      <c r="AK120" s="166"/>
      <c r="AL120" s="166"/>
      <c r="AM120" s="166"/>
      <c r="AN120" s="166"/>
      <c r="AO120" s="166"/>
      <c r="AP120" s="166"/>
      <c r="AQ120" s="166"/>
      <c r="AR120" s="166"/>
      <c r="AS120" s="166"/>
      <c r="AT120" s="166"/>
      <c r="AU120" s="166"/>
      <c r="AV120" s="166"/>
      <c r="AW120" s="166"/>
      <c r="AX120" s="166"/>
      <c r="AY120" s="166"/>
      <c r="AZ120" s="166"/>
      <c r="BA120" s="166"/>
      <c r="BB120" s="166"/>
      <c r="BC120" s="166"/>
      <c r="BD120" s="166"/>
      <c r="BE120" s="166"/>
      <c r="BF120" s="166"/>
      <c r="BG120" s="166"/>
      <c r="BH120" s="166"/>
      <c r="BI120" s="166"/>
      <c r="BJ120" s="166"/>
      <c r="BK120" s="166"/>
      <c r="BL120" s="166"/>
      <c r="BM120" s="26"/>
      <c r="BN120" s="26"/>
    </row>
    <row r="121" spans="1:66">
      <c r="A121" s="26"/>
      <c r="B121" s="26"/>
      <c r="C121" s="26"/>
      <c r="D121" s="26"/>
      <c r="E121" s="26"/>
      <c r="F121" s="26"/>
      <c r="G121" s="26"/>
      <c r="H121" s="26"/>
      <c r="I121" s="26"/>
      <c r="J121" s="26"/>
      <c r="K121" s="26"/>
      <c r="L121" s="26"/>
      <c r="M121" s="26"/>
      <c r="N121" s="26"/>
      <c r="O121" s="166"/>
      <c r="P121" s="166"/>
      <c r="Q121" s="166"/>
      <c r="R121" s="166"/>
      <c r="S121" s="166"/>
      <c r="T121" s="166"/>
      <c r="U121" s="166"/>
      <c r="V121" s="166"/>
      <c r="W121" s="166"/>
      <c r="X121" s="551"/>
      <c r="Y121" s="551"/>
      <c r="Z121" s="166"/>
      <c r="AA121" s="166"/>
      <c r="AB121" s="166"/>
      <c r="AC121" s="166"/>
      <c r="AD121" s="166"/>
      <c r="AE121" s="166"/>
      <c r="AF121" s="166"/>
      <c r="AG121" s="166"/>
      <c r="AH121" s="166"/>
      <c r="AI121" s="166"/>
      <c r="AJ121" s="166"/>
      <c r="AK121" s="166"/>
      <c r="AL121" s="166"/>
      <c r="AM121" s="166"/>
      <c r="AN121" s="166"/>
      <c r="AO121" s="166"/>
      <c r="AP121" s="166"/>
      <c r="AQ121" s="166"/>
      <c r="AR121" s="166"/>
      <c r="AS121" s="166"/>
      <c r="AT121" s="166"/>
      <c r="AU121" s="166"/>
      <c r="AV121" s="166"/>
      <c r="AW121" s="166"/>
      <c r="AX121" s="166"/>
      <c r="AY121" s="166"/>
      <c r="AZ121" s="166"/>
      <c r="BA121" s="166"/>
      <c r="BB121" s="166"/>
      <c r="BC121" s="166"/>
      <c r="BD121" s="166"/>
      <c r="BE121" s="166"/>
      <c r="BF121" s="166"/>
      <c r="BG121" s="166"/>
      <c r="BH121" s="166"/>
      <c r="BI121" s="166"/>
      <c r="BJ121" s="166"/>
      <c r="BK121" s="166"/>
      <c r="BL121" s="166"/>
      <c r="BM121" s="26"/>
      <c r="BN121" s="26"/>
    </row>
    <row r="122" spans="1:66">
      <c r="A122" s="26"/>
      <c r="B122" s="26"/>
      <c r="C122" s="26"/>
      <c r="D122" s="26"/>
      <c r="E122" s="26"/>
      <c r="F122" s="26"/>
      <c r="G122" s="26"/>
      <c r="H122" s="26"/>
      <c r="I122" s="26"/>
      <c r="J122" s="26"/>
      <c r="K122" s="26"/>
      <c r="L122" s="26"/>
      <c r="M122" s="26"/>
      <c r="N122" s="26"/>
      <c r="O122" s="166"/>
      <c r="P122" s="166"/>
      <c r="Q122" s="166"/>
      <c r="R122" s="166"/>
      <c r="S122" s="166"/>
      <c r="T122" s="166"/>
      <c r="U122" s="166"/>
      <c r="V122" s="166"/>
      <c r="W122" s="166"/>
      <c r="X122" s="551"/>
      <c r="Y122" s="551"/>
      <c r="Z122" s="166"/>
      <c r="AA122" s="166"/>
      <c r="AB122" s="166"/>
      <c r="AC122" s="166"/>
      <c r="AD122" s="166"/>
      <c r="AE122" s="166"/>
      <c r="AF122" s="166"/>
      <c r="AG122" s="166"/>
      <c r="AH122" s="166"/>
      <c r="AI122" s="166"/>
      <c r="AJ122" s="166"/>
      <c r="AK122" s="166"/>
      <c r="AL122" s="166"/>
      <c r="AM122" s="166"/>
      <c r="AN122" s="166"/>
      <c r="AO122" s="166"/>
      <c r="AP122" s="166"/>
      <c r="AQ122" s="166"/>
      <c r="AR122" s="166"/>
      <c r="AS122" s="166"/>
      <c r="AT122" s="166"/>
      <c r="AU122" s="166"/>
      <c r="AV122" s="166"/>
      <c r="AW122" s="166"/>
      <c r="AX122" s="166"/>
      <c r="AY122" s="166"/>
      <c r="AZ122" s="166"/>
      <c r="BA122" s="166"/>
      <c r="BB122" s="166"/>
      <c r="BC122" s="166"/>
      <c r="BD122" s="166"/>
      <c r="BE122" s="166"/>
      <c r="BF122" s="166"/>
      <c r="BG122" s="166"/>
      <c r="BH122" s="166"/>
      <c r="BI122" s="166"/>
      <c r="BJ122" s="166"/>
      <c r="BK122" s="166"/>
      <c r="BL122" s="166"/>
      <c r="BM122" s="26"/>
      <c r="BN122" s="26"/>
    </row>
    <row r="123" spans="1:66">
      <c r="A123" s="26"/>
      <c r="B123" s="26"/>
      <c r="C123" s="26"/>
      <c r="D123" s="26"/>
      <c r="E123" s="26"/>
      <c r="F123" s="26"/>
      <c r="G123" s="26"/>
      <c r="H123" s="26"/>
      <c r="I123" s="26"/>
      <c r="J123" s="26"/>
      <c r="K123" s="26"/>
      <c r="L123" s="26"/>
      <c r="M123" s="26"/>
      <c r="N123" s="26"/>
      <c r="O123" s="166"/>
      <c r="P123" s="166"/>
      <c r="Q123" s="166"/>
      <c r="R123" s="166"/>
      <c r="S123" s="166"/>
      <c r="T123" s="166"/>
      <c r="U123" s="166"/>
      <c r="V123" s="166"/>
      <c r="W123" s="166"/>
      <c r="X123" s="551"/>
      <c r="Y123" s="551"/>
      <c r="Z123" s="166"/>
      <c r="AA123" s="166"/>
      <c r="AB123" s="166"/>
      <c r="AC123" s="166"/>
      <c r="AD123" s="166"/>
      <c r="AE123" s="166"/>
      <c r="AF123" s="166"/>
      <c r="AG123" s="166"/>
      <c r="AH123" s="166"/>
      <c r="AI123" s="166"/>
      <c r="AJ123" s="166"/>
      <c r="AK123" s="166"/>
      <c r="AL123" s="166"/>
      <c r="AM123" s="166"/>
      <c r="AN123" s="166"/>
      <c r="AO123" s="166"/>
      <c r="AP123" s="166"/>
      <c r="AQ123" s="166"/>
      <c r="AR123" s="166"/>
      <c r="AS123" s="166"/>
      <c r="AT123" s="166"/>
      <c r="AU123" s="166"/>
      <c r="AV123" s="166"/>
      <c r="AW123" s="166"/>
      <c r="AX123" s="166"/>
      <c r="AY123" s="166"/>
      <c r="AZ123" s="166"/>
      <c r="BA123" s="166"/>
      <c r="BB123" s="166"/>
      <c r="BC123" s="166"/>
      <c r="BD123" s="166"/>
      <c r="BE123" s="166"/>
      <c r="BF123" s="166"/>
      <c r="BG123" s="166"/>
      <c r="BH123" s="166"/>
      <c r="BI123" s="166"/>
      <c r="BJ123" s="166"/>
      <c r="BK123" s="166"/>
      <c r="BL123" s="166"/>
      <c r="BM123" s="26"/>
      <c r="BN123" s="26"/>
    </row>
    <row r="124" spans="1:66">
      <c r="A124" s="26"/>
      <c r="B124" s="26"/>
      <c r="C124" s="26"/>
      <c r="D124" s="26"/>
      <c r="E124" s="26"/>
      <c r="F124" s="26"/>
      <c r="G124" s="26"/>
      <c r="H124" s="26"/>
      <c r="I124" s="26"/>
      <c r="J124" s="26"/>
      <c r="K124" s="26"/>
      <c r="L124" s="26"/>
      <c r="M124" s="26"/>
      <c r="N124" s="26"/>
      <c r="O124" s="166"/>
      <c r="P124" s="166"/>
      <c r="Q124" s="166"/>
      <c r="R124" s="166"/>
      <c r="S124" s="166"/>
      <c r="T124" s="166"/>
      <c r="U124" s="166"/>
      <c r="V124" s="166"/>
      <c r="W124" s="166"/>
      <c r="X124" s="551"/>
      <c r="Y124" s="551"/>
      <c r="Z124" s="166"/>
      <c r="AA124" s="166"/>
      <c r="AB124" s="166"/>
      <c r="AC124" s="166"/>
      <c r="AD124" s="166"/>
      <c r="AE124" s="166"/>
      <c r="AF124" s="166"/>
      <c r="AG124" s="166"/>
      <c r="AH124" s="166"/>
      <c r="AI124" s="166"/>
      <c r="AJ124" s="166"/>
      <c r="AK124" s="166"/>
      <c r="AL124" s="166"/>
      <c r="AM124" s="166"/>
      <c r="AN124" s="166"/>
      <c r="AO124" s="166"/>
      <c r="AP124" s="166"/>
      <c r="AQ124" s="166"/>
      <c r="AR124" s="166"/>
      <c r="AS124" s="166"/>
      <c r="AT124" s="166"/>
      <c r="AU124" s="166"/>
      <c r="AV124" s="166"/>
      <c r="AW124" s="166"/>
      <c r="AX124" s="166"/>
      <c r="AY124" s="166"/>
      <c r="AZ124" s="166"/>
      <c r="BA124" s="166"/>
      <c r="BB124" s="166"/>
      <c r="BC124" s="166"/>
      <c r="BD124" s="166"/>
      <c r="BE124" s="166"/>
      <c r="BF124" s="166"/>
      <c r="BG124" s="166"/>
      <c r="BH124" s="166"/>
      <c r="BI124" s="166"/>
      <c r="BJ124" s="166"/>
      <c r="BK124" s="166"/>
      <c r="BL124" s="166"/>
      <c r="BM124" s="26"/>
      <c r="BN124" s="26"/>
    </row>
    <row r="125" spans="1:66">
      <c r="A125" s="26"/>
      <c r="B125" s="26"/>
      <c r="C125" s="26"/>
      <c r="D125" s="26"/>
      <c r="E125" s="26"/>
      <c r="F125" s="26"/>
      <c r="G125" s="26"/>
      <c r="H125" s="26"/>
      <c r="I125" s="26"/>
      <c r="J125" s="26"/>
      <c r="K125" s="26"/>
      <c r="L125" s="26"/>
      <c r="M125" s="26"/>
      <c r="N125" s="26"/>
      <c r="O125" s="166"/>
      <c r="P125" s="166"/>
      <c r="Q125" s="166"/>
      <c r="R125" s="166"/>
      <c r="S125" s="166"/>
      <c r="T125" s="166"/>
      <c r="U125" s="166"/>
      <c r="V125" s="166"/>
      <c r="W125" s="166"/>
      <c r="X125" s="551"/>
      <c r="Y125" s="551"/>
      <c r="Z125" s="166"/>
      <c r="AA125" s="166"/>
      <c r="AB125" s="166"/>
      <c r="AC125" s="166"/>
      <c r="AD125" s="166"/>
      <c r="AE125" s="166"/>
      <c r="AF125" s="166"/>
      <c r="AG125" s="166"/>
      <c r="AH125" s="166"/>
      <c r="AI125" s="166"/>
      <c r="AJ125" s="166"/>
      <c r="AK125" s="166"/>
      <c r="AL125" s="166"/>
      <c r="AM125" s="166"/>
      <c r="AN125" s="166"/>
      <c r="AO125" s="166"/>
      <c r="AP125" s="166"/>
      <c r="AQ125" s="166"/>
      <c r="AR125" s="166"/>
      <c r="AS125" s="166"/>
      <c r="AT125" s="166"/>
      <c r="AU125" s="166"/>
      <c r="AV125" s="166"/>
      <c r="AW125" s="166"/>
      <c r="AX125" s="166"/>
      <c r="AY125" s="166"/>
      <c r="AZ125" s="166"/>
      <c r="BA125" s="166"/>
      <c r="BB125" s="166"/>
      <c r="BC125" s="166"/>
      <c r="BD125" s="166"/>
      <c r="BE125" s="166"/>
      <c r="BF125" s="166"/>
      <c r="BG125" s="166"/>
      <c r="BH125" s="166"/>
      <c r="BI125" s="166"/>
      <c r="BJ125" s="166"/>
      <c r="BK125" s="166"/>
      <c r="BL125" s="166"/>
      <c r="BM125" s="26"/>
      <c r="BN125" s="26"/>
    </row>
    <row r="126" spans="1:66">
      <c r="A126" s="26"/>
      <c r="B126" s="26"/>
      <c r="C126" s="26"/>
      <c r="D126" s="26"/>
      <c r="E126" s="26"/>
      <c r="F126" s="26"/>
      <c r="G126" s="26"/>
      <c r="H126" s="26"/>
      <c r="I126" s="26"/>
      <c r="J126" s="26"/>
      <c r="K126" s="26"/>
      <c r="L126" s="26"/>
      <c r="M126" s="26"/>
      <c r="N126" s="26"/>
      <c r="O126" s="166"/>
      <c r="P126" s="166"/>
      <c r="Q126" s="166"/>
      <c r="R126" s="166"/>
      <c r="S126" s="166"/>
      <c r="T126" s="166"/>
      <c r="U126" s="166"/>
      <c r="V126" s="166"/>
      <c r="W126" s="166"/>
      <c r="X126" s="551"/>
      <c r="Y126" s="551"/>
      <c r="Z126" s="166"/>
      <c r="AA126" s="166"/>
      <c r="AB126" s="166"/>
      <c r="AC126" s="166"/>
      <c r="AD126" s="166"/>
      <c r="AE126" s="166"/>
      <c r="AF126" s="166"/>
      <c r="AG126" s="166"/>
      <c r="AH126" s="166"/>
      <c r="AI126" s="166"/>
      <c r="AJ126" s="166"/>
      <c r="AK126" s="166"/>
      <c r="AL126" s="166"/>
      <c r="AM126" s="166"/>
      <c r="AN126" s="166"/>
      <c r="AO126" s="166"/>
      <c r="AP126" s="166"/>
      <c r="AQ126" s="166"/>
      <c r="AR126" s="166"/>
      <c r="AS126" s="166"/>
      <c r="AT126" s="166"/>
      <c r="AU126" s="166"/>
      <c r="AV126" s="166"/>
      <c r="AW126" s="166"/>
      <c r="AX126" s="166"/>
      <c r="AY126" s="166"/>
      <c r="AZ126" s="166"/>
      <c r="BA126" s="166"/>
      <c r="BB126" s="166"/>
      <c r="BC126" s="166"/>
      <c r="BD126" s="166"/>
      <c r="BE126" s="166"/>
      <c r="BF126" s="166"/>
      <c r="BG126" s="166"/>
      <c r="BH126" s="166"/>
      <c r="BI126" s="166"/>
      <c r="BJ126" s="166"/>
      <c r="BK126" s="166"/>
      <c r="BL126" s="166"/>
      <c r="BM126" s="26"/>
      <c r="BN126" s="26"/>
    </row>
    <row r="127" spans="1:66">
      <c r="A127" s="26"/>
      <c r="B127" s="26"/>
      <c r="C127" s="26"/>
      <c r="D127" s="26"/>
      <c r="E127" s="26"/>
      <c r="F127" s="26"/>
      <c r="G127" s="26"/>
      <c r="H127" s="26"/>
      <c r="I127" s="26"/>
      <c r="J127" s="26"/>
      <c r="K127" s="26"/>
      <c r="L127" s="26"/>
      <c r="M127" s="26"/>
      <c r="N127" s="26"/>
      <c r="O127" s="166"/>
      <c r="P127" s="166"/>
      <c r="Q127" s="166"/>
      <c r="R127" s="166"/>
      <c r="S127" s="166"/>
      <c r="T127" s="166"/>
      <c r="U127" s="166"/>
      <c r="V127" s="166"/>
      <c r="W127" s="166"/>
      <c r="X127" s="551"/>
      <c r="Y127" s="551"/>
      <c r="Z127" s="166"/>
      <c r="AA127" s="166"/>
      <c r="AB127" s="166"/>
      <c r="AC127" s="166"/>
      <c r="AD127" s="166"/>
      <c r="AE127" s="166"/>
      <c r="AF127" s="166"/>
      <c r="AG127" s="166"/>
      <c r="AH127" s="166"/>
      <c r="AI127" s="166"/>
      <c r="AJ127" s="166"/>
      <c r="AK127" s="166"/>
      <c r="AL127" s="166"/>
      <c r="AM127" s="166"/>
      <c r="AN127" s="166"/>
      <c r="AO127" s="166"/>
      <c r="AP127" s="166"/>
      <c r="AQ127" s="166"/>
      <c r="AR127" s="166"/>
      <c r="AS127" s="166"/>
      <c r="AT127" s="166"/>
      <c r="AU127" s="166"/>
      <c r="AV127" s="166"/>
      <c r="AW127" s="166"/>
      <c r="AX127" s="166"/>
      <c r="AY127" s="166"/>
      <c r="AZ127" s="166"/>
      <c r="BA127" s="166"/>
      <c r="BB127" s="166"/>
      <c r="BC127" s="166"/>
      <c r="BD127" s="166"/>
      <c r="BE127" s="166"/>
      <c r="BF127" s="166"/>
      <c r="BG127" s="166"/>
      <c r="BH127" s="166"/>
      <c r="BI127" s="166"/>
      <c r="BJ127" s="166"/>
      <c r="BK127" s="166"/>
      <c r="BL127" s="166"/>
      <c r="BM127" s="26"/>
      <c r="BN127" s="26"/>
    </row>
    <row r="128" spans="1:66">
      <c r="A128" s="26"/>
      <c r="B128" s="26"/>
      <c r="C128" s="26"/>
      <c r="D128" s="26"/>
      <c r="E128" s="26"/>
      <c r="F128" s="26"/>
      <c r="G128" s="26"/>
      <c r="H128" s="26"/>
      <c r="I128" s="26"/>
      <c r="J128" s="26"/>
      <c r="K128" s="26"/>
      <c r="L128" s="26"/>
      <c r="M128" s="26"/>
      <c r="N128" s="26"/>
      <c r="O128" s="166"/>
      <c r="P128" s="166"/>
      <c r="Q128" s="166"/>
      <c r="R128" s="166"/>
      <c r="S128" s="166"/>
      <c r="T128" s="166"/>
      <c r="U128" s="166"/>
      <c r="V128" s="166"/>
      <c r="W128" s="166"/>
      <c r="X128" s="551"/>
      <c r="Y128" s="551"/>
      <c r="Z128" s="166"/>
      <c r="AA128" s="166"/>
      <c r="AB128" s="166"/>
      <c r="AC128" s="166"/>
      <c r="AD128" s="166"/>
      <c r="AE128" s="166"/>
      <c r="AF128" s="166"/>
      <c r="AG128" s="166"/>
      <c r="AH128" s="166"/>
      <c r="AI128" s="166"/>
      <c r="AJ128" s="166"/>
      <c r="AK128" s="166"/>
      <c r="AL128" s="166"/>
      <c r="AM128" s="166"/>
      <c r="AN128" s="166"/>
      <c r="AO128" s="166"/>
      <c r="AP128" s="166"/>
      <c r="AQ128" s="166"/>
      <c r="AR128" s="166"/>
      <c r="AS128" s="166"/>
      <c r="AT128" s="166"/>
      <c r="AU128" s="166"/>
      <c r="AV128" s="166"/>
      <c r="AW128" s="166"/>
      <c r="AX128" s="166"/>
      <c r="AY128" s="166"/>
      <c r="AZ128" s="166"/>
      <c r="BA128" s="166"/>
      <c r="BB128" s="166"/>
      <c r="BC128" s="166"/>
      <c r="BD128" s="166"/>
      <c r="BE128" s="166"/>
      <c r="BF128" s="166"/>
      <c r="BG128" s="166"/>
      <c r="BH128" s="166"/>
      <c r="BI128" s="166"/>
      <c r="BJ128" s="166"/>
      <c r="BK128" s="166"/>
      <c r="BL128" s="166"/>
      <c r="BM128" s="26"/>
      <c r="BN128" s="26"/>
    </row>
    <row r="129" spans="1:66">
      <c r="A129" s="26"/>
      <c r="B129" s="26"/>
      <c r="C129" s="26"/>
      <c r="D129" s="26"/>
      <c r="E129" s="26"/>
      <c r="F129" s="26"/>
      <c r="G129" s="26"/>
      <c r="H129" s="26"/>
      <c r="I129" s="26"/>
      <c r="J129" s="26"/>
      <c r="K129" s="26"/>
      <c r="L129" s="26"/>
      <c r="M129" s="26"/>
      <c r="N129" s="26"/>
      <c r="O129" s="166"/>
      <c r="P129" s="166"/>
      <c r="Q129" s="166"/>
      <c r="R129" s="166"/>
      <c r="S129" s="166"/>
      <c r="T129" s="166"/>
      <c r="U129" s="166"/>
      <c r="V129" s="166"/>
      <c r="W129" s="166"/>
      <c r="X129" s="551"/>
      <c r="Y129" s="551"/>
      <c r="Z129" s="166"/>
      <c r="AA129" s="166"/>
      <c r="AB129" s="166"/>
      <c r="AC129" s="166"/>
      <c r="AD129" s="166"/>
      <c r="AE129" s="166"/>
      <c r="AF129" s="166"/>
      <c r="AG129" s="166"/>
      <c r="AH129" s="166"/>
      <c r="AI129" s="166"/>
      <c r="AJ129" s="166"/>
      <c r="AK129" s="166"/>
      <c r="AL129" s="166"/>
      <c r="AM129" s="166"/>
      <c r="AN129" s="166"/>
      <c r="AO129" s="166"/>
      <c r="AP129" s="166"/>
      <c r="AQ129" s="166"/>
      <c r="AR129" s="166"/>
      <c r="AS129" s="166"/>
      <c r="AT129" s="166"/>
      <c r="AU129" s="166"/>
      <c r="AV129" s="166"/>
      <c r="AW129" s="166"/>
      <c r="AX129" s="166"/>
      <c r="AY129" s="166"/>
      <c r="AZ129" s="166"/>
      <c r="BA129" s="166"/>
      <c r="BB129" s="166"/>
      <c r="BC129" s="166"/>
      <c r="BD129" s="166"/>
      <c r="BE129" s="166"/>
      <c r="BF129" s="166"/>
      <c r="BG129" s="166"/>
      <c r="BH129" s="166"/>
      <c r="BI129" s="166"/>
      <c r="BJ129" s="166"/>
      <c r="BK129" s="166"/>
      <c r="BL129" s="166"/>
      <c r="BM129" s="26"/>
      <c r="BN129" s="26"/>
    </row>
    <row r="130" spans="1:66">
      <c r="A130" s="26"/>
      <c r="B130" s="26"/>
      <c r="C130" s="26"/>
      <c r="D130" s="26"/>
      <c r="E130" s="26"/>
      <c r="F130" s="26"/>
      <c r="G130" s="26"/>
      <c r="H130" s="26"/>
      <c r="I130" s="26"/>
      <c r="J130" s="26"/>
      <c r="K130" s="26"/>
      <c r="L130" s="26"/>
      <c r="M130" s="26"/>
      <c r="N130" s="26"/>
      <c r="O130" s="166"/>
      <c r="P130" s="166"/>
      <c r="Q130" s="166"/>
      <c r="R130" s="166"/>
      <c r="S130" s="166"/>
      <c r="T130" s="166"/>
      <c r="U130" s="166"/>
      <c r="V130" s="166"/>
      <c r="W130" s="166"/>
      <c r="X130" s="551"/>
      <c r="Y130" s="551"/>
      <c r="Z130" s="166"/>
      <c r="AA130" s="166"/>
      <c r="AB130" s="166"/>
      <c r="AC130" s="166"/>
      <c r="AD130" s="166"/>
      <c r="AE130" s="166"/>
      <c r="AF130" s="166"/>
      <c r="AG130" s="166"/>
      <c r="AH130" s="166"/>
      <c r="AI130" s="166"/>
      <c r="AJ130" s="166"/>
      <c r="AK130" s="166"/>
      <c r="AL130" s="166"/>
      <c r="AM130" s="166"/>
      <c r="AN130" s="166"/>
      <c r="AO130" s="166"/>
      <c r="AP130" s="166"/>
      <c r="AQ130" s="166"/>
      <c r="AR130" s="166"/>
      <c r="AS130" s="166"/>
      <c r="AT130" s="166"/>
      <c r="AU130" s="166"/>
      <c r="AV130" s="166"/>
      <c r="AW130" s="166"/>
      <c r="AX130" s="166"/>
      <c r="AY130" s="166"/>
      <c r="AZ130" s="166"/>
      <c r="BA130" s="166"/>
      <c r="BB130" s="166"/>
      <c r="BC130" s="166"/>
      <c r="BD130" s="166"/>
      <c r="BE130" s="166"/>
      <c r="BF130" s="166"/>
      <c r="BG130" s="166"/>
      <c r="BH130" s="166"/>
      <c r="BI130" s="166"/>
      <c r="BJ130" s="166"/>
      <c r="BK130" s="166"/>
      <c r="BL130" s="166"/>
      <c r="BM130" s="26"/>
      <c r="BN130" s="26"/>
    </row>
    <row r="131" spans="1:66">
      <c r="A131" s="26"/>
      <c r="B131" s="26"/>
      <c r="C131" s="26"/>
      <c r="D131" s="26"/>
      <c r="E131" s="26"/>
      <c r="F131" s="26"/>
      <c r="G131" s="26"/>
      <c r="H131" s="26"/>
      <c r="I131" s="26"/>
      <c r="J131" s="26"/>
      <c r="K131" s="26"/>
      <c r="L131" s="26"/>
      <c r="M131" s="26"/>
      <c r="N131" s="26"/>
      <c r="O131" s="166"/>
      <c r="P131" s="166"/>
      <c r="Q131" s="166"/>
      <c r="R131" s="166"/>
      <c r="S131" s="166"/>
      <c r="T131" s="166"/>
      <c r="U131" s="166"/>
      <c r="V131" s="166"/>
      <c r="W131" s="166"/>
      <c r="X131" s="166"/>
      <c r="Y131" s="551"/>
      <c r="Z131" s="166"/>
      <c r="AA131" s="166"/>
      <c r="AB131" s="166"/>
      <c r="AC131" s="166"/>
      <c r="AD131" s="166"/>
      <c r="AE131" s="166"/>
      <c r="AF131" s="166"/>
      <c r="AG131" s="166"/>
      <c r="AH131" s="166"/>
      <c r="AI131" s="166"/>
      <c r="AJ131" s="166"/>
      <c r="AK131" s="166"/>
      <c r="AL131" s="166"/>
      <c r="AM131" s="166"/>
      <c r="AN131" s="166"/>
      <c r="AO131" s="166"/>
      <c r="AP131" s="166"/>
      <c r="AQ131" s="166"/>
      <c r="AR131" s="166"/>
      <c r="AS131" s="166"/>
      <c r="AT131" s="166"/>
      <c r="AU131" s="166"/>
      <c r="AV131" s="166"/>
      <c r="AW131" s="166"/>
      <c r="AX131" s="166"/>
      <c r="AY131" s="166"/>
      <c r="AZ131" s="166"/>
      <c r="BA131" s="166"/>
      <c r="BB131" s="166"/>
      <c r="BC131" s="166"/>
      <c r="BD131" s="166"/>
      <c r="BE131" s="166"/>
      <c r="BF131" s="166"/>
      <c r="BG131" s="166"/>
      <c r="BH131" s="166"/>
      <c r="BI131" s="166"/>
      <c r="BJ131" s="166"/>
      <c r="BK131" s="166"/>
      <c r="BL131" s="166"/>
      <c r="BM131" s="26"/>
      <c r="BN131" s="26"/>
    </row>
    <row r="132" spans="1:66">
      <c r="A132" s="26"/>
      <c r="B132" s="26"/>
      <c r="C132" s="26"/>
      <c r="D132" s="26"/>
      <c r="E132" s="26"/>
      <c r="F132" s="26"/>
      <c r="G132" s="26"/>
      <c r="H132" s="26"/>
      <c r="I132" s="26"/>
      <c r="J132" s="26"/>
      <c r="K132" s="26"/>
      <c r="L132" s="26"/>
      <c r="M132" s="26"/>
      <c r="N132" s="26"/>
      <c r="O132" s="166"/>
      <c r="P132" s="166"/>
      <c r="Q132" s="166"/>
      <c r="R132" s="166"/>
      <c r="S132" s="166"/>
      <c r="T132" s="166"/>
      <c r="U132" s="166"/>
      <c r="V132" s="166"/>
      <c r="W132" s="166"/>
      <c r="X132" s="166"/>
      <c r="Y132" s="166"/>
      <c r="Z132" s="166"/>
      <c r="AA132" s="166"/>
      <c r="AB132" s="166"/>
      <c r="AC132" s="166"/>
      <c r="AD132" s="166"/>
      <c r="AE132" s="166"/>
      <c r="AF132" s="166"/>
      <c r="AG132" s="166"/>
      <c r="AH132" s="166"/>
      <c r="AI132" s="166"/>
      <c r="AJ132" s="166"/>
      <c r="AK132" s="166"/>
      <c r="AL132" s="166"/>
      <c r="AM132" s="166"/>
      <c r="AN132" s="166"/>
      <c r="AO132" s="166"/>
      <c r="AP132" s="166"/>
      <c r="AQ132" s="166"/>
      <c r="AR132" s="166"/>
      <c r="AS132" s="166"/>
      <c r="AT132" s="166"/>
      <c r="AU132" s="166"/>
      <c r="AV132" s="166"/>
      <c r="AW132" s="166"/>
      <c r="AX132" s="166"/>
      <c r="AY132" s="166"/>
      <c r="AZ132" s="166"/>
      <c r="BA132" s="166"/>
      <c r="BB132" s="166"/>
      <c r="BC132" s="166"/>
      <c r="BD132" s="166"/>
      <c r="BE132" s="166"/>
      <c r="BF132" s="166"/>
      <c r="BG132" s="166"/>
      <c r="BH132" s="166"/>
      <c r="BI132" s="166"/>
      <c r="BJ132" s="166"/>
      <c r="BK132" s="166"/>
      <c r="BL132" s="166"/>
      <c r="BM132" s="26"/>
      <c r="BN132" s="26"/>
    </row>
    <row r="133" spans="1:66">
      <c r="A133" s="26"/>
      <c r="B133" s="26"/>
      <c r="C133" s="26"/>
      <c r="D133" s="26"/>
      <c r="E133" s="26"/>
      <c r="F133" s="26"/>
      <c r="G133" s="26"/>
      <c r="H133" s="26"/>
      <c r="I133" s="26"/>
      <c r="J133" s="26"/>
      <c r="K133" s="26"/>
      <c r="L133" s="26"/>
      <c r="M133" s="26"/>
      <c r="N133" s="26"/>
      <c r="O133" s="166"/>
      <c r="P133" s="166"/>
      <c r="Q133" s="166"/>
      <c r="R133" s="166"/>
      <c r="S133" s="166"/>
      <c r="T133" s="166"/>
      <c r="U133" s="166"/>
      <c r="V133" s="166"/>
      <c r="W133" s="166"/>
      <c r="X133" s="166"/>
      <c r="Y133" s="166"/>
      <c r="Z133" s="166"/>
      <c r="AA133" s="166"/>
      <c r="AB133" s="166"/>
      <c r="AC133" s="166"/>
      <c r="AD133" s="166"/>
      <c r="AE133" s="166"/>
      <c r="AF133" s="166"/>
      <c r="AG133" s="166"/>
      <c r="AH133" s="166"/>
      <c r="AI133" s="166"/>
      <c r="AJ133" s="166"/>
      <c r="AK133" s="166"/>
      <c r="AL133" s="166"/>
      <c r="AM133" s="166"/>
      <c r="AN133" s="166"/>
      <c r="AO133" s="166"/>
      <c r="AP133" s="166"/>
      <c r="AQ133" s="166"/>
      <c r="AR133" s="166"/>
      <c r="AS133" s="166"/>
      <c r="AT133" s="166"/>
      <c r="AU133" s="166"/>
      <c r="AV133" s="166"/>
      <c r="AW133" s="166"/>
      <c r="AX133" s="166"/>
      <c r="AY133" s="166"/>
      <c r="AZ133" s="166"/>
      <c r="BA133" s="166"/>
      <c r="BB133" s="166"/>
      <c r="BC133" s="166"/>
      <c r="BD133" s="166"/>
      <c r="BE133" s="166"/>
      <c r="BF133" s="166"/>
      <c r="BG133" s="166"/>
      <c r="BH133" s="166"/>
      <c r="BI133" s="166"/>
      <c r="BJ133" s="166"/>
      <c r="BK133" s="166"/>
      <c r="BL133" s="166"/>
      <c r="BM133" s="26"/>
      <c r="BN133" s="26"/>
    </row>
    <row r="134" spans="1:66">
      <c r="A134" s="26"/>
      <c r="B134" s="26"/>
      <c r="C134" s="26"/>
      <c r="D134" s="26"/>
      <c r="E134" s="26"/>
      <c r="F134" s="26"/>
      <c r="G134" s="26"/>
      <c r="H134" s="26"/>
      <c r="I134" s="26"/>
      <c r="J134" s="26"/>
      <c r="K134" s="26"/>
      <c r="L134" s="26"/>
      <c r="M134" s="26"/>
      <c r="N134" s="26"/>
      <c r="O134" s="166"/>
      <c r="P134" s="166"/>
      <c r="Q134" s="166"/>
      <c r="R134" s="166"/>
      <c r="S134" s="166"/>
      <c r="T134" s="166"/>
      <c r="U134" s="166"/>
      <c r="V134" s="166"/>
      <c r="W134" s="166"/>
      <c r="X134" s="166"/>
      <c r="Y134" s="166"/>
      <c r="Z134" s="166"/>
      <c r="AA134" s="166"/>
      <c r="AB134" s="166"/>
      <c r="AC134" s="166"/>
      <c r="AD134" s="166"/>
      <c r="AE134" s="166"/>
      <c r="AF134" s="166"/>
      <c r="AG134" s="166"/>
      <c r="AH134" s="166"/>
      <c r="AI134" s="166"/>
      <c r="AJ134" s="166"/>
      <c r="AK134" s="166"/>
      <c r="AL134" s="166"/>
      <c r="AM134" s="166"/>
      <c r="AN134" s="166"/>
      <c r="AO134" s="166"/>
      <c r="AP134" s="166"/>
      <c r="AQ134" s="166"/>
      <c r="AR134" s="166"/>
      <c r="AS134" s="166"/>
      <c r="AT134" s="166"/>
      <c r="AU134" s="166"/>
      <c r="AV134" s="166"/>
      <c r="AW134" s="166"/>
      <c r="AX134" s="166"/>
      <c r="AY134" s="166"/>
      <c r="AZ134" s="166"/>
      <c r="BA134" s="166"/>
      <c r="BB134" s="166"/>
      <c r="BC134" s="166"/>
      <c r="BD134" s="166"/>
      <c r="BE134" s="166"/>
      <c r="BF134" s="166"/>
      <c r="BG134" s="166"/>
      <c r="BH134" s="166"/>
      <c r="BI134" s="166"/>
      <c r="BJ134" s="166"/>
      <c r="BK134" s="166"/>
      <c r="BL134" s="166"/>
      <c r="BM134" s="26"/>
      <c r="BN134" s="26"/>
    </row>
    <row r="135" spans="1:66">
      <c r="A135" s="26"/>
      <c r="B135" s="26"/>
      <c r="C135" s="26"/>
      <c r="D135" s="26"/>
      <c r="E135" s="26"/>
      <c r="F135" s="26"/>
      <c r="G135" s="26"/>
      <c r="H135" s="26"/>
      <c r="I135" s="26"/>
      <c r="J135" s="26"/>
      <c r="K135" s="26"/>
      <c r="L135" s="26"/>
      <c r="M135" s="26"/>
      <c r="N135" s="26"/>
      <c r="O135" s="166"/>
      <c r="P135" s="166"/>
      <c r="Q135" s="166"/>
      <c r="R135" s="166"/>
      <c r="S135" s="166"/>
      <c r="T135" s="166"/>
      <c r="U135" s="166"/>
      <c r="V135" s="166"/>
      <c r="W135" s="166"/>
      <c r="X135" s="166"/>
      <c r="Y135" s="166"/>
      <c r="Z135" s="166"/>
      <c r="AA135" s="166"/>
      <c r="AB135" s="166"/>
      <c r="AC135" s="166"/>
      <c r="AD135" s="166"/>
      <c r="AE135" s="166"/>
      <c r="AF135" s="166"/>
      <c r="AG135" s="166"/>
      <c r="AH135" s="166"/>
      <c r="AI135" s="166"/>
      <c r="AJ135" s="166"/>
      <c r="AK135" s="166"/>
      <c r="AL135" s="166"/>
      <c r="AM135" s="166"/>
      <c r="AN135" s="166"/>
      <c r="AO135" s="166"/>
      <c r="AP135" s="166"/>
      <c r="AQ135" s="166"/>
      <c r="AR135" s="166"/>
      <c r="AS135" s="166"/>
      <c r="AT135" s="166"/>
      <c r="AU135" s="166"/>
      <c r="AV135" s="166"/>
      <c r="AW135" s="166"/>
      <c r="AX135" s="166"/>
      <c r="AY135" s="166"/>
      <c r="AZ135" s="166"/>
      <c r="BA135" s="166"/>
      <c r="BB135" s="166"/>
      <c r="BC135" s="166"/>
      <c r="BD135" s="166"/>
      <c r="BE135" s="166"/>
      <c r="BF135" s="166"/>
      <c r="BG135" s="166"/>
      <c r="BH135" s="166"/>
      <c r="BI135" s="166"/>
      <c r="BJ135" s="166"/>
      <c r="BK135" s="166"/>
      <c r="BL135" s="166"/>
      <c r="BM135" s="26"/>
      <c r="BN135" s="26"/>
    </row>
    <row r="136" spans="1:66">
      <c r="A136" s="26"/>
      <c r="B136" s="26"/>
      <c r="C136" s="26"/>
      <c r="D136" s="26"/>
      <c r="E136" s="26"/>
      <c r="F136" s="26"/>
      <c r="G136" s="26"/>
      <c r="H136" s="26"/>
      <c r="I136" s="26"/>
      <c r="J136" s="26"/>
      <c r="K136" s="26"/>
      <c r="L136" s="26"/>
      <c r="M136" s="26"/>
      <c r="N136" s="26"/>
      <c r="O136" s="166"/>
      <c r="P136" s="166"/>
      <c r="Q136" s="166"/>
      <c r="R136" s="166"/>
      <c r="S136" s="166"/>
      <c r="T136" s="166"/>
      <c r="U136" s="166"/>
      <c r="V136" s="166"/>
      <c r="W136" s="166"/>
      <c r="X136" s="166"/>
      <c r="Y136" s="166"/>
      <c r="Z136" s="166"/>
      <c r="AA136" s="166"/>
      <c r="AB136" s="166"/>
      <c r="AC136" s="166"/>
      <c r="AD136" s="166"/>
      <c r="AE136" s="166"/>
      <c r="AF136" s="166"/>
      <c r="AG136" s="166"/>
      <c r="AH136" s="166"/>
      <c r="AI136" s="166"/>
      <c r="AJ136" s="166"/>
      <c r="AK136" s="166"/>
      <c r="AL136" s="166"/>
      <c r="AM136" s="166"/>
      <c r="AN136" s="166"/>
      <c r="AO136" s="166"/>
      <c r="AP136" s="166"/>
      <c r="AQ136" s="166"/>
      <c r="AR136" s="166"/>
      <c r="AS136" s="166"/>
      <c r="AT136" s="166"/>
      <c r="AU136" s="166"/>
      <c r="AV136" s="166"/>
      <c r="AW136" s="166"/>
      <c r="AX136" s="166"/>
      <c r="AY136" s="166"/>
      <c r="AZ136" s="166"/>
      <c r="BA136" s="166"/>
      <c r="BB136" s="166"/>
      <c r="BC136" s="166"/>
      <c r="BD136" s="166"/>
      <c r="BE136" s="166"/>
      <c r="BF136" s="166"/>
      <c r="BG136" s="166"/>
      <c r="BH136" s="166"/>
      <c r="BI136" s="166"/>
      <c r="BJ136" s="166"/>
      <c r="BK136" s="166"/>
      <c r="BL136" s="166"/>
      <c r="BM136" s="26"/>
      <c r="BN136" s="26"/>
    </row>
    <row r="137" spans="1:66">
      <c r="A137" s="26"/>
      <c r="B137" s="26"/>
      <c r="C137" s="26"/>
      <c r="D137" s="26"/>
      <c r="E137" s="26"/>
      <c r="F137" s="26"/>
      <c r="G137" s="26"/>
      <c r="H137" s="26"/>
      <c r="I137" s="26"/>
      <c r="J137" s="26"/>
      <c r="K137" s="26"/>
      <c r="L137" s="26"/>
      <c r="M137" s="26"/>
      <c r="N137" s="26"/>
      <c r="O137" s="166"/>
      <c r="P137" s="166"/>
      <c r="Q137" s="166"/>
      <c r="R137" s="166"/>
      <c r="S137" s="166"/>
      <c r="T137" s="166"/>
      <c r="U137" s="166"/>
      <c r="V137" s="166"/>
      <c r="W137" s="166"/>
      <c r="X137" s="166"/>
      <c r="Y137" s="166"/>
      <c r="Z137" s="166"/>
      <c r="AA137" s="166"/>
      <c r="AB137" s="166"/>
      <c r="AC137" s="166"/>
      <c r="AD137" s="166"/>
      <c r="AE137" s="166"/>
      <c r="AF137" s="166"/>
      <c r="AG137" s="166"/>
      <c r="AH137" s="166"/>
      <c r="AI137" s="166"/>
      <c r="AJ137" s="166"/>
      <c r="AK137" s="166"/>
      <c r="AL137" s="166"/>
      <c r="AM137" s="166"/>
      <c r="AN137" s="166"/>
      <c r="AO137" s="166"/>
      <c r="AP137" s="166"/>
      <c r="AQ137" s="166"/>
      <c r="AR137" s="166"/>
      <c r="AS137" s="166"/>
      <c r="AT137" s="166"/>
      <c r="AU137" s="166"/>
      <c r="AV137" s="166"/>
      <c r="AW137" s="166"/>
      <c r="AX137" s="166"/>
      <c r="AY137" s="166"/>
      <c r="AZ137" s="166"/>
      <c r="BA137" s="166"/>
      <c r="BB137" s="166"/>
      <c r="BC137" s="166"/>
      <c r="BD137" s="166"/>
      <c r="BE137" s="166"/>
      <c r="BF137" s="166"/>
      <c r="BG137" s="166"/>
      <c r="BH137" s="166"/>
      <c r="BI137" s="166"/>
      <c r="BJ137" s="166"/>
      <c r="BK137" s="166"/>
      <c r="BL137" s="166"/>
      <c r="BM137" s="26"/>
      <c r="BN137" s="26"/>
    </row>
    <row r="138" spans="1:66">
      <c r="A138" s="26"/>
      <c r="B138" s="26"/>
      <c r="C138" s="26"/>
      <c r="D138" s="26"/>
      <c r="E138" s="26"/>
      <c r="F138" s="26"/>
      <c r="G138" s="26"/>
      <c r="H138" s="26"/>
      <c r="I138" s="26"/>
      <c r="J138" s="26"/>
      <c r="K138" s="26"/>
      <c r="L138" s="26"/>
      <c r="M138" s="26"/>
      <c r="N138" s="26"/>
      <c r="O138" s="166"/>
      <c r="P138" s="166"/>
      <c r="Q138" s="166"/>
      <c r="R138" s="166"/>
      <c r="S138" s="166"/>
      <c r="T138" s="166"/>
      <c r="U138" s="166"/>
      <c r="V138" s="166"/>
      <c r="W138" s="166"/>
      <c r="X138" s="166"/>
      <c r="Y138" s="166"/>
      <c r="Z138" s="166"/>
      <c r="AA138" s="166"/>
      <c r="AB138" s="166"/>
      <c r="AC138" s="166"/>
      <c r="AD138" s="166"/>
      <c r="AE138" s="166"/>
      <c r="AF138" s="166"/>
      <c r="AG138" s="166"/>
      <c r="AH138" s="166"/>
      <c r="AI138" s="166"/>
      <c r="AJ138" s="166"/>
      <c r="AK138" s="166"/>
      <c r="AL138" s="166"/>
      <c r="AM138" s="166"/>
      <c r="AN138" s="166"/>
      <c r="AO138" s="166"/>
      <c r="AP138" s="166"/>
      <c r="AQ138" s="166"/>
      <c r="AR138" s="166"/>
      <c r="AS138" s="166"/>
      <c r="AT138" s="166"/>
      <c r="AU138" s="166"/>
      <c r="AV138" s="166"/>
      <c r="AW138" s="166"/>
      <c r="AX138" s="166"/>
      <c r="AY138" s="166"/>
      <c r="AZ138" s="166"/>
      <c r="BA138" s="166"/>
      <c r="BB138" s="166"/>
      <c r="BC138" s="166"/>
      <c r="BD138" s="166"/>
      <c r="BE138" s="166"/>
      <c r="BF138" s="166"/>
      <c r="BG138" s="166"/>
      <c r="BH138" s="166"/>
      <c r="BI138" s="166"/>
      <c r="BJ138" s="166"/>
      <c r="BK138" s="166"/>
      <c r="BL138" s="166"/>
      <c r="BM138" s="26"/>
      <c r="BN138" s="26"/>
    </row>
    <row r="139" spans="1:66">
      <c r="A139" s="26"/>
      <c r="B139" s="26"/>
      <c r="C139" s="26"/>
      <c r="D139" s="26"/>
      <c r="E139" s="26"/>
      <c r="F139" s="26"/>
      <c r="G139" s="26"/>
      <c r="H139" s="26"/>
      <c r="I139" s="26"/>
      <c r="J139" s="26"/>
      <c r="K139" s="26"/>
      <c r="L139" s="26"/>
      <c r="M139" s="26"/>
      <c r="N139" s="26"/>
      <c r="O139" s="166"/>
      <c r="P139" s="166"/>
      <c r="Q139" s="166"/>
      <c r="R139" s="166"/>
      <c r="S139" s="166"/>
      <c r="T139" s="166"/>
      <c r="U139" s="166"/>
      <c r="V139" s="166"/>
      <c r="W139" s="166"/>
      <c r="X139" s="166"/>
      <c r="Y139" s="166"/>
      <c r="Z139" s="166"/>
      <c r="AA139" s="166"/>
      <c r="AB139" s="166"/>
      <c r="AC139" s="166"/>
      <c r="AD139" s="166"/>
      <c r="AE139" s="166"/>
      <c r="AF139" s="166"/>
      <c r="AG139" s="166"/>
      <c r="AH139" s="166"/>
      <c r="AI139" s="166"/>
      <c r="AJ139" s="166"/>
      <c r="AK139" s="166"/>
      <c r="AL139" s="166"/>
      <c r="AM139" s="166"/>
      <c r="AN139" s="166"/>
      <c r="AO139" s="166"/>
      <c r="AP139" s="166"/>
      <c r="AQ139" s="166"/>
      <c r="AR139" s="166"/>
      <c r="AS139" s="166"/>
      <c r="AT139" s="166"/>
      <c r="AU139" s="166"/>
      <c r="AV139" s="166"/>
      <c r="AW139" s="166"/>
      <c r="AX139" s="166"/>
      <c r="AY139" s="166"/>
      <c r="AZ139" s="166"/>
      <c r="BA139" s="166"/>
      <c r="BB139" s="166"/>
      <c r="BC139" s="166"/>
      <c r="BD139" s="166"/>
      <c r="BE139" s="166"/>
      <c r="BF139" s="166"/>
      <c r="BG139" s="166"/>
      <c r="BH139" s="166"/>
      <c r="BI139" s="166"/>
      <c r="BJ139" s="166"/>
      <c r="BK139" s="166"/>
      <c r="BL139" s="166"/>
      <c r="BM139" s="26"/>
      <c r="BN139" s="26"/>
    </row>
    <row r="140" spans="1:66">
      <c r="A140" s="26"/>
      <c r="B140" s="26"/>
      <c r="C140" s="26"/>
      <c r="D140" s="26"/>
      <c r="E140" s="26"/>
      <c r="F140" s="26"/>
      <c r="G140" s="26"/>
      <c r="H140" s="26"/>
      <c r="I140" s="26"/>
      <c r="J140" s="26"/>
      <c r="K140" s="26"/>
      <c r="L140" s="26"/>
      <c r="M140" s="26"/>
      <c r="N140" s="26"/>
      <c r="O140" s="166"/>
      <c r="P140" s="166"/>
      <c r="Q140" s="166"/>
      <c r="R140" s="166"/>
      <c r="S140" s="166"/>
      <c r="T140" s="166"/>
      <c r="U140" s="166"/>
      <c r="V140" s="166"/>
      <c r="W140" s="166"/>
      <c r="X140" s="166"/>
      <c r="Y140" s="166"/>
      <c r="Z140" s="166"/>
      <c r="AA140" s="166"/>
      <c r="AB140" s="166"/>
      <c r="AC140" s="166"/>
      <c r="AD140" s="166"/>
      <c r="AE140" s="166"/>
      <c r="AF140" s="166"/>
      <c r="AG140" s="166"/>
      <c r="AH140" s="166"/>
      <c r="AI140" s="166"/>
      <c r="AJ140" s="166"/>
      <c r="AK140" s="166"/>
      <c r="AL140" s="166"/>
      <c r="AM140" s="166"/>
      <c r="AN140" s="166"/>
      <c r="AO140" s="166"/>
      <c r="AP140" s="166"/>
      <c r="AQ140" s="166"/>
      <c r="AR140" s="166"/>
      <c r="AS140" s="166"/>
      <c r="AT140" s="166"/>
      <c r="AU140" s="166"/>
      <c r="AV140" s="166"/>
      <c r="AW140" s="166"/>
      <c r="AX140" s="166"/>
      <c r="AY140" s="166"/>
      <c r="AZ140" s="166"/>
      <c r="BA140" s="166"/>
      <c r="BB140" s="166"/>
      <c r="BC140" s="166"/>
      <c r="BD140" s="166"/>
      <c r="BE140" s="166"/>
      <c r="BF140" s="166"/>
      <c r="BG140" s="166"/>
      <c r="BH140" s="166"/>
      <c r="BI140" s="166"/>
      <c r="BJ140" s="166"/>
      <c r="BK140" s="166"/>
      <c r="BL140" s="166"/>
      <c r="BM140" s="26"/>
      <c r="BN140" s="26"/>
    </row>
    <row r="141" spans="1:66">
      <c r="A141" s="26"/>
      <c r="B141" s="26"/>
      <c r="C141" s="26"/>
      <c r="D141" s="26"/>
      <c r="E141" s="26"/>
      <c r="F141" s="26"/>
      <c r="G141" s="26"/>
      <c r="H141" s="26"/>
      <c r="I141" s="26"/>
      <c r="J141" s="26"/>
      <c r="K141" s="26"/>
      <c r="L141" s="26"/>
      <c r="M141" s="26"/>
      <c r="N141" s="26"/>
      <c r="O141" s="166"/>
      <c r="P141" s="166"/>
      <c r="Q141" s="166"/>
      <c r="R141" s="166"/>
      <c r="S141" s="166"/>
      <c r="T141" s="166"/>
      <c r="U141" s="166"/>
      <c r="V141" s="166"/>
      <c r="W141" s="166"/>
      <c r="X141" s="166"/>
      <c r="Y141" s="166"/>
      <c r="Z141" s="166"/>
      <c r="AA141" s="166"/>
      <c r="AB141" s="166"/>
      <c r="AC141" s="166"/>
      <c r="AD141" s="166"/>
      <c r="AE141" s="166"/>
      <c r="AF141" s="166"/>
      <c r="AG141" s="166"/>
      <c r="AH141" s="166"/>
      <c r="AI141" s="166"/>
      <c r="AJ141" s="166"/>
      <c r="AK141" s="166"/>
      <c r="AL141" s="166"/>
      <c r="AM141" s="166"/>
      <c r="AN141" s="166"/>
      <c r="AO141" s="166"/>
      <c r="AP141" s="166"/>
      <c r="AQ141" s="166"/>
      <c r="AR141" s="166"/>
      <c r="AS141" s="166"/>
      <c r="AT141" s="166"/>
      <c r="AU141" s="166"/>
      <c r="AV141" s="166"/>
      <c r="AW141" s="166"/>
      <c r="AX141" s="166"/>
      <c r="AY141" s="166"/>
      <c r="AZ141" s="166"/>
      <c r="BA141" s="166"/>
      <c r="BB141" s="166"/>
      <c r="BC141" s="166"/>
      <c r="BD141" s="166"/>
      <c r="BE141" s="166"/>
      <c r="BF141" s="166"/>
      <c r="BG141" s="166"/>
      <c r="BH141" s="166"/>
      <c r="BI141" s="166"/>
      <c r="BJ141" s="166"/>
      <c r="BK141" s="166"/>
      <c r="BL141" s="166"/>
      <c r="BM141" s="26"/>
      <c r="BN141" s="26"/>
    </row>
    <row r="142" spans="1:66">
      <c r="A142" s="26"/>
      <c r="B142" s="26"/>
      <c r="C142" s="26"/>
      <c r="D142" s="26"/>
      <c r="E142" s="26"/>
      <c r="F142" s="26"/>
      <c r="G142" s="26"/>
      <c r="H142" s="26"/>
      <c r="I142" s="26"/>
      <c r="J142" s="26"/>
      <c r="K142" s="26"/>
      <c r="L142" s="26"/>
      <c r="M142" s="26"/>
      <c r="N142" s="26"/>
      <c r="O142" s="166"/>
      <c r="P142" s="166"/>
      <c r="Q142" s="166"/>
      <c r="R142" s="166"/>
      <c r="S142" s="166"/>
      <c r="T142" s="166"/>
      <c r="U142" s="166"/>
      <c r="V142" s="166"/>
      <c r="W142" s="166"/>
      <c r="X142" s="166"/>
      <c r="Y142" s="166"/>
      <c r="Z142" s="166"/>
      <c r="AA142" s="166"/>
      <c r="AB142" s="166"/>
      <c r="AC142" s="166"/>
      <c r="AD142" s="166"/>
      <c r="AE142" s="166"/>
      <c r="AF142" s="166"/>
      <c r="AG142" s="166"/>
      <c r="AH142" s="166"/>
      <c r="AI142" s="166"/>
      <c r="AJ142" s="166"/>
      <c r="AK142" s="166"/>
      <c r="AL142" s="166"/>
      <c r="AM142" s="166"/>
      <c r="AN142" s="166"/>
      <c r="AO142" s="166"/>
      <c r="AP142" s="166"/>
      <c r="AQ142" s="166"/>
      <c r="AR142" s="166"/>
      <c r="AS142" s="166"/>
      <c r="AT142" s="166"/>
      <c r="AU142" s="166"/>
      <c r="AV142" s="166"/>
      <c r="AW142" s="166"/>
      <c r="AX142" s="166"/>
      <c r="AY142" s="166"/>
      <c r="AZ142" s="166"/>
      <c r="BA142" s="166"/>
      <c r="BB142" s="166"/>
      <c r="BC142" s="166"/>
      <c r="BD142" s="166"/>
      <c r="BE142" s="166"/>
      <c r="BF142" s="166"/>
      <c r="BG142" s="166"/>
      <c r="BH142" s="166"/>
      <c r="BI142" s="166"/>
      <c r="BJ142" s="166"/>
      <c r="BK142" s="166"/>
      <c r="BL142" s="166"/>
      <c r="BM142" s="26"/>
      <c r="BN142" s="26"/>
    </row>
    <row r="143" spans="1:66">
      <c r="A143" s="26"/>
      <c r="B143" s="26"/>
      <c r="C143" s="26"/>
      <c r="D143" s="26"/>
      <c r="E143" s="26"/>
      <c r="F143" s="26"/>
      <c r="G143" s="26"/>
      <c r="H143" s="26"/>
      <c r="I143" s="26"/>
      <c r="J143" s="26"/>
      <c r="K143" s="26"/>
      <c r="L143" s="26"/>
      <c r="M143" s="26"/>
      <c r="N143" s="26"/>
      <c r="O143" s="166"/>
      <c r="P143" s="166"/>
      <c r="Q143" s="166"/>
      <c r="R143" s="166"/>
      <c r="S143" s="166"/>
      <c r="T143" s="166"/>
      <c r="U143" s="166"/>
      <c r="V143" s="166"/>
      <c r="W143" s="166"/>
      <c r="X143" s="166"/>
      <c r="Y143" s="166"/>
      <c r="Z143" s="166"/>
      <c r="AA143" s="166"/>
      <c r="AB143" s="166"/>
      <c r="AC143" s="166"/>
      <c r="AD143" s="166"/>
      <c r="AE143" s="166"/>
      <c r="AF143" s="166"/>
      <c r="AG143" s="166"/>
      <c r="AH143" s="166"/>
      <c r="AI143" s="166"/>
      <c r="AJ143" s="166"/>
      <c r="AK143" s="166"/>
      <c r="AL143" s="166"/>
      <c r="AM143" s="166"/>
      <c r="AN143" s="166"/>
      <c r="AO143" s="166"/>
      <c r="AP143" s="166"/>
      <c r="AQ143" s="166"/>
      <c r="AR143" s="166"/>
      <c r="AS143" s="166"/>
      <c r="AT143" s="166"/>
      <c r="AU143" s="166"/>
      <c r="AV143" s="166"/>
      <c r="AW143" s="166"/>
      <c r="AX143" s="166"/>
      <c r="AY143" s="166"/>
      <c r="AZ143" s="166"/>
      <c r="BA143" s="166"/>
      <c r="BB143" s="166"/>
      <c r="BC143" s="166"/>
      <c r="BD143" s="166"/>
      <c r="BE143" s="166"/>
      <c r="BF143" s="166"/>
      <c r="BG143" s="166"/>
      <c r="BH143" s="166"/>
      <c r="BI143" s="166"/>
      <c r="BJ143" s="166"/>
      <c r="BK143" s="166"/>
      <c r="BL143" s="166"/>
      <c r="BM143" s="26"/>
      <c r="BN143" s="26"/>
    </row>
    <row r="144" spans="1:66">
      <c r="A144" s="26"/>
      <c r="B144" s="26"/>
      <c r="C144" s="26"/>
      <c r="D144" s="26"/>
      <c r="E144" s="26"/>
      <c r="F144" s="26"/>
      <c r="G144" s="26"/>
      <c r="H144" s="26"/>
      <c r="I144" s="26"/>
      <c r="J144" s="26"/>
      <c r="K144" s="26"/>
      <c r="L144" s="26"/>
      <c r="M144" s="26"/>
      <c r="N144" s="26"/>
      <c r="O144" s="166"/>
      <c r="P144" s="166"/>
      <c r="Q144" s="166"/>
      <c r="R144" s="166"/>
      <c r="S144" s="166"/>
      <c r="T144" s="166"/>
      <c r="U144" s="166"/>
      <c r="V144" s="166"/>
      <c r="W144" s="166"/>
      <c r="X144" s="166"/>
      <c r="Y144" s="166"/>
      <c r="Z144" s="166"/>
      <c r="AA144" s="166"/>
      <c r="AB144" s="166"/>
      <c r="AC144" s="166"/>
      <c r="AD144" s="166"/>
      <c r="AE144" s="166"/>
      <c r="AF144" s="166"/>
      <c r="AG144" s="166"/>
      <c r="AH144" s="166"/>
      <c r="AI144" s="166"/>
      <c r="AJ144" s="166"/>
      <c r="AK144" s="166"/>
      <c r="AL144" s="166"/>
      <c r="AM144" s="166"/>
      <c r="AN144" s="166"/>
      <c r="AO144" s="166"/>
      <c r="AP144" s="166"/>
      <c r="AQ144" s="166"/>
      <c r="AR144" s="166"/>
      <c r="AS144" s="166"/>
      <c r="AT144" s="166"/>
      <c r="AU144" s="166"/>
      <c r="AV144" s="166"/>
      <c r="AW144" s="166"/>
      <c r="AX144" s="166"/>
      <c r="AY144" s="166"/>
      <c r="AZ144" s="166"/>
      <c r="BA144" s="166"/>
      <c r="BB144" s="166"/>
      <c r="BC144" s="166"/>
      <c r="BD144" s="166"/>
      <c r="BE144" s="166"/>
      <c r="BF144" s="166"/>
      <c r="BG144" s="166"/>
      <c r="BH144" s="166"/>
      <c r="BI144" s="166"/>
      <c r="BJ144" s="166"/>
      <c r="BK144" s="166"/>
      <c r="BL144" s="166"/>
      <c r="BM144" s="26"/>
      <c r="BN144" s="26"/>
    </row>
    <row r="145" spans="1:66">
      <c r="A145" s="26"/>
      <c r="B145" s="26"/>
      <c r="C145" s="26"/>
      <c r="D145" s="26"/>
      <c r="E145" s="26"/>
      <c r="F145" s="26"/>
      <c r="G145" s="26"/>
      <c r="H145" s="26"/>
      <c r="I145" s="26"/>
      <c r="J145" s="26"/>
      <c r="K145" s="26"/>
      <c r="L145" s="26"/>
      <c r="M145" s="26"/>
      <c r="N145" s="26"/>
      <c r="O145" s="166"/>
      <c r="P145" s="166"/>
      <c r="Q145" s="166"/>
      <c r="R145" s="166"/>
      <c r="S145" s="166"/>
      <c r="T145" s="166"/>
      <c r="U145" s="166"/>
      <c r="V145" s="166"/>
      <c r="W145" s="166"/>
      <c r="X145" s="166"/>
      <c r="Y145" s="166"/>
      <c r="Z145" s="166"/>
      <c r="AA145" s="166"/>
      <c r="AB145" s="166"/>
      <c r="AC145" s="166"/>
      <c r="AD145" s="166"/>
      <c r="AE145" s="166"/>
      <c r="AF145" s="166"/>
      <c r="AG145" s="166"/>
      <c r="AH145" s="166"/>
      <c r="AI145" s="166"/>
      <c r="AJ145" s="166"/>
      <c r="AK145" s="166"/>
      <c r="AL145" s="166"/>
      <c r="AM145" s="166"/>
      <c r="AN145" s="166"/>
      <c r="AO145" s="166"/>
      <c r="AP145" s="166"/>
      <c r="AQ145" s="166"/>
      <c r="AR145" s="166"/>
      <c r="AS145" s="166"/>
      <c r="AT145" s="166"/>
      <c r="AU145" s="166"/>
      <c r="AV145" s="166"/>
      <c r="AW145" s="166"/>
      <c r="AX145" s="166"/>
      <c r="AY145" s="166"/>
      <c r="AZ145" s="166"/>
      <c r="BA145" s="166"/>
      <c r="BB145" s="166"/>
      <c r="BC145" s="166"/>
      <c r="BD145" s="166"/>
      <c r="BE145" s="166"/>
      <c r="BF145" s="166"/>
      <c r="BG145" s="166"/>
      <c r="BH145" s="166"/>
      <c r="BI145" s="166"/>
      <c r="BJ145" s="166"/>
      <c r="BK145" s="166"/>
      <c r="BL145" s="166"/>
      <c r="BM145" s="26"/>
      <c r="BN145" s="26"/>
    </row>
    <row r="146" spans="1:66">
      <c r="A146" s="26"/>
      <c r="B146" s="26"/>
      <c r="C146" s="26"/>
      <c r="D146" s="26"/>
      <c r="E146" s="26"/>
      <c r="F146" s="26"/>
      <c r="G146" s="26"/>
      <c r="H146" s="26"/>
      <c r="I146" s="26"/>
      <c r="J146" s="26"/>
      <c r="K146" s="26"/>
      <c r="L146" s="26"/>
      <c r="M146" s="26"/>
      <c r="N146" s="26"/>
      <c r="O146" s="166"/>
      <c r="P146" s="166"/>
      <c r="Q146" s="166"/>
      <c r="R146" s="166"/>
      <c r="S146" s="166"/>
      <c r="T146" s="166"/>
      <c r="U146" s="166"/>
      <c r="V146" s="166"/>
      <c r="W146" s="166"/>
      <c r="X146" s="166"/>
      <c r="Y146" s="166"/>
      <c r="Z146" s="166"/>
      <c r="AA146" s="166"/>
      <c r="AB146" s="166"/>
      <c r="AC146" s="166"/>
      <c r="AD146" s="166"/>
      <c r="AE146" s="166"/>
      <c r="AF146" s="166"/>
      <c r="AG146" s="166"/>
      <c r="AH146" s="166"/>
      <c r="AI146" s="166"/>
      <c r="AJ146" s="166"/>
      <c r="AK146" s="166"/>
      <c r="AL146" s="166"/>
      <c r="AM146" s="166"/>
      <c r="AN146" s="166"/>
      <c r="AO146" s="166"/>
      <c r="AP146" s="166"/>
      <c r="AQ146" s="166"/>
      <c r="AR146" s="166"/>
      <c r="AS146" s="166"/>
      <c r="AT146" s="166"/>
      <c r="AU146" s="166"/>
      <c r="AV146" s="166"/>
      <c r="AW146" s="166"/>
      <c r="AX146" s="166"/>
      <c r="AY146" s="166"/>
      <c r="AZ146" s="166"/>
      <c r="BA146" s="166"/>
      <c r="BB146" s="166"/>
      <c r="BC146" s="166"/>
      <c r="BD146" s="166"/>
      <c r="BE146" s="166"/>
      <c r="BF146" s="166"/>
      <c r="BG146" s="166"/>
      <c r="BH146" s="166"/>
      <c r="BI146" s="166"/>
      <c r="BJ146" s="166"/>
      <c r="BK146" s="166"/>
      <c r="BL146" s="166"/>
      <c r="BM146" s="26"/>
      <c r="BN146" s="26"/>
    </row>
    <row r="147" spans="1:66">
      <c r="A147" s="26"/>
      <c r="B147" s="26"/>
      <c r="C147" s="26"/>
      <c r="D147" s="26"/>
      <c r="E147" s="26"/>
      <c r="F147" s="26"/>
      <c r="G147" s="26"/>
      <c r="H147" s="26"/>
      <c r="I147" s="26"/>
      <c r="J147" s="26"/>
      <c r="K147" s="26"/>
      <c r="L147" s="26"/>
      <c r="M147" s="26"/>
      <c r="N147" s="26"/>
      <c r="O147" s="166"/>
      <c r="P147" s="166"/>
      <c r="Q147" s="166"/>
      <c r="R147" s="166"/>
      <c r="S147" s="166"/>
      <c r="T147" s="166"/>
      <c r="U147" s="166"/>
      <c r="V147" s="166"/>
      <c r="W147" s="166"/>
      <c r="X147" s="166"/>
      <c r="Y147" s="166"/>
      <c r="Z147" s="166"/>
      <c r="AA147" s="166"/>
      <c r="AB147" s="166"/>
      <c r="AC147" s="166"/>
      <c r="AD147" s="166"/>
      <c r="AE147" s="166"/>
      <c r="AF147" s="166"/>
      <c r="AG147" s="166"/>
      <c r="AH147" s="166"/>
      <c r="AI147" s="166"/>
      <c r="AJ147" s="166"/>
      <c r="AK147" s="166"/>
      <c r="AL147" s="166"/>
      <c r="AM147" s="166"/>
      <c r="AN147" s="166"/>
      <c r="AO147" s="166"/>
      <c r="AP147" s="166"/>
      <c r="AQ147" s="166"/>
      <c r="AR147" s="166"/>
      <c r="AS147" s="166"/>
      <c r="AT147" s="166"/>
      <c r="AU147" s="166"/>
      <c r="AV147" s="166"/>
      <c r="AW147" s="166"/>
      <c r="AX147" s="166"/>
      <c r="AY147" s="166"/>
      <c r="AZ147" s="166"/>
      <c r="BA147" s="166"/>
      <c r="BB147" s="166"/>
      <c r="BC147" s="166"/>
      <c r="BD147" s="166"/>
      <c r="BE147" s="166"/>
      <c r="BF147" s="166"/>
      <c r="BG147" s="166"/>
      <c r="BH147" s="166"/>
      <c r="BI147" s="166"/>
      <c r="BJ147" s="166"/>
      <c r="BK147" s="166"/>
      <c r="BL147" s="166"/>
      <c r="BM147" s="26"/>
      <c r="BN147" s="26"/>
    </row>
    <row r="148" spans="1:66">
      <c r="A148" s="26"/>
      <c r="B148" s="26"/>
      <c r="C148" s="26"/>
      <c r="D148" s="26"/>
      <c r="E148" s="26"/>
      <c r="F148" s="26"/>
      <c r="G148" s="26"/>
      <c r="H148" s="26"/>
      <c r="I148" s="26"/>
      <c r="J148" s="26"/>
      <c r="K148" s="26"/>
      <c r="L148" s="26"/>
      <c r="M148" s="26"/>
      <c r="N148" s="26"/>
      <c r="O148" s="166"/>
      <c r="P148" s="166"/>
      <c r="Q148" s="166"/>
      <c r="R148" s="166"/>
      <c r="S148" s="166"/>
      <c r="T148" s="166"/>
      <c r="U148" s="166"/>
      <c r="V148" s="166"/>
      <c r="W148" s="166"/>
      <c r="X148" s="166"/>
      <c r="Y148" s="166"/>
      <c r="Z148" s="166"/>
      <c r="AA148" s="166"/>
      <c r="AB148" s="166"/>
      <c r="AC148" s="166"/>
      <c r="AD148" s="166"/>
      <c r="AE148" s="166"/>
      <c r="AF148" s="166"/>
      <c r="AG148" s="166"/>
      <c r="AH148" s="166"/>
      <c r="AI148" s="166"/>
      <c r="AJ148" s="166"/>
      <c r="AK148" s="166"/>
      <c r="AL148" s="166"/>
      <c r="AM148" s="166"/>
      <c r="AN148" s="166"/>
      <c r="AO148" s="166"/>
      <c r="AP148" s="166"/>
      <c r="AQ148" s="166"/>
      <c r="AR148" s="166"/>
      <c r="AS148" s="166"/>
      <c r="AT148" s="166"/>
      <c r="AU148" s="166"/>
      <c r="AV148" s="166"/>
      <c r="AW148" s="166"/>
      <c r="AX148" s="166"/>
      <c r="AY148" s="166"/>
      <c r="AZ148" s="166"/>
      <c r="BA148" s="166"/>
      <c r="BB148" s="166"/>
      <c r="BC148" s="166"/>
      <c r="BD148" s="166"/>
      <c r="BE148" s="166"/>
      <c r="BF148" s="166"/>
      <c r="BG148" s="166"/>
      <c r="BH148" s="166"/>
      <c r="BI148" s="166"/>
      <c r="BJ148" s="166"/>
      <c r="BK148" s="166"/>
      <c r="BL148" s="166"/>
      <c r="BM148" s="26"/>
      <c r="BN148" s="26"/>
    </row>
    <row r="149" spans="1:66">
      <c r="A149" s="26"/>
      <c r="B149" s="26"/>
      <c r="C149" s="26"/>
      <c r="D149" s="26"/>
      <c r="E149" s="26"/>
      <c r="F149" s="26"/>
      <c r="G149" s="26"/>
      <c r="H149" s="26"/>
      <c r="I149" s="26"/>
      <c r="J149" s="26"/>
      <c r="K149" s="26"/>
      <c r="L149" s="26"/>
      <c r="M149" s="26"/>
      <c r="N149" s="26"/>
      <c r="O149" s="166"/>
      <c r="P149" s="166"/>
      <c r="Q149" s="166"/>
      <c r="R149" s="166"/>
      <c r="S149" s="166"/>
      <c r="T149" s="166"/>
      <c r="U149" s="166"/>
      <c r="V149" s="166"/>
      <c r="W149" s="166"/>
      <c r="X149" s="166"/>
      <c r="Y149" s="166"/>
      <c r="Z149" s="166"/>
      <c r="AA149" s="166"/>
      <c r="AB149" s="166"/>
      <c r="AC149" s="166"/>
      <c r="AD149" s="166"/>
      <c r="AE149" s="166"/>
      <c r="AF149" s="166"/>
      <c r="AG149" s="166"/>
      <c r="AH149" s="166"/>
      <c r="AI149" s="166"/>
      <c r="AJ149" s="166"/>
      <c r="AK149" s="166"/>
      <c r="AL149" s="166"/>
      <c r="AM149" s="166"/>
      <c r="AN149" s="166"/>
      <c r="AO149" s="166"/>
      <c r="AP149" s="166"/>
      <c r="AQ149" s="166"/>
      <c r="AR149" s="166"/>
      <c r="AS149" s="166"/>
      <c r="AT149" s="166"/>
      <c r="AU149" s="166"/>
      <c r="AV149" s="166"/>
      <c r="AW149" s="166"/>
      <c r="AX149" s="166"/>
      <c r="AY149" s="166"/>
      <c r="AZ149" s="166"/>
      <c r="BA149" s="166"/>
      <c r="BB149" s="166"/>
      <c r="BC149" s="166"/>
      <c r="BD149" s="166"/>
      <c r="BE149" s="166"/>
      <c r="BF149" s="166"/>
      <c r="BG149" s="166"/>
      <c r="BH149" s="166"/>
      <c r="BI149" s="166"/>
      <c r="BJ149" s="166"/>
      <c r="BK149" s="166"/>
      <c r="BL149" s="166"/>
      <c r="BM149" s="26"/>
      <c r="BN149" s="26"/>
    </row>
    <row r="150" spans="1:66">
      <c r="A150" s="26"/>
      <c r="B150" s="26"/>
      <c r="C150" s="26"/>
      <c r="D150" s="26"/>
      <c r="E150" s="26"/>
      <c r="F150" s="26"/>
      <c r="G150" s="26"/>
      <c r="H150" s="26"/>
      <c r="I150" s="26"/>
      <c r="J150" s="26"/>
      <c r="K150" s="26"/>
      <c r="L150" s="26"/>
      <c r="M150" s="26"/>
      <c r="N150" s="26"/>
      <c r="O150" s="166"/>
      <c r="P150" s="166"/>
      <c r="Q150" s="166"/>
      <c r="R150" s="166"/>
      <c r="S150" s="166"/>
      <c r="T150" s="166"/>
      <c r="U150" s="166"/>
      <c r="V150" s="166"/>
      <c r="W150" s="166"/>
      <c r="X150" s="166"/>
      <c r="Y150" s="166"/>
      <c r="Z150" s="166"/>
      <c r="AA150" s="166"/>
      <c r="AB150" s="166"/>
      <c r="AC150" s="166"/>
      <c r="AD150" s="166"/>
      <c r="AE150" s="166"/>
      <c r="AF150" s="166"/>
      <c r="AG150" s="166"/>
      <c r="AH150" s="166"/>
      <c r="AI150" s="166"/>
      <c r="AJ150" s="166"/>
      <c r="AK150" s="166"/>
      <c r="AL150" s="166"/>
      <c r="AM150" s="166"/>
      <c r="AN150" s="166"/>
      <c r="AO150" s="166"/>
      <c r="AP150" s="166"/>
      <c r="AQ150" s="166"/>
      <c r="AR150" s="166"/>
      <c r="AS150" s="166"/>
      <c r="AT150" s="166"/>
      <c r="AU150" s="166"/>
      <c r="AV150" s="166"/>
      <c r="AW150" s="166"/>
      <c r="AX150" s="166"/>
      <c r="AY150" s="166"/>
      <c r="AZ150" s="166"/>
      <c r="BA150" s="166"/>
      <c r="BB150" s="166"/>
      <c r="BC150" s="166"/>
      <c r="BD150" s="166"/>
      <c r="BE150" s="166"/>
      <c r="BF150" s="166"/>
      <c r="BG150" s="166"/>
      <c r="BH150" s="166"/>
      <c r="BI150" s="166"/>
      <c r="BJ150" s="166"/>
      <c r="BK150" s="166"/>
      <c r="BL150" s="166"/>
      <c r="BM150" s="26"/>
      <c r="BN150" s="26"/>
    </row>
    <row r="151" spans="1:66">
      <c r="A151" s="26"/>
      <c r="B151" s="26"/>
      <c r="C151" s="26"/>
      <c r="D151" s="26"/>
      <c r="E151" s="26"/>
      <c r="F151" s="26"/>
      <c r="G151" s="26"/>
      <c r="H151" s="26"/>
      <c r="I151" s="26"/>
      <c r="J151" s="26"/>
      <c r="K151" s="26"/>
      <c r="L151" s="26"/>
      <c r="M151" s="26"/>
      <c r="N151" s="26"/>
      <c r="O151" s="166"/>
      <c r="P151" s="166"/>
      <c r="Q151" s="166"/>
      <c r="R151" s="166"/>
      <c r="S151" s="166"/>
      <c r="T151" s="166"/>
      <c r="U151" s="166"/>
      <c r="V151" s="166"/>
      <c r="W151" s="166"/>
      <c r="X151" s="166"/>
      <c r="Y151" s="166"/>
      <c r="Z151" s="166"/>
      <c r="AA151" s="166"/>
      <c r="AB151" s="166"/>
      <c r="AC151" s="166"/>
      <c r="AD151" s="166"/>
      <c r="AE151" s="166"/>
      <c r="AF151" s="166"/>
      <c r="AG151" s="166"/>
      <c r="AH151" s="166"/>
      <c r="AI151" s="166"/>
      <c r="AJ151" s="166"/>
      <c r="AK151" s="166"/>
      <c r="AL151" s="166"/>
      <c r="AM151" s="166"/>
      <c r="AN151" s="166"/>
      <c r="AO151" s="166"/>
      <c r="AP151" s="166"/>
      <c r="AQ151" s="166"/>
      <c r="AR151" s="166"/>
      <c r="AS151" s="166"/>
      <c r="AT151" s="166"/>
      <c r="AU151" s="166"/>
      <c r="AV151" s="166"/>
      <c r="AW151" s="166"/>
      <c r="AX151" s="166"/>
      <c r="AY151" s="166"/>
      <c r="AZ151" s="166"/>
      <c r="BA151" s="166"/>
      <c r="BB151" s="166"/>
      <c r="BC151" s="166"/>
      <c r="BD151" s="166"/>
      <c r="BE151" s="166"/>
      <c r="BF151" s="166"/>
      <c r="BG151" s="166"/>
      <c r="BH151" s="166"/>
      <c r="BI151" s="166"/>
      <c r="BJ151" s="166"/>
      <c r="BK151" s="166"/>
      <c r="BL151" s="166"/>
      <c r="BM151" s="26"/>
      <c r="BN151" s="26"/>
    </row>
    <row r="152" spans="1:66">
      <c r="A152" s="26"/>
      <c r="B152" s="26"/>
      <c r="C152" s="26"/>
      <c r="D152" s="26"/>
      <c r="E152" s="26"/>
      <c r="F152" s="26"/>
      <c r="G152" s="26"/>
      <c r="H152" s="26"/>
      <c r="I152" s="26"/>
      <c r="J152" s="26"/>
      <c r="K152" s="26"/>
      <c r="L152" s="26"/>
      <c r="M152" s="26"/>
      <c r="N152" s="26"/>
      <c r="O152" s="166"/>
      <c r="P152" s="166"/>
      <c r="Q152" s="166"/>
      <c r="R152" s="166"/>
      <c r="S152" s="166"/>
      <c r="T152" s="166"/>
      <c r="U152" s="166"/>
      <c r="V152" s="166"/>
      <c r="W152" s="166"/>
      <c r="X152" s="166"/>
      <c r="Y152" s="166"/>
      <c r="Z152" s="166"/>
      <c r="AA152" s="166"/>
      <c r="AB152" s="166"/>
      <c r="AC152" s="166"/>
      <c r="AD152" s="166"/>
      <c r="AE152" s="166"/>
      <c r="AF152" s="166"/>
      <c r="AG152" s="166"/>
      <c r="AH152" s="166"/>
      <c r="AI152" s="166"/>
      <c r="AJ152" s="166"/>
      <c r="AK152" s="166"/>
      <c r="AL152" s="166"/>
      <c r="AM152" s="166"/>
      <c r="AN152" s="166"/>
      <c r="AO152" s="166"/>
      <c r="AP152" s="166"/>
      <c r="AQ152" s="166"/>
      <c r="AR152" s="166"/>
      <c r="AS152" s="166"/>
      <c r="AT152" s="166"/>
      <c r="AU152" s="166"/>
      <c r="AV152" s="166"/>
      <c r="AW152" s="166"/>
      <c r="AX152" s="166"/>
      <c r="AY152" s="166"/>
      <c r="AZ152" s="166"/>
      <c r="BA152" s="166"/>
      <c r="BB152" s="166"/>
      <c r="BC152" s="166"/>
      <c r="BD152" s="166"/>
      <c r="BE152" s="166"/>
      <c r="BF152" s="166"/>
      <c r="BG152" s="166"/>
      <c r="BH152" s="166"/>
      <c r="BI152" s="166"/>
      <c r="BJ152" s="166"/>
      <c r="BK152" s="166"/>
      <c r="BL152" s="166"/>
      <c r="BM152" s="26"/>
      <c r="BN152" s="26"/>
    </row>
    <row r="153" spans="1:66">
      <c r="A153" s="26"/>
      <c r="B153" s="26"/>
      <c r="C153" s="26"/>
      <c r="D153" s="26"/>
      <c r="E153" s="26"/>
      <c r="F153" s="26"/>
      <c r="G153" s="26"/>
      <c r="H153" s="26"/>
      <c r="I153" s="26"/>
      <c r="J153" s="26"/>
      <c r="K153" s="26"/>
      <c r="L153" s="26"/>
      <c r="M153" s="26"/>
      <c r="N153" s="26"/>
      <c r="O153" s="166"/>
      <c r="P153" s="166"/>
      <c r="Q153" s="166"/>
      <c r="R153" s="166"/>
      <c r="S153" s="166"/>
      <c r="T153" s="166"/>
      <c r="U153" s="166"/>
      <c r="V153" s="166"/>
      <c r="W153" s="166"/>
      <c r="X153" s="166"/>
      <c r="Y153" s="166"/>
      <c r="Z153" s="166"/>
      <c r="AA153" s="166"/>
      <c r="AB153" s="166"/>
      <c r="AC153" s="166"/>
      <c r="AD153" s="166"/>
      <c r="AE153" s="166"/>
      <c r="AF153" s="166"/>
      <c r="AG153" s="166"/>
      <c r="AH153" s="166"/>
      <c r="AI153" s="166"/>
      <c r="AJ153" s="166"/>
      <c r="AK153" s="166"/>
      <c r="AL153" s="166"/>
      <c r="AM153" s="166"/>
      <c r="AN153" s="166"/>
      <c r="AO153" s="166"/>
      <c r="AP153" s="166"/>
      <c r="AQ153" s="166"/>
      <c r="AR153" s="166"/>
      <c r="AS153" s="166"/>
      <c r="AT153" s="166"/>
      <c r="AU153" s="166"/>
      <c r="AV153" s="166"/>
      <c r="AW153" s="166"/>
      <c r="AX153" s="166"/>
      <c r="AY153" s="166"/>
      <c r="AZ153" s="166"/>
      <c r="BA153" s="166"/>
      <c r="BB153" s="166"/>
      <c r="BC153" s="166"/>
      <c r="BD153" s="166"/>
      <c r="BE153" s="166"/>
      <c r="BF153" s="166"/>
      <c r="BG153" s="166"/>
      <c r="BH153" s="166"/>
      <c r="BI153" s="166"/>
      <c r="BJ153" s="166"/>
      <c r="BK153" s="166"/>
      <c r="BL153" s="166"/>
      <c r="BM153" s="26"/>
      <c r="BN153" s="26"/>
    </row>
    <row r="154" spans="1:66">
      <c r="A154" s="26"/>
      <c r="B154" s="26"/>
      <c r="C154" s="26"/>
      <c r="D154" s="26"/>
      <c r="E154" s="26"/>
      <c r="F154" s="26"/>
      <c r="G154" s="26"/>
      <c r="H154" s="26"/>
      <c r="I154" s="26"/>
      <c r="J154" s="26"/>
      <c r="K154" s="26"/>
      <c r="L154" s="26"/>
      <c r="M154" s="26"/>
      <c r="N154" s="26"/>
      <c r="O154" s="166"/>
      <c r="P154" s="166"/>
      <c r="Q154" s="166"/>
      <c r="R154" s="166"/>
      <c r="S154" s="166"/>
      <c r="T154" s="166"/>
      <c r="U154" s="166"/>
      <c r="V154" s="166"/>
      <c r="W154" s="166"/>
      <c r="X154" s="166"/>
      <c r="Y154" s="166"/>
      <c r="Z154" s="166"/>
      <c r="AA154" s="166"/>
      <c r="AB154" s="166"/>
      <c r="AC154" s="166"/>
      <c r="AD154" s="166"/>
      <c r="AE154" s="166"/>
      <c r="AF154" s="166"/>
      <c r="AG154" s="166"/>
      <c r="AH154" s="166"/>
      <c r="AI154" s="166"/>
      <c r="AJ154" s="166"/>
      <c r="AK154" s="166"/>
      <c r="AL154" s="166"/>
      <c r="AM154" s="166"/>
      <c r="AN154" s="166"/>
      <c r="AO154" s="166"/>
      <c r="AP154" s="166"/>
      <c r="AQ154" s="166"/>
      <c r="AR154" s="166"/>
      <c r="AS154" s="166"/>
      <c r="AT154" s="166"/>
      <c r="AU154" s="166"/>
      <c r="AV154" s="166"/>
      <c r="AW154" s="166"/>
      <c r="AX154" s="166"/>
      <c r="AY154" s="166"/>
      <c r="AZ154" s="166"/>
      <c r="BA154" s="166"/>
      <c r="BB154" s="166"/>
      <c r="BC154" s="166"/>
      <c r="BD154" s="166"/>
      <c r="BE154" s="166"/>
      <c r="BF154" s="166"/>
      <c r="BG154" s="166"/>
      <c r="BH154" s="166"/>
      <c r="BI154" s="166"/>
      <c r="BJ154" s="166"/>
      <c r="BK154" s="166"/>
      <c r="BL154" s="166"/>
      <c r="BM154" s="26"/>
      <c r="BN154" s="26"/>
    </row>
    <row r="155" spans="1:66">
      <c r="A155" s="26"/>
      <c r="B155" s="26"/>
      <c r="C155" s="26"/>
      <c r="D155" s="26"/>
      <c r="E155" s="26"/>
      <c r="F155" s="26"/>
      <c r="G155" s="26"/>
      <c r="H155" s="26"/>
      <c r="I155" s="26"/>
      <c r="J155" s="26"/>
      <c r="K155" s="26"/>
      <c r="L155" s="26"/>
      <c r="M155" s="26"/>
      <c r="N155" s="26"/>
      <c r="O155" s="166"/>
      <c r="P155" s="166"/>
      <c r="Q155" s="166"/>
      <c r="R155" s="166"/>
      <c r="S155" s="166"/>
      <c r="T155" s="166"/>
      <c r="U155" s="166"/>
      <c r="V155" s="166"/>
      <c r="W155" s="166"/>
      <c r="X155" s="166"/>
      <c r="Y155" s="166"/>
      <c r="Z155" s="166"/>
      <c r="AA155" s="166"/>
      <c r="AB155" s="166"/>
      <c r="AC155" s="166"/>
      <c r="AD155" s="166"/>
      <c r="AE155" s="166"/>
      <c r="AF155" s="166"/>
      <c r="AG155" s="166"/>
      <c r="AH155" s="166"/>
      <c r="AI155" s="166"/>
      <c r="AJ155" s="166"/>
      <c r="AK155" s="166"/>
      <c r="AL155" s="166"/>
      <c r="AM155" s="166"/>
      <c r="AN155" s="166"/>
      <c r="AO155" s="166"/>
      <c r="AP155" s="166"/>
      <c r="AQ155" s="166"/>
      <c r="AR155" s="166"/>
      <c r="AS155" s="166"/>
      <c r="AT155" s="166"/>
      <c r="AU155" s="166"/>
      <c r="AV155" s="166"/>
      <c r="AW155" s="166"/>
      <c r="AX155" s="166"/>
      <c r="AY155" s="166"/>
      <c r="AZ155" s="166"/>
      <c r="BA155" s="166"/>
      <c r="BB155" s="166"/>
      <c r="BC155" s="166"/>
      <c r="BD155" s="166"/>
      <c r="BE155" s="166"/>
      <c r="BF155" s="166"/>
      <c r="BG155" s="166"/>
      <c r="BH155" s="166"/>
      <c r="BI155" s="166"/>
      <c r="BJ155" s="166"/>
      <c r="BK155" s="166"/>
      <c r="BL155" s="166"/>
      <c r="BM155" s="26"/>
      <c r="BN155" s="26"/>
    </row>
    <row r="156" spans="1:66">
      <c r="A156" s="26"/>
      <c r="B156" s="26"/>
      <c r="C156" s="26"/>
      <c r="D156" s="26"/>
      <c r="E156" s="26"/>
      <c r="F156" s="26"/>
      <c r="G156" s="26"/>
      <c r="H156" s="26"/>
      <c r="I156" s="26"/>
      <c r="J156" s="26"/>
      <c r="K156" s="26"/>
      <c r="L156" s="26"/>
      <c r="M156" s="26"/>
      <c r="N156" s="26"/>
      <c r="O156" s="166"/>
      <c r="P156" s="166"/>
      <c r="Q156" s="166"/>
      <c r="R156" s="166"/>
      <c r="S156" s="166"/>
      <c r="T156" s="166"/>
      <c r="U156" s="166"/>
      <c r="V156" s="166"/>
      <c r="W156" s="166"/>
      <c r="X156" s="166"/>
      <c r="Y156" s="166"/>
      <c r="Z156" s="166"/>
      <c r="AA156" s="166"/>
      <c r="AB156" s="166"/>
      <c r="AC156" s="166"/>
      <c r="AD156" s="166"/>
      <c r="AE156" s="166"/>
      <c r="AF156" s="166"/>
      <c r="AG156" s="166"/>
      <c r="AH156" s="166"/>
      <c r="AI156" s="166"/>
      <c r="AJ156" s="166"/>
      <c r="AK156" s="166"/>
      <c r="AL156" s="166"/>
      <c r="AM156" s="166"/>
      <c r="AN156" s="166"/>
      <c r="AO156" s="166"/>
      <c r="AP156" s="166"/>
      <c r="AQ156" s="166"/>
      <c r="AR156" s="166"/>
      <c r="AS156" s="166"/>
      <c r="AT156" s="166"/>
      <c r="AU156" s="166"/>
      <c r="AV156" s="166"/>
      <c r="AW156" s="166"/>
      <c r="AX156" s="166"/>
      <c r="AY156" s="166"/>
      <c r="AZ156" s="166"/>
      <c r="BA156" s="166"/>
      <c r="BB156" s="166"/>
      <c r="BC156" s="166"/>
      <c r="BD156" s="166"/>
      <c r="BE156" s="166"/>
      <c r="BF156" s="166"/>
      <c r="BG156" s="166"/>
      <c r="BH156" s="166"/>
      <c r="BI156" s="166"/>
      <c r="BJ156" s="166"/>
      <c r="BK156" s="166"/>
      <c r="BL156" s="166"/>
      <c r="BM156" s="26"/>
      <c r="BN156" s="26"/>
    </row>
    <row r="157" spans="1:66">
      <c r="A157" s="26"/>
      <c r="B157" s="26"/>
      <c r="C157" s="26"/>
      <c r="D157" s="26"/>
      <c r="E157" s="26"/>
      <c r="F157" s="26"/>
      <c r="G157" s="26"/>
      <c r="H157" s="26"/>
      <c r="I157" s="26"/>
      <c r="J157" s="26"/>
      <c r="K157" s="26"/>
      <c r="L157" s="26"/>
      <c r="M157" s="26"/>
      <c r="N157" s="26"/>
      <c r="O157" s="166"/>
      <c r="P157" s="166"/>
      <c r="Q157" s="166"/>
      <c r="R157" s="166"/>
      <c r="S157" s="166"/>
      <c r="T157" s="166"/>
      <c r="U157" s="166"/>
      <c r="V157" s="166"/>
      <c r="W157" s="166"/>
      <c r="X157" s="166"/>
      <c r="Y157" s="166"/>
      <c r="Z157" s="166"/>
      <c r="AA157" s="166"/>
      <c r="AB157" s="166"/>
      <c r="AC157" s="166"/>
      <c r="AD157" s="166"/>
      <c r="AE157" s="166"/>
      <c r="AF157" s="166"/>
      <c r="AG157" s="166"/>
      <c r="AH157" s="166"/>
      <c r="AI157" s="166"/>
      <c r="AJ157" s="166"/>
      <c r="AK157" s="166"/>
      <c r="AL157" s="166"/>
      <c r="AM157" s="166"/>
      <c r="AN157" s="166"/>
      <c r="AO157" s="166"/>
      <c r="AP157" s="166"/>
      <c r="AQ157" s="166"/>
      <c r="AR157" s="166"/>
      <c r="AS157" s="166"/>
      <c r="AT157" s="166"/>
      <c r="AU157" s="166"/>
      <c r="AV157" s="166"/>
      <c r="AW157" s="166"/>
      <c r="AX157" s="166"/>
      <c r="AY157" s="166"/>
      <c r="AZ157" s="166"/>
      <c r="BA157" s="166"/>
      <c r="BB157" s="166"/>
      <c r="BC157" s="166"/>
      <c r="BD157" s="166"/>
      <c r="BE157" s="166"/>
      <c r="BF157" s="166"/>
      <c r="BG157" s="166"/>
      <c r="BH157" s="166"/>
      <c r="BI157" s="166"/>
      <c r="BJ157" s="166"/>
      <c r="BK157" s="166"/>
      <c r="BL157" s="166"/>
      <c r="BM157" s="26"/>
      <c r="BN157" s="26"/>
    </row>
    <row r="158" spans="1:66">
      <c r="A158" s="26"/>
      <c r="B158" s="26"/>
      <c r="C158" s="26"/>
      <c r="D158" s="26"/>
      <c r="E158" s="26"/>
      <c r="F158" s="26"/>
      <c r="G158" s="26"/>
      <c r="H158" s="26"/>
      <c r="I158" s="26"/>
      <c r="J158" s="26"/>
      <c r="K158" s="26"/>
      <c r="L158" s="26"/>
      <c r="M158" s="26"/>
      <c r="N158" s="26"/>
      <c r="O158" s="166"/>
      <c r="P158" s="166"/>
      <c r="Q158" s="166"/>
      <c r="R158" s="166"/>
      <c r="S158" s="166"/>
      <c r="T158" s="166"/>
      <c r="U158" s="166"/>
      <c r="V158" s="166"/>
      <c r="W158" s="166"/>
      <c r="X158" s="166"/>
      <c r="Y158" s="166"/>
      <c r="Z158" s="166"/>
      <c r="AA158" s="166"/>
      <c r="AB158" s="166"/>
      <c r="AC158" s="166"/>
      <c r="AD158" s="166"/>
      <c r="AE158" s="166"/>
      <c r="AF158" s="166"/>
      <c r="AG158" s="166"/>
      <c r="AH158" s="166"/>
      <c r="AI158" s="166"/>
      <c r="AJ158" s="166"/>
      <c r="AK158" s="166"/>
      <c r="AL158" s="166"/>
      <c r="AM158" s="166"/>
      <c r="AN158" s="166"/>
      <c r="AO158" s="166"/>
      <c r="AP158" s="166"/>
      <c r="AQ158" s="166"/>
      <c r="AR158" s="166"/>
      <c r="AS158" s="166"/>
      <c r="AT158" s="166"/>
      <c r="AU158" s="166"/>
      <c r="AV158" s="166"/>
      <c r="AW158" s="166"/>
      <c r="AX158" s="166"/>
      <c r="AY158" s="166"/>
      <c r="AZ158" s="166"/>
      <c r="BA158" s="166"/>
      <c r="BB158" s="166"/>
      <c r="BC158" s="166"/>
      <c r="BD158" s="166"/>
      <c r="BE158" s="166"/>
      <c r="BF158" s="166"/>
      <c r="BG158" s="166"/>
      <c r="BH158" s="166"/>
      <c r="BI158" s="166"/>
      <c r="BJ158" s="166"/>
      <c r="BK158" s="166"/>
      <c r="BL158" s="166"/>
      <c r="BM158" s="26"/>
      <c r="BN158" s="26"/>
    </row>
  </sheetData>
  <phoneticPr fontId="76" type="noConversion"/>
  <pageMargins left="0.511811024" right="0.511811024" top="0.78740157499999996" bottom="0.78740157499999996" header="0.31496062000000002" footer="0.31496062000000002"/>
  <pageSetup paperSize="9" orientation="portrait" horizontalDpi="200"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1266689" r:id="rId4" name="Drop Down 1">
              <controlPr defaultSize="0" autoLine="0" autoPict="0">
                <anchor moveWithCells="1">
                  <from>
                    <xdr:col>10</xdr:col>
                    <xdr:colOff>38100</xdr:colOff>
                    <xdr:row>11</xdr:row>
                    <xdr:rowOff>9525</xdr:rowOff>
                  </from>
                  <to>
                    <xdr:col>11</xdr:col>
                    <xdr:colOff>933450</xdr:colOff>
                    <xdr:row>11</xdr:row>
                    <xdr:rowOff>276225</xdr:rowOff>
                  </to>
                </anchor>
              </controlPr>
            </control>
          </mc:Choice>
        </mc:AlternateContent>
        <mc:AlternateContent xmlns:mc="http://schemas.openxmlformats.org/markup-compatibility/2006">
          <mc:Choice Requires="x14">
            <control shapeId="1266690" r:id="rId5" name="Button 2">
              <controlPr defaultSize="0" print="0" autoFill="0" autoPict="0" macro="[0]!Distribui">
                <anchor moveWithCells="1" sizeWithCells="1">
                  <from>
                    <xdr:col>0</xdr:col>
                    <xdr:colOff>590550</xdr:colOff>
                    <xdr:row>1</xdr:row>
                    <xdr:rowOff>123825</xdr:rowOff>
                  </from>
                  <to>
                    <xdr:col>2</xdr:col>
                    <xdr:colOff>419100</xdr:colOff>
                    <xdr:row>3</xdr:row>
                    <xdr:rowOff>228600</xdr:rowOff>
                  </to>
                </anchor>
              </controlPr>
            </control>
          </mc:Choice>
        </mc:AlternateContent>
        <mc:AlternateContent xmlns:mc="http://schemas.openxmlformats.org/markup-compatibility/2006">
          <mc:Choice Requires="x14">
            <control shapeId="1266691" r:id="rId6" name="Drop Down 3">
              <controlPr defaultSize="0" autoLine="0" autoPict="0">
                <anchor moveWithCells="1">
                  <from>
                    <xdr:col>3</xdr:col>
                    <xdr:colOff>9525</xdr:colOff>
                    <xdr:row>1</xdr:row>
                    <xdr:rowOff>238125</xdr:rowOff>
                  </from>
                  <to>
                    <xdr:col>5</xdr:col>
                    <xdr:colOff>0</xdr:colOff>
                    <xdr:row>3</xdr:row>
                    <xdr:rowOff>38100</xdr:rowOff>
                  </to>
                </anchor>
              </controlPr>
            </control>
          </mc:Choice>
        </mc:AlternateContent>
        <mc:AlternateContent xmlns:mc="http://schemas.openxmlformats.org/markup-compatibility/2006">
          <mc:Choice Requires="x14">
            <control shapeId="5521108" r:id="rId7" name="Button 5844">
              <controlPr defaultSize="0" print="0" autoFill="0" autoPict="0" macro="[0]!Distribui">
                <anchor moveWithCells="1" sizeWithCells="1">
                  <from>
                    <xdr:col>11</xdr:col>
                    <xdr:colOff>1038225</xdr:colOff>
                    <xdr:row>11</xdr:row>
                    <xdr:rowOff>19050</xdr:rowOff>
                  </from>
                  <to>
                    <xdr:col>12</xdr:col>
                    <xdr:colOff>952500</xdr:colOff>
                    <xdr:row>11</xdr:row>
                    <xdr:rowOff>276225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7"/>
  <dimension ref="A1:W306"/>
  <sheetViews>
    <sheetView zoomScale="85" zoomScaleNormal="85" workbookViewId="0"/>
  </sheetViews>
  <sheetFormatPr defaultRowHeight="12.75"/>
  <cols>
    <col min="1" max="2" width="9.7109375" style="1" customWidth="1"/>
    <col min="3" max="3" width="10.7109375" style="3" customWidth="1"/>
    <col min="4" max="6" width="9.7109375" style="3" customWidth="1"/>
    <col min="7" max="7" width="11.5703125" customWidth="1"/>
    <col min="8" max="9" width="7.28515625" customWidth="1"/>
    <col min="10" max="10" width="13.28515625" customWidth="1"/>
    <col min="11" max="11" width="9.5703125" bestFit="1" customWidth="1"/>
    <col min="12" max="13" width="10" customWidth="1"/>
    <col min="14" max="14" width="12" customWidth="1"/>
    <col min="15" max="15" width="10.28515625" customWidth="1"/>
    <col min="16" max="16" width="15.140625" customWidth="1"/>
    <col min="17" max="17" width="11.7109375" customWidth="1"/>
    <col min="18" max="18" width="12.28515625" customWidth="1"/>
    <col min="19" max="19" width="10" customWidth="1"/>
    <col min="20" max="20" width="11.85546875" customWidth="1"/>
  </cols>
  <sheetData>
    <row r="1" spans="1:23" ht="24" customHeight="1">
      <c r="A1" s="405"/>
      <c r="B1" s="405"/>
      <c r="C1" s="406" t="s">
        <v>644</v>
      </c>
      <c r="D1" s="407"/>
      <c r="E1" s="407"/>
      <c r="F1" s="407"/>
      <c r="G1" s="407"/>
      <c r="H1" s="407"/>
      <c r="I1" s="407"/>
      <c r="J1" s="407"/>
      <c r="K1" s="407"/>
      <c r="L1" s="407"/>
      <c r="M1" s="407"/>
      <c r="N1" s="407"/>
      <c r="O1" s="407"/>
      <c r="P1" s="407"/>
      <c r="Q1" s="407"/>
      <c r="R1" s="407"/>
      <c r="S1" s="609"/>
      <c r="T1" s="1127"/>
      <c r="U1" s="1128" t="s">
        <v>598</v>
      </c>
      <c r="V1" s="1128"/>
      <c r="W1" s="1129"/>
    </row>
    <row r="2" spans="1:23" ht="24.95" customHeight="1" thickBot="1">
      <c r="A2" s="391" t="s">
        <v>643</v>
      </c>
      <c r="B2" s="152"/>
      <c r="C2" s="153"/>
      <c r="D2" s="153"/>
      <c r="E2" s="153"/>
      <c r="F2" s="154"/>
      <c r="G2" s="378"/>
      <c r="H2" s="379" t="s">
        <v>653</v>
      </c>
      <c r="I2" s="380"/>
      <c r="J2" s="381" t="s">
        <v>654</v>
      </c>
      <c r="K2" s="382"/>
      <c r="L2" s="610"/>
      <c r="M2" s="611" t="s">
        <v>795</v>
      </c>
      <c r="N2" s="382"/>
      <c r="O2" s="612"/>
      <c r="P2" s="613"/>
      <c r="Q2" s="379" t="s">
        <v>1160</v>
      </c>
      <c r="R2" s="613"/>
      <c r="S2" s="380"/>
      <c r="T2" s="614"/>
      <c r="U2" s="607" t="s">
        <v>796</v>
      </c>
      <c r="V2" s="607"/>
      <c r="W2" s="608"/>
    </row>
    <row r="3" spans="1:23" ht="24.95" customHeight="1" thickTop="1">
      <c r="A3" s="141"/>
      <c r="B3" s="141"/>
      <c r="C3" s="141"/>
      <c r="D3" s="139"/>
      <c r="E3" s="142"/>
      <c r="F3" s="143"/>
      <c r="G3" s="375"/>
      <c r="H3" s="376" t="s">
        <v>648</v>
      </c>
      <c r="I3" s="181">
        <v>85</v>
      </c>
      <c r="J3" s="377" t="s">
        <v>650</v>
      </c>
      <c r="K3" s="182">
        <v>0</v>
      </c>
      <c r="L3" s="615"/>
      <c r="M3" s="616" t="s">
        <v>797</v>
      </c>
      <c r="N3" s="617">
        <v>8.5396420668070364E-2</v>
      </c>
      <c r="O3" s="618"/>
      <c r="P3" s="619" t="s">
        <v>798</v>
      </c>
      <c r="Q3" s="620">
        <v>1</v>
      </c>
      <c r="R3" s="621" t="s">
        <v>799</v>
      </c>
      <c r="S3" s="622">
        <v>0.38695946908090278</v>
      </c>
      <c r="T3" s="623" t="s">
        <v>800</v>
      </c>
      <c r="U3" s="624" t="s">
        <v>801</v>
      </c>
      <c r="V3" s="624" t="s">
        <v>802</v>
      </c>
      <c r="W3" s="625"/>
    </row>
    <row r="4" spans="1:23" ht="24.95" customHeight="1" thickBot="1">
      <c r="A4" s="139"/>
      <c r="B4" s="143"/>
      <c r="C4" s="144"/>
      <c r="D4" s="144"/>
      <c r="E4" s="142"/>
      <c r="F4" s="142"/>
      <c r="G4" s="145"/>
      <c r="H4" s="146" t="s">
        <v>649</v>
      </c>
      <c r="I4" s="178">
        <v>300</v>
      </c>
      <c r="J4" s="179" t="s">
        <v>651</v>
      </c>
      <c r="K4" s="180">
        <v>49.999999998544808</v>
      </c>
      <c r="L4" s="626"/>
      <c r="M4" s="627" t="s">
        <v>803</v>
      </c>
      <c r="N4" s="628">
        <v>0.99956844021720814</v>
      </c>
      <c r="O4" s="629"/>
      <c r="P4" s="630"/>
      <c r="Q4" s="1372" t="s">
        <v>804</v>
      </c>
      <c r="R4" s="630"/>
      <c r="S4" s="632"/>
      <c r="T4" s="633" t="s">
        <v>805</v>
      </c>
      <c r="U4" s="631"/>
      <c r="V4" s="630"/>
      <c r="W4" s="632"/>
    </row>
    <row r="5" spans="1:23" ht="20.100000000000001" customHeight="1" thickTop="1">
      <c r="A5" s="147" t="s">
        <v>324</v>
      </c>
      <c r="B5" s="148" t="s">
        <v>331</v>
      </c>
      <c r="C5" s="149" t="s">
        <v>646</v>
      </c>
      <c r="D5" s="149" t="s">
        <v>312</v>
      </c>
      <c r="E5" s="26"/>
      <c r="F5" s="26"/>
      <c r="G5" s="26"/>
      <c r="H5" s="26"/>
      <c r="I5" s="26"/>
      <c r="J5" s="26"/>
      <c r="K5" s="26"/>
      <c r="L5" s="26"/>
      <c r="M5" s="140"/>
      <c r="N5" s="140"/>
      <c r="O5" s="678" t="s">
        <v>806</v>
      </c>
      <c r="P5" s="634" t="s">
        <v>324</v>
      </c>
      <c r="Q5" s="635" t="s">
        <v>331</v>
      </c>
      <c r="R5" s="636" t="s">
        <v>312</v>
      </c>
      <c r="S5" s="637" t="s">
        <v>794</v>
      </c>
      <c r="T5" s="638" t="s">
        <v>645</v>
      </c>
      <c r="U5" s="149" t="s">
        <v>646</v>
      </c>
      <c r="V5" s="149" t="s">
        <v>312</v>
      </c>
      <c r="W5" s="150" t="s">
        <v>647</v>
      </c>
    </row>
    <row r="6" spans="1:23" ht="15" customHeight="1">
      <c r="A6" s="6">
        <v>0</v>
      </c>
      <c r="B6" s="6">
        <v>2.2482361616632276</v>
      </c>
      <c r="C6" s="124">
        <v>2.2477912303889083</v>
      </c>
      <c r="D6" s="124">
        <v>4.4394079910987393E-2</v>
      </c>
      <c r="E6" s="26"/>
      <c r="F6" s="26"/>
      <c r="G6" s="26"/>
      <c r="H6" s="26"/>
      <c r="I6" s="26"/>
      <c r="J6" s="26"/>
      <c r="K6" s="26"/>
      <c r="L6" s="26"/>
      <c r="M6" s="26"/>
      <c r="N6" s="26"/>
      <c r="O6" s="292">
        <v>1</v>
      </c>
      <c r="P6" s="639">
        <v>10.047833361532291</v>
      </c>
      <c r="Q6" s="640">
        <v>4.6069860909514464</v>
      </c>
      <c r="R6" s="641">
        <v>1.8216420994200988</v>
      </c>
      <c r="S6" s="642">
        <v>1.2228618118471162E-3</v>
      </c>
      <c r="T6" s="124">
        <v>0</v>
      </c>
      <c r="U6" s="124">
        <v>2.2477912303889083</v>
      </c>
      <c r="V6" s="124">
        <v>4.438840152905367E-2</v>
      </c>
      <c r="W6" s="124">
        <v>0</v>
      </c>
    </row>
    <row r="7" spans="1:23" ht="15" customHeight="1">
      <c r="A7" s="6">
        <v>2.1441188422613777</v>
      </c>
      <c r="B7" s="924">
        <v>2.3647922005853386</v>
      </c>
      <c r="C7" s="124">
        <v>2.3653543093932039</v>
      </c>
      <c r="D7" s="124">
        <v>7.6443676588939719E-2</v>
      </c>
      <c r="E7" s="26"/>
      <c r="F7" s="26"/>
      <c r="G7" s="26"/>
      <c r="H7" s="26"/>
      <c r="I7" s="26"/>
      <c r="J7" s="26"/>
      <c r="K7" s="26"/>
      <c r="L7" s="26"/>
      <c r="M7" s="26"/>
      <c r="N7" s="26"/>
      <c r="O7" s="292">
        <v>2</v>
      </c>
      <c r="P7" s="639">
        <v>30.01250000066441</v>
      </c>
      <c r="Q7" s="640">
        <v>9.3392150292822347</v>
      </c>
      <c r="R7" s="641">
        <v>1.8869309236622829</v>
      </c>
      <c r="S7" s="642">
        <v>-3.4716549636060268E-3</v>
      </c>
      <c r="T7" s="124">
        <v>0.16666666666181604</v>
      </c>
      <c r="U7" s="124">
        <v>2.2551998129407687</v>
      </c>
      <c r="V7" s="124">
        <v>4.4577872352090181E-2</v>
      </c>
      <c r="W7" s="124">
        <v>1.1356915408639271E-3</v>
      </c>
    </row>
    <row r="8" spans="1:23" ht="15" customHeight="1">
      <c r="A8" s="6">
        <v>4.004995925060939</v>
      </c>
      <c r="B8" s="6">
        <v>2.5506499922129273</v>
      </c>
      <c r="C8" s="124">
        <v>2.5529887795508976</v>
      </c>
      <c r="D8" s="124">
        <v>0.12440848293731632</v>
      </c>
      <c r="E8" s="26"/>
      <c r="F8" s="26"/>
      <c r="G8" s="26"/>
      <c r="H8" s="26"/>
      <c r="I8" s="26"/>
      <c r="J8" s="26"/>
      <c r="K8" s="26"/>
      <c r="L8" s="26"/>
      <c r="M8" s="26"/>
      <c r="N8" s="26"/>
      <c r="O8" s="292">
        <v>3</v>
      </c>
      <c r="P8" s="639"/>
      <c r="Q8" s="640"/>
      <c r="R8" s="641"/>
      <c r="S8" s="642"/>
      <c r="T8" s="124">
        <v>0.33333333332363208</v>
      </c>
      <c r="U8" s="124">
        <v>2.2626714893403927</v>
      </c>
      <c r="V8" s="124">
        <v>4.514590626534639E-2</v>
      </c>
      <c r="W8" s="124">
        <v>2.2713830817486708E-3</v>
      </c>
    </row>
    <row r="9" spans="1:23" ht="15" customHeight="1">
      <c r="A9" s="925">
        <v>5.5376416989020072</v>
      </c>
      <c r="B9" s="6">
        <v>2.7350617167038536</v>
      </c>
      <c r="C9" s="124">
        <v>2.7241842697076466</v>
      </c>
      <c r="D9" s="124">
        <v>6.785983666046537E-2</v>
      </c>
      <c r="E9" s="26"/>
      <c r="F9" s="26"/>
      <c r="G9" s="26"/>
      <c r="H9" s="26"/>
      <c r="I9" s="26"/>
      <c r="J9" s="26"/>
      <c r="K9" s="26"/>
      <c r="L9" s="26"/>
      <c r="M9" s="26"/>
      <c r="N9" s="26"/>
      <c r="O9" s="292">
        <v>4</v>
      </c>
      <c r="P9" s="639"/>
      <c r="Q9" s="640"/>
      <c r="R9" s="641"/>
      <c r="S9" s="642"/>
      <c r="T9" s="124">
        <v>0.49999999998544808</v>
      </c>
      <c r="U9" s="124">
        <v>2.2702693534355443</v>
      </c>
      <c r="V9" s="124">
        <v>4.6092503263493213E-2</v>
      </c>
      <c r="W9" s="124">
        <v>3.4070746226334148E-3</v>
      </c>
    </row>
    <row r="10" spans="1:23" ht="15" customHeight="1">
      <c r="A10" s="6">
        <v>6.745316281740088</v>
      </c>
      <c r="B10" s="6">
        <v>2.8001589143336103</v>
      </c>
      <c r="C10" s="124">
        <v>2.8168921085253715</v>
      </c>
      <c r="D10" s="124">
        <v>0.15152556009756529</v>
      </c>
      <c r="E10" s="26"/>
      <c r="F10" s="26"/>
      <c r="G10" s="26"/>
      <c r="H10" s="26"/>
      <c r="I10" s="26"/>
      <c r="J10" s="26"/>
      <c r="K10" s="26"/>
      <c r="L10" s="26"/>
      <c r="M10" s="26"/>
      <c r="N10" s="26"/>
      <c r="O10" s="292">
        <v>5</v>
      </c>
      <c r="P10" s="639"/>
      <c r="Q10" s="640"/>
      <c r="R10" s="641"/>
      <c r="S10" s="642"/>
      <c r="T10" s="124">
        <v>0.66666666664726415</v>
      </c>
      <c r="U10" s="124">
        <v>2.2780564990739869</v>
      </c>
      <c r="V10" s="124">
        <v>4.7417663346530657E-2</v>
      </c>
      <c r="W10" s="124">
        <v>4.5427581698915644E-3</v>
      </c>
    </row>
    <row r="11" spans="1:23" ht="15" customHeight="1">
      <c r="A11" s="6">
        <v>7.6638402344542556</v>
      </c>
      <c r="B11" s="6">
        <v>3.0210089771607134</v>
      </c>
      <c r="C11" s="124">
        <v>3.0105489912522088</v>
      </c>
      <c r="D11" s="124">
        <v>0.23935895754652789</v>
      </c>
      <c r="E11" s="26"/>
      <c r="F11" s="26"/>
      <c r="G11" s="26"/>
      <c r="H11" s="26"/>
      <c r="I11" s="26"/>
      <c r="J11" s="26"/>
      <c r="K11" s="26"/>
      <c r="L11" s="26"/>
      <c r="M11" s="26"/>
      <c r="N11" s="26"/>
      <c r="O11" s="292">
        <v>6</v>
      </c>
      <c r="P11" s="639"/>
      <c r="Q11" s="640"/>
      <c r="R11" s="641"/>
      <c r="S11" s="642"/>
      <c r="T11" s="124">
        <v>0.83333333330908022</v>
      </c>
      <c r="U11" s="124">
        <v>2.2860960201034839</v>
      </c>
      <c r="V11" s="124">
        <v>4.9121386519787792E-2</v>
      </c>
      <c r="W11" s="124">
        <v>5.6784577043820861E-3</v>
      </c>
    </row>
    <row r="12" spans="1:23" ht="15" customHeight="1">
      <c r="A12" s="6">
        <v>8.3438355490216054</v>
      </c>
      <c r="B12" s="6">
        <v>3.2059162355606015</v>
      </c>
      <c r="C12" s="124">
        <v>3.1735117715601051</v>
      </c>
      <c r="D12" s="124">
        <v>0.24585077064987898</v>
      </c>
      <c r="E12" s="26"/>
      <c r="F12" s="26"/>
      <c r="G12" s="26"/>
      <c r="H12" s="26"/>
      <c r="I12" s="26"/>
      <c r="J12" s="26"/>
      <c r="K12" s="26"/>
      <c r="L12" s="26"/>
      <c r="M12" s="26"/>
      <c r="N12" s="26"/>
      <c r="O12" s="292">
        <v>7</v>
      </c>
      <c r="P12" s="639"/>
      <c r="Q12" s="640"/>
      <c r="R12" s="641"/>
      <c r="S12" s="642"/>
      <c r="T12" s="124">
        <v>0.99999999997089617</v>
      </c>
      <c r="U12" s="124">
        <v>2.2944510103717999</v>
      </c>
      <c r="V12" s="124">
        <v>5.1203672775271013E-2</v>
      </c>
      <c r="W12" s="124">
        <v>6.8141332580552742E-3</v>
      </c>
    </row>
    <row r="13" spans="1:23" ht="15" customHeight="1">
      <c r="A13" s="6">
        <v>8.8374652448692359</v>
      </c>
      <c r="B13" s="6">
        <v>3.3224174642237614</v>
      </c>
      <c r="C13" s="124">
        <v>3.3191185459523194</v>
      </c>
      <c r="D13" s="124">
        <v>0.40254228756618149</v>
      </c>
      <c r="E13" s="26"/>
      <c r="F13" s="26"/>
      <c r="G13" s="26"/>
      <c r="H13" s="26"/>
      <c r="I13" s="26"/>
      <c r="J13" s="26"/>
      <c r="K13" s="26"/>
      <c r="L13" s="26"/>
      <c r="M13" s="26"/>
      <c r="N13" s="26"/>
      <c r="O13" s="292">
        <v>8</v>
      </c>
      <c r="P13" s="639"/>
      <c r="Q13" s="640"/>
      <c r="R13" s="641"/>
      <c r="S13" s="642"/>
      <c r="T13" s="124">
        <v>1.1666666666327123</v>
      </c>
      <c r="U13" s="124">
        <v>2.3031845637266972</v>
      </c>
      <c r="V13" s="124">
        <v>5.3664522120973918E-2</v>
      </c>
      <c r="W13" s="124">
        <v>7.9498327925249784E-3</v>
      </c>
    </row>
    <row r="14" spans="1:23" ht="15" customHeight="1">
      <c r="A14" s="6">
        <v>9.1911136594717391</v>
      </c>
      <c r="B14" s="6">
        <v>3.5577328532705077</v>
      </c>
      <c r="C14" s="124">
        <v>3.4994963911690729</v>
      </c>
      <c r="D14" s="124">
        <v>0.68128674965399272</v>
      </c>
      <c r="E14" s="26"/>
      <c r="F14" s="26"/>
      <c r="G14" s="26"/>
      <c r="H14" s="26"/>
      <c r="I14" s="26"/>
      <c r="J14" s="26"/>
      <c r="K14" s="26"/>
      <c r="L14" s="26"/>
      <c r="M14" s="26"/>
      <c r="N14" s="26"/>
      <c r="O14" s="292">
        <v>9</v>
      </c>
      <c r="P14" s="639"/>
      <c r="Q14" s="640"/>
      <c r="R14" s="641"/>
      <c r="S14" s="642"/>
      <c r="T14" s="124">
        <v>1.3333333332945283</v>
      </c>
      <c r="U14" s="124">
        <v>2.3123597740159409</v>
      </c>
      <c r="V14" s="124">
        <v>5.650393455156745E-2</v>
      </c>
      <c r="W14" s="124">
        <v>9.0855163398039455E-3</v>
      </c>
    </row>
    <row r="15" spans="1:23" ht="15" customHeight="1">
      <c r="A15" s="6">
        <v>9.4426845156704076</v>
      </c>
      <c r="B15" s="6">
        <v>3.6543097997180687</v>
      </c>
      <c r="C15" s="124">
        <v>3.702783938622709</v>
      </c>
      <c r="D15" s="124">
        <v>1.0343538347538883</v>
      </c>
      <c r="E15" s="26"/>
      <c r="F15" s="26"/>
      <c r="G15" s="26"/>
      <c r="H15" s="26"/>
      <c r="I15" s="26"/>
      <c r="J15" s="26"/>
      <c r="K15" s="26"/>
      <c r="L15" s="26"/>
      <c r="M15" s="26"/>
      <c r="N15" s="26"/>
      <c r="O15" s="292">
        <v>10</v>
      </c>
      <c r="P15" s="639"/>
      <c r="Q15" s="640"/>
      <c r="R15" s="641"/>
      <c r="S15" s="642"/>
      <c r="T15" s="124">
        <v>1.4999999999563443</v>
      </c>
      <c r="U15" s="124">
        <v>2.3220397350872939</v>
      </c>
      <c r="V15" s="124">
        <v>5.9721910067051596E-2</v>
      </c>
      <c r="W15" s="124">
        <v>1.0221191893477134E-2</v>
      </c>
    </row>
    <row r="16" spans="1:23" ht="15" customHeight="1">
      <c r="A16" s="6">
        <v>9.6216144142090343</v>
      </c>
      <c r="B16" s="6">
        <v>3.7902703812451346</v>
      </c>
      <c r="C16" s="124">
        <v>3.9087827748667299</v>
      </c>
      <c r="D16" s="124">
        <v>1.3673466497569156</v>
      </c>
      <c r="E16" s="26"/>
      <c r="F16" s="26"/>
      <c r="G16" s="26"/>
      <c r="H16" s="26"/>
      <c r="I16" s="26"/>
      <c r="J16" s="26"/>
      <c r="K16" s="26"/>
      <c r="L16" s="26"/>
      <c r="M16" s="26"/>
      <c r="N16" s="26"/>
      <c r="O16" s="292">
        <v>11</v>
      </c>
      <c r="P16" s="639"/>
      <c r="Q16" s="640"/>
      <c r="R16" s="641"/>
      <c r="S16" s="642"/>
      <c r="T16" s="124">
        <v>1.6666666666181604</v>
      </c>
      <c r="U16" s="124">
        <v>2.3322875407885197</v>
      </c>
      <c r="V16" s="124">
        <v>6.3318448672755434E-2</v>
      </c>
      <c r="W16" s="124">
        <v>1.1356891427946839E-2</v>
      </c>
    </row>
    <row r="17" spans="1:23" ht="15" customHeight="1">
      <c r="A17" s="6">
        <v>9.7501260883291252</v>
      </c>
      <c r="B17" s="6">
        <v>3.9695198921904384</v>
      </c>
      <c r="C17" s="124">
        <v>4.093756388175696</v>
      </c>
      <c r="D17" s="124">
        <v>1.5931835522330977</v>
      </c>
      <c r="E17" s="26"/>
      <c r="F17" s="26"/>
      <c r="G17" s="26"/>
      <c r="H17" s="26"/>
      <c r="I17" s="26"/>
      <c r="J17" s="26"/>
      <c r="K17" s="26"/>
      <c r="L17" s="26"/>
      <c r="M17" s="26"/>
      <c r="N17" s="26"/>
      <c r="O17" s="292">
        <v>12</v>
      </c>
      <c r="P17" s="639"/>
      <c r="Q17" s="640"/>
      <c r="R17" s="641"/>
      <c r="S17" s="642"/>
      <c r="T17" s="124">
        <v>1.8333333332799764</v>
      </c>
      <c r="U17" s="124">
        <v>2.3431662849673827</v>
      </c>
      <c r="V17" s="124">
        <v>6.7293550363349885E-2</v>
      </c>
      <c r="W17" s="124">
        <v>1.2492574975225806E-2</v>
      </c>
    </row>
    <row r="18" spans="1:23" ht="15" customHeight="1">
      <c r="A18" s="6">
        <v>9.8448491291492246</v>
      </c>
      <c r="B18" s="6">
        <v>4.2963445528630579</v>
      </c>
      <c r="C18" s="124">
        <v>4.2476246848804697</v>
      </c>
      <c r="D18" s="124">
        <v>1.7123901295921333</v>
      </c>
      <c r="E18" s="26"/>
      <c r="F18" s="26"/>
      <c r="G18" s="26"/>
      <c r="H18" s="26"/>
      <c r="I18" s="26"/>
      <c r="J18" s="26"/>
      <c r="K18" s="26"/>
      <c r="L18" s="26"/>
      <c r="M18" s="26"/>
      <c r="N18" s="26"/>
      <c r="O18" s="292">
        <v>13</v>
      </c>
      <c r="P18" s="639"/>
      <c r="Q18" s="640"/>
      <c r="R18" s="641"/>
      <c r="S18" s="642"/>
      <c r="T18" s="124">
        <v>1.9999999999417923</v>
      </c>
      <c r="U18" s="124">
        <v>2.3547390614716459</v>
      </c>
      <c r="V18" s="124">
        <v>7.1647215138834958E-2</v>
      </c>
      <c r="W18" s="124">
        <v>1.3628258522463138E-2</v>
      </c>
    </row>
    <row r="19" spans="1:23" ht="15" customHeight="1">
      <c r="A19" s="6">
        <v>9.9183949307189323</v>
      </c>
      <c r="B19" s="6">
        <v>4.4234688315192683</v>
      </c>
      <c r="C19" s="124">
        <v>4.37437211645784</v>
      </c>
      <c r="D19" s="124">
        <v>1.7748851492560465</v>
      </c>
      <c r="E19" s="26"/>
      <c r="F19" s="26"/>
      <c r="G19" s="26"/>
      <c r="H19" s="26"/>
      <c r="I19" s="26"/>
      <c r="J19" s="26"/>
      <c r="K19" s="26"/>
      <c r="L19" s="26"/>
      <c r="M19" s="26"/>
      <c r="N19" s="26"/>
      <c r="O19" s="292">
        <v>14</v>
      </c>
      <c r="P19" s="639"/>
      <c r="Q19" s="640"/>
      <c r="R19" s="641"/>
      <c r="S19" s="642"/>
      <c r="T19" s="124">
        <v>2.1666666666036085</v>
      </c>
      <c r="U19" s="124">
        <v>2.3670689312539968</v>
      </c>
      <c r="V19" s="124">
        <v>7.63750338648196E-2</v>
      </c>
      <c r="W19" s="124">
        <v>1.4569841334252029E-2</v>
      </c>
    </row>
    <row r="20" spans="1:23" ht="15" customHeight="1" thickBot="1">
      <c r="A20" s="6">
        <v>9.9807470614905469</v>
      </c>
      <c r="B20" s="6">
        <v>4.3161688355486536</v>
      </c>
      <c r="C20" s="124">
        <v>4.485300612834406</v>
      </c>
      <c r="D20" s="124">
        <v>1.8114455126765505</v>
      </c>
      <c r="E20" s="26"/>
      <c r="F20" s="26"/>
      <c r="G20" s="26"/>
      <c r="H20" s="26"/>
      <c r="I20" s="26"/>
      <c r="J20" s="26"/>
      <c r="K20" s="26"/>
      <c r="L20" s="26"/>
      <c r="M20" s="26"/>
      <c r="N20" s="26"/>
      <c r="O20" s="643">
        <v>15</v>
      </c>
      <c r="P20" s="644"/>
      <c r="Q20" s="645"/>
      <c r="R20" s="646"/>
      <c r="S20" s="647"/>
      <c r="T20" s="124">
        <v>2.3333333332654247</v>
      </c>
      <c r="U20" s="124">
        <v>2.3801996475684373</v>
      </c>
      <c r="V20" s="124">
        <v>8.1181752189660866E-2</v>
      </c>
      <c r="W20" s="124">
        <v>1.4270760574085604E-2</v>
      </c>
    </row>
    <row r="21" spans="1:23" ht="15" customHeight="1" thickTop="1">
      <c r="A21" s="6">
        <v>10.040469448722433</v>
      </c>
      <c r="B21" s="6">
        <v>4.3549548393368696</v>
      </c>
      <c r="C21" s="124">
        <v>4.5935727403477191</v>
      </c>
      <c r="D21" s="124">
        <v>1.8176462791875643</v>
      </c>
      <c r="E21" s="26"/>
      <c r="F21" s="26"/>
      <c r="G21" s="26"/>
      <c r="H21" s="26"/>
      <c r="I21" s="26"/>
      <c r="J21" s="26"/>
      <c r="K21" s="26"/>
      <c r="L21" s="26"/>
      <c r="M21" s="26"/>
      <c r="N21" s="26"/>
      <c r="O21" s="294"/>
      <c r="P21" s="427"/>
      <c r="Q21" s="648" t="s">
        <v>807</v>
      </c>
      <c r="R21" s="649"/>
      <c r="S21" s="650"/>
      <c r="T21" s="124">
        <v>2.4999999999272404</v>
      </c>
      <c r="U21" s="124">
        <v>2.3941231836829133</v>
      </c>
      <c r="V21" s="124">
        <v>8.5888771766575181E-2</v>
      </c>
      <c r="W21" s="124">
        <v>1.3971647839496067E-2</v>
      </c>
    </row>
    <row r="22" spans="1:23" ht="15" customHeight="1">
      <c r="A22" s="6">
        <v>10.105798782024067</v>
      </c>
      <c r="B22" s="6">
        <v>4.8580520113807184</v>
      </c>
      <c r="C22" s="124">
        <v>4.7120782207504153</v>
      </c>
      <c r="D22" s="124">
        <v>1.7687521014919825</v>
      </c>
      <c r="E22" s="26"/>
      <c r="F22" s="26"/>
      <c r="G22" s="26"/>
      <c r="H22" s="26"/>
      <c r="I22" s="26"/>
      <c r="J22" s="26"/>
      <c r="K22" s="26"/>
      <c r="L22" s="26"/>
      <c r="M22" s="26"/>
      <c r="N22" s="26"/>
      <c r="O22" s="114"/>
      <c r="P22" s="651"/>
      <c r="Q22" s="652" t="s">
        <v>808</v>
      </c>
      <c r="R22" s="653"/>
      <c r="S22" s="654"/>
      <c r="T22" s="124">
        <v>2.6666666665890566</v>
      </c>
      <c r="U22" s="124">
        <v>2.4088229231402556</v>
      </c>
      <c r="V22" s="124">
        <v>9.0496092603556164E-2</v>
      </c>
      <c r="W22" s="124">
        <v>1.3672559085682229E-2</v>
      </c>
    </row>
    <row r="23" spans="1:23" ht="15" customHeight="1">
      <c r="A23" s="6">
        <v>10.185713412647601</v>
      </c>
      <c r="B23" s="6">
        <v>5.1357991946662338</v>
      </c>
      <c r="C23" s="124">
        <v>4.8517876304261467</v>
      </c>
      <c r="D23" s="124">
        <v>1.6437152120890819</v>
      </c>
      <c r="E23" s="26"/>
      <c r="F23" s="26"/>
      <c r="G23" s="26"/>
      <c r="H23" s="26"/>
      <c r="I23" s="26"/>
      <c r="J23" s="26"/>
      <c r="K23" s="26"/>
      <c r="L23" s="26"/>
      <c r="M23" s="26"/>
      <c r="N23" s="26"/>
      <c r="O23" s="383"/>
      <c r="P23" s="132"/>
      <c r="Q23" s="132"/>
      <c r="R23" s="132"/>
      <c r="S23" s="655"/>
      <c r="T23" s="124">
        <v>2.8333333332508728</v>
      </c>
      <c r="U23" s="124">
        <v>2.4242822494832952</v>
      </c>
      <c r="V23" s="124">
        <v>9.5003714697939279E-2</v>
      </c>
      <c r="W23" s="124">
        <v>1.337346233830425E-2</v>
      </c>
    </row>
    <row r="24" spans="1:23" ht="15" customHeight="1">
      <c r="A24" s="6">
        <v>10.291077989677433</v>
      </c>
      <c r="B24" s="6">
        <v>5.1329008521350588</v>
      </c>
      <c r="C24" s="124">
        <v>5.0194538449700117</v>
      </c>
      <c r="D24" s="124">
        <v>1.4393694924113245</v>
      </c>
      <c r="E24" s="26"/>
      <c r="F24" s="26"/>
      <c r="G24" s="26"/>
      <c r="H24" s="26"/>
      <c r="I24" s="26"/>
      <c r="J24" s="26"/>
      <c r="K24" s="26"/>
      <c r="L24" s="26"/>
      <c r="M24" s="26"/>
      <c r="N24" s="26"/>
      <c r="O24" s="656"/>
      <c r="P24" s="657"/>
      <c r="Q24" s="658" t="s">
        <v>1090</v>
      </c>
      <c r="R24" s="659">
        <v>20</v>
      </c>
      <c r="S24" s="660" t="s">
        <v>809</v>
      </c>
      <c r="T24" s="124">
        <v>2.9999999999126885</v>
      </c>
      <c r="U24" s="124">
        <v>2.4404845462548628</v>
      </c>
      <c r="V24" s="124">
        <v>9.9411638049724527E-2</v>
      </c>
      <c r="W24" s="124">
        <v>1.3074373584532046E-2</v>
      </c>
    </row>
    <row r="25" spans="1:23" ht="15" customHeight="1">
      <c r="A25" s="6">
        <v>10.435955300636124</v>
      </c>
      <c r="B25" s="6">
        <v>5.2423833602130161</v>
      </c>
      <c r="C25" s="124">
        <v>5.2146492768169725</v>
      </c>
      <c r="D25" s="124">
        <v>1.1641204134540271</v>
      </c>
      <c r="E25" s="26"/>
      <c r="F25" s="26"/>
      <c r="G25" s="26"/>
      <c r="H25" s="26"/>
      <c r="I25" s="26"/>
      <c r="J25" s="26"/>
      <c r="K25" s="26"/>
      <c r="L25" s="26"/>
      <c r="M25" s="26"/>
      <c r="N25" s="26"/>
      <c r="O25" s="656"/>
      <c r="P25" s="657"/>
      <c r="Q25" s="661" t="s">
        <v>810</v>
      </c>
      <c r="R25" s="662">
        <v>0.1</v>
      </c>
      <c r="S25" s="660" t="s">
        <v>811</v>
      </c>
      <c r="T25" s="124">
        <v>3.1666666665745047</v>
      </c>
      <c r="U25" s="124">
        <v>2.4574131969977904</v>
      </c>
      <c r="V25" s="124">
        <v>0.10371986265624737</v>
      </c>
      <c r="W25" s="124">
        <v>1.2775276837154065E-2</v>
      </c>
    </row>
    <row r="26" spans="1:23" ht="15" customHeight="1">
      <c r="A26" s="6">
        <v>10.639140704006422</v>
      </c>
      <c r="B26" s="6">
        <v>5.4344364742158016</v>
      </c>
      <c r="C26" s="124">
        <v>5.4251033055535851</v>
      </c>
      <c r="D26" s="124">
        <v>0.84111876904719718</v>
      </c>
      <c r="E26" s="26"/>
      <c r="F26" s="26"/>
      <c r="G26" s="26"/>
      <c r="H26" s="26"/>
      <c r="I26" s="26"/>
      <c r="J26" s="26"/>
      <c r="K26" s="26"/>
      <c r="L26" s="26"/>
      <c r="M26" s="26"/>
      <c r="N26" s="26"/>
      <c r="O26" s="663"/>
      <c r="P26" s="664"/>
      <c r="Q26" s="665" t="s">
        <v>812</v>
      </c>
      <c r="R26" s="666"/>
      <c r="S26" s="667" t="s">
        <v>813</v>
      </c>
      <c r="T26" s="124">
        <v>3.3333333332363209</v>
      </c>
      <c r="U26" s="124">
        <v>2.4750515852549082</v>
      </c>
      <c r="V26" s="124">
        <v>0.10792838852017235</v>
      </c>
      <c r="W26" s="124">
        <v>1.2476180089734451E-2</v>
      </c>
    </row>
    <row r="27" spans="1:23" ht="19.5" customHeight="1">
      <c r="A27" s="6">
        <v>10.925871347717475</v>
      </c>
      <c r="B27" s="6">
        <v>5.5859265023774283</v>
      </c>
      <c r="C27" s="124">
        <v>5.6263700185926995</v>
      </c>
      <c r="D27" s="124">
        <v>0.54062439586068511</v>
      </c>
      <c r="E27" s="26"/>
      <c r="F27" s="26"/>
      <c r="G27" s="26"/>
      <c r="H27" s="26"/>
      <c r="I27" s="26"/>
      <c r="J27" s="26"/>
      <c r="K27" s="26"/>
      <c r="L27" s="26"/>
      <c r="M27" s="26"/>
      <c r="N27" s="26"/>
      <c r="O27" s="678" t="s">
        <v>806</v>
      </c>
      <c r="P27" s="679" t="s">
        <v>655</v>
      </c>
      <c r="Q27" s="680" t="s">
        <v>814</v>
      </c>
      <c r="R27" s="681" t="s">
        <v>815</v>
      </c>
      <c r="S27" s="682" t="s">
        <v>656</v>
      </c>
      <c r="T27" s="124">
        <v>3.4999999998981366</v>
      </c>
      <c r="U27" s="124">
        <v>2.4933830945690478</v>
      </c>
      <c r="V27" s="124">
        <v>0.11203721564149946</v>
      </c>
      <c r="W27" s="124">
        <v>1.2177075348750692E-2</v>
      </c>
    </row>
    <row r="28" spans="1:23" ht="15" customHeight="1">
      <c r="A28" s="6">
        <v>11.32941198447952</v>
      </c>
      <c r="B28" s="6">
        <v>5.7817853807000468</v>
      </c>
      <c r="C28" s="124">
        <v>5.800969957723205</v>
      </c>
      <c r="D28" s="124">
        <v>0.32662601854994733</v>
      </c>
      <c r="E28" s="26"/>
      <c r="F28" s="26"/>
      <c r="G28" s="26"/>
      <c r="H28" s="26"/>
      <c r="I28" s="26"/>
      <c r="J28" s="26"/>
      <c r="K28" s="26"/>
      <c r="L28" s="26"/>
      <c r="M28" s="26"/>
      <c r="N28" s="26"/>
      <c r="O28" s="668">
        <v>1</v>
      </c>
      <c r="P28" s="669">
        <v>10.047833361532291</v>
      </c>
      <c r="Q28" s="670">
        <f>IF(P28&lt;&gt;"",P28*0.001*$R$25,"")</f>
        <v>1.0047833361532291E-3</v>
      </c>
      <c r="R28" s="670">
        <f>IF(P28&lt;&gt;"",Q28,"")</f>
        <v>1.0047833361532291E-3</v>
      </c>
      <c r="S28" s="671">
        <f>IF(P28&lt;&gt;"",R28/$R$24/0.001,"")</f>
        <v>5.023916680766146E-2</v>
      </c>
      <c r="T28" s="124">
        <v>3.6666666665599528</v>
      </c>
      <c r="U28" s="124">
        <v>2.5123911084830399</v>
      </c>
      <c r="V28" s="124">
        <v>0.1160463440202287</v>
      </c>
      <c r="W28" s="124">
        <v>1.1877986595020122E-2</v>
      </c>
    </row>
    <row r="29" spans="1:23" ht="15" customHeight="1">
      <c r="A29" s="6">
        <v>11.891695459780749</v>
      </c>
      <c r="B29" s="6">
        <v>5.9333775681693366</v>
      </c>
      <c r="C29" s="124">
        <v>5.9498505351300084</v>
      </c>
      <c r="D29" s="124">
        <v>0.21842310493949785</v>
      </c>
      <c r="E29" s="26"/>
      <c r="F29" s="26"/>
      <c r="G29" s="26"/>
      <c r="H29" s="26"/>
      <c r="I29" s="26"/>
      <c r="J29" s="26"/>
      <c r="K29" s="26"/>
      <c r="L29" s="26"/>
      <c r="M29" s="26"/>
      <c r="N29" s="26"/>
      <c r="O29" s="292">
        <v>2</v>
      </c>
      <c r="P29" s="672">
        <v>30.01250000066441</v>
      </c>
      <c r="Q29" s="673">
        <f t="shared" ref="Q29:Q37" si="0">IF(P29&lt;&gt;"",P29*0.001*$R$25,"")</f>
        <v>3.0012500000664412E-3</v>
      </c>
      <c r="R29" s="673">
        <f>IF(P29&lt;&gt;"",(Q29-Q28),"")</f>
        <v>1.9964666639132123E-3</v>
      </c>
      <c r="S29" s="674">
        <f t="shared" ref="S29:S37" si="1">IF(P29&lt;&gt;"",R29/$R$24/0.001,"")</f>
        <v>9.9823333195660613E-2</v>
      </c>
      <c r="T29" s="124">
        <v>3.8333333332217689</v>
      </c>
      <c r="U29" s="124">
        <v>2.5320590105397156</v>
      </c>
      <c r="V29" s="124">
        <v>0.11995577365636007</v>
      </c>
      <c r="W29" s="124">
        <v>1.1578889847600507E-2</v>
      </c>
    </row>
    <row r="30" spans="1:23" ht="15" customHeight="1">
      <c r="A30" s="6">
        <v>12.661303962522652</v>
      </c>
      <c r="B30" s="6">
        <v>6.1015246164126706</v>
      </c>
      <c r="C30" s="124">
        <v>6.0975497546929853</v>
      </c>
      <c r="D30" s="124">
        <v>0.15961767587332287</v>
      </c>
      <c r="E30" s="26"/>
      <c r="F30" s="26"/>
      <c r="G30" s="26"/>
      <c r="H30" s="26"/>
      <c r="I30" s="26"/>
      <c r="J30" s="26"/>
      <c r="K30" s="26"/>
      <c r="L30" s="26"/>
      <c r="M30" s="26"/>
      <c r="N30" s="26"/>
      <c r="O30" s="292">
        <v>3</v>
      </c>
      <c r="P30" s="672"/>
      <c r="Q30" s="673" t="str">
        <f t="shared" si="0"/>
        <v/>
      </c>
      <c r="R30" s="673" t="str">
        <f t="shared" ref="R30:R37" si="2">IF(P30&lt;&gt;"",(Q30-Q29),"")</f>
        <v/>
      </c>
      <c r="S30" s="674" t="str">
        <f t="shared" si="1"/>
        <v/>
      </c>
      <c r="T30" s="124">
        <v>3.9999999998835847</v>
      </c>
      <c r="U30" s="124">
        <v>2.552370184281906</v>
      </c>
      <c r="V30" s="124">
        <v>0.12376550454722904</v>
      </c>
      <c r="W30" s="124">
        <v>1.1279793100222526E-2</v>
      </c>
    </row>
    <row r="31" spans="1:23" ht="15" customHeight="1">
      <c r="A31" s="6">
        <v>13.68609245546395</v>
      </c>
      <c r="B31" s="6">
        <v>6.2343706579746305</v>
      </c>
      <c r="C31" s="124">
        <v>6.2373585060206231</v>
      </c>
      <c r="D31" s="124">
        <v>0.12940471512893156</v>
      </c>
      <c r="E31" s="26"/>
      <c r="F31" s="26"/>
      <c r="G31" s="26"/>
      <c r="H31" s="26"/>
      <c r="I31" s="26"/>
      <c r="J31" s="26"/>
      <c r="K31" s="26"/>
      <c r="L31" s="26"/>
      <c r="M31" s="26"/>
      <c r="N31" s="26"/>
      <c r="O31" s="292">
        <v>4</v>
      </c>
      <c r="P31" s="672"/>
      <c r="Q31" s="673" t="str">
        <f t="shared" si="0"/>
        <v/>
      </c>
      <c r="R31" s="673" t="str">
        <f t="shared" si="2"/>
        <v/>
      </c>
      <c r="S31" s="674" t="str">
        <f t="shared" si="1"/>
        <v/>
      </c>
      <c r="T31" s="124">
        <v>4.1666666665454013</v>
      </c>
      <c r="U31" s="124">
        <v>2.5732575608785768</v>
      </c>
      <c r="V31" s="124">
        <v>0.12653836520839193</v>
      </c>
      <c r="W31" s="124">
        <v>5.1898725320476662E-3</v>
      </c>
    </row>
    <row r="32" spans="1:23" ht="15" customHeight="1">
      <c r="A32" s="6">
        <v>14.998016964818817</v>
      </c>
      <c r="B32" s="6">
        <v>6.4237087256565042</v>
      </c>
      <c r="C32" s="124">
        <v>6.4272567565249483</v>
      </c>
      <c r="D32" s="124">
        <v>0.16415814249331287</v>
      </c>
      <c r="E32" s="26"/>
      <c r="F32" s="26"/>
      <c r="G32" s="26"/>
      <c r="H32" s="26"/>
      <c r="I32" s="26"/>
      <c r="J32" s="26"/>
      <c r="K32" s="26"/>
      <c r="L32" s="26"/>
      <c r="M32" s="26"/>
      <c r="N32" s="26"/>
      <c r="O32" s="292">
        <v>5</v>
      </c>
      <c r="P32" s="672"/>
      <c r="Q32" s="673" t="str">
        <f t="shared" si="0"/>
        <v/>
      </c>
      <c r="R32" s="673" t="str">
        <f t="shared" si="2"/>
        <v/>
      </c>
      <c r="S32" s="674" t="str">
        <f t="shared" si="1"/>
        <v/>
      </c>
      <c r="T32" s="124">
        <v>4.333333333207217</v>
      </c>
      <c r="U32" s="124">
        <v>2.594433262584293</v>
      </c>
      <c r="V32" s="124">
        <v>0.12722246958689071</v>
      </c>
      <c r="W32" s="124">
        <v>-1.0789928950630634E-3</v>
      </c>
    </row>
    <row r="33" spans="1:23" ht="15" customHeight="1">
      <c r="A33" s="6">
        <v>16.591740037256386</v>
      </c>
      <c r="B33" s="6">
        <v>6.6692782825219714</v>
      </c>
      <c r="C33" s="124">
        <v>6.6623664324466985</v>
      </c>
      <c r="D33" s="124">
        <v>8.6695023720403011E-2</v>
      </c>
      <c r="E33" s="26"/>
      <c r="F33" s="26"/>
      <c r="G33" s="26"/>
      <c r="H33" s="26"/>
      <c r="I33" s="26"/>
      <c r="J33" s="26"/>
      <c r="K33" s="26"/>
      <c r="L33" s="26"/>
      <c r="M33" s="26"/>
      <c r="N33" s="26"/>
      <c r="O33" s="292">
        <v>6</v>
      </c>
      <c r="P33" s="672"/>
      <c r="Q33" s="673" t="str">
        <f t="shared" si="0"/>
        <v/>
      </c>
      <c r="R33" s="673" t="str">
        <f t="shared" si="2"/>
        <v/>
      </c>
      <c r="S33" s="674" t="str">
        <f t="shared" si="1"/>
        <v/>
      </c>
      <c r="T33" s="124">
        <v>4.4999999998690328</v>
      </c>
      <c r="U33" s="124">
        <v>2.6155490207556742</v>
      </c>
      <c r="V33" s="124">
        <v>0.12581695317426056</v>
      </c>
      <c r="W33" s="124">
        <v>-7.3478583222570601E-3</v>
      </c>
    </row>
    <row r="34" spans="1:23" ht="15" customHeight="1">
      <c r="A34" s="6">
        <v>18.406854815839324</v>
      </c>
      <c r="B34" s="6">
        <v>6.7265948707517058</v>
      </c>
      <c r="C34" s="124">
        <v>6.7317303456254196</v>
      </c>
      <c r="D34" s="124">
        <v>5.0545501636701823E-2</v>
      </c>
      <c r="E34" s="26"/>
      <c r="F34" s="26"/>
      <c r="G34" s="26"/>
      <c r="H34" s="26"/>
      <c r="I34" s="26"/>
      <c r="J34" s="26"/>
      <c r="K34" s="26"/>
      <c r="L34" s="26"/>
      <c r="M34" s="26"/>
      <c r="N34" s="26"/>
      <c r="O34" s="292">
        <v>7</v>
      </c>
      <c r="P34" s="672"/>
      <c r="Q34" s="673" t="str">
        <f t="shared" si="0"/>
        <v/>
      </c>
      <c r="R34" s="673" t="str">
        <f t="shared" si="2"/>
        <v/>
      </c>
      <c r="S34" s="674" t="str">
        <f t="shared" si="1"/>
        <v/>
      </c>
      <c r="T34" s="124">
        <v>4.6666666665308494</v>
      </c>
      <c r="U34" s="124">
        <v>2.6362565652605445</v>
      </c>
      <c r="V34" s="124">
        <v>0.12232181596783695</v>
      </c>
      <c r="W34" s="124">
        <v>-1.3616715755762013E-2</v>
      </c>
    </row>
    <row r="35" spans="1:23" ht="15" customHeight="1">
      <c r="A35" s="6">
        <v>20.328983447689097</v>
      </c>
      <c r="B35" s="6">
        <v>6.919625802232388</v>
      </c>
      <c r="C35" s="124">
        <v>6.9194937491760591</v>
      </c>
      <c r="D35" s="124">
        <v>0.11920556329351063</v>
      </c>
      <c r="E35" s="26"/>
      <c r="F35" s="26"/>
      <c r="G35" s="26"/>
      <c r="H35" s="26"/>
      <c r="I35" s="26"/>
      <c r="J35" s="26"/>
      <c r="K35" s="26"/>
      <c r="L35" s="26"/>
      <c r="M35" s="26"/>
      <c r="N35" s="26"/>
      <c r="O35" s="292">
        <v>8</v>
      </c>
      <c r="P35" s="672"/>
      <c r="Q35" s="673" t="str">
        <f t="shared" si="0"/>
        <v/>
      </c>
      <c r="R35" s="673" t="str">
        <f t="shared" si="2"/>
        <v/>
      </c>
      <c r="S35" s="674" t="str">
        <f t="shared" si="1"/>
        <v/>
      </c>
      <c r="T35" s="124">
        <v>4.8333333331926651</v>
      </c>
      <c r="U35" s="124">
        <v>2.6562076259667284</v>
      </c>
      <c r="V35" s="124">
        <v>0.11673705796761988</v>
      </c>
      <c r="W35" s="124">
        <v>-1.9885581182872744E-2</v>
      </c>
    </row>
    <row r="36" spans="1:23" ht="15" customHeight="1">
      <c r="A36" s="6">
        <v>22.216620297695044</v>
      </c>
      <c r="B36" s="6">
        <v>7.0953256149307116</v>
      </c>
      <c r="C36" s="124">
        <v>7.0887918691417378</v>
      </c>
      <c r="D36" s="124">
        <v>3.3962321941161451E-2</v>
      </c>
      <c r="E36" s="26"/>
      <c r="F36" s="26"/>
      <c r="G36" s="26"/>
      <c r="H36" s="26"/>
      <c r="I36" s="26"/>
      <c r="J36" s="26"/>
      <c r="K36" s="26"/>
      <c r="L36" s="26"/>
      <c r="M36" s="26"/>
      <c r="N36" s="26"/>
      <c r="O36" s="292">
        <v>9</v>
      </c>
      <c r="P36" s="672"/>
      <c r="Q36" s="673" t="str">
        <f t="shared" si="0"/>
        <v/>
      </c>
      <c r="R36" s="673" t="str">
        <f t="shared" si="2"/>
        <v/>
      </c>
      <c r="S36" s="674" t="str">
        <f t="shared" si="1"/>
        <v/>
      </c>
      <c r="T36" s="124">
        <v>4.9999999998544808</v>
      </c>
      <c r="U36" s="124">
        <v>2.6750539327420495</v>
      </c>
      <c r="V36" s="124">
        <v>0.10906267917627388</v>
      </c>
      <c r="W36" s="124">
        <v>-2.6154438616377694E-2</v>
      </c>
    </row>
    <row r="37" spans="1:23" ht="15" customHeight="1" thickBot="1">
      <c r="A37" s="6">
        <v>23.941385601938237</v>
      </c>
      <c r="B37" s="6">
        <v>7.1512500737592566</v>
      </c>
      <c r="C37" s="124">
        <v>7.1647414420374025</v>
      </c>
      <c r="D37" s="124">
        <v>0.13597817354442276</v>
      </c>
      <c r="E37" s="26"/>
      <c r="F37" s="26"/>
      <c r="G37" s="26"/>
      <c r="H37" s="26"/>
      <c r="I37" s="26"/>
      <c r="J37" s="26"/>
      <c r="K37" s="26"/>
      <c r="L37" s="26"/>
      <c r="M37" s="26"/>
      <c r="N37" s="26"/>
      <c r="O37" s="643">
        <v>10</v>
      </c>
      <c r="P37" s="675"/>
      <c r="Q37" s="676" t="str">
        <f t="shared" si="0"/>
        <v/>
      </c>
      <c r="R37" s="676" t="str">
        <f t="shared" si="2"/>
        <v/>
      </c>
      <c r="S37" s="677" t="str">
        <f t="shared" si="1"/>
        <v/>
      </c>
      <c r="T37" s="124">
        <v>5.1666666665162975</v>
      </c>
      <c r="U37" s="124">
        <v>2.6924472154543322</v>
      </c>
      <c r="V37" s="124">
        <v>9.9298679593798955E-2</v>
      </c>
      <c r="W37" s="124">
        <v>-3.2423288056276874E-2</v>
      </c>
    </row>
    <row r="38" spans="1:23" ht="15" customHeight="1" thickTop="1">
      <c r="A38" s="6">
        <v>25.419121760933194</v>
      </c>
      <c r="B38" s="6">
        <v>7.4514787286653243</v>
      </c>
      <c r="C38" s="124">
        <v>7.4329580755025031</v>
      </c>
      <c r="D38" s="124">
        <v>0.13503380799628742</v>
      </c>
      <c r="E38" s="26"/>
      <c r="F38" s="26"/>
      <c r="G38" s="26"/>
      <c r="H38" s="26"/>
      <c r="I38" s="26"/>
      <c r="J38" s="26"/>
      <c r="K38" s="26"/>
      <c r="L38" s="26"/>
      <c r="M38" s="26"/>
      <c r="N38" s="26"/>
      <c r="O38" s="351" t="s">
        <v>657</v>
      </c>
      <c r="P38" s="351"/>
      <c r="Q38" s="351"/>
      <c r="R38" s="351"/>
      <c r="S38" s="351"/>
      <c r="T38" s="124">
        <v>5.3333333331781132</v>
      </c>
      <c r="U38" s="124">
        <v>2.708039203971401</v>
      </c>
      <c r="V38" s="124">
        <v>8.7445059212201484E-2</v>
      </c>
      <c r="W38" s="124">
        <v>-3.8692161477035011E-2</v>
      </c>
    </row>
    <row r="39" spans="1:23" ht="15" customHeight="1">
      <c r="A39" s="6">
        <v>26.618562547082547</v>
      </c>
      <c r="B39" s="6">
        <v>7.5401593301441734</v>
      </c>
      <c r="C39" s="124">
        <v>7.5596299835371328</v>
      </c>
      <c r="D39" s="124">
        <v>0.15172498308877611</v>
      </c>
      <c r="E39" s="26"/>
      <c r="F39" s="26"/>
      <c r="G39" s="26"/>
      <c r="H39" s="26"/>
      <c r="I39" s="26"/>
      <c r="J39" s="26"/>
      <c r="K39" s="26"/>
      <c r="L39" s="26"/>
      <c r="M39" s="26"/>
      <c r="N39" s="26"/>
      <c r="O39" s="684" t="s">
        <v>816</v>
      </c>
      <c r="P39" s="351"/>
      <c r="Q39" s="351"/>
      <c r="R39" s="351"/>
      <c r="S39" s="351"/>
      <c r="T39" s="124">
        <v>5.4999999998399289</v>
      </c>
      <c r="U39" s="124">
        <v>2.7214816281610794</v>
      </c>
      <c r="V39" s="124">
        <v>7.3501818042139622E-2</v>
      </c>
      <c r="W39" s="124">
        <v>-4.4961018910539961E-2</v>
      </c>
    </row>
    <row r="40" spans="1:23" ht="15" customHeight="1">
      <c r="A40" s="6">
        <v>27.550935077306349</v>
      </c>
      <c r="B40" s="6">
        <v>7.7563774949247826</v>
      </c>
      <c r="C40" s="124">
        <v>7.7429813680716082</v>
      </c>
      <c r="D40" s="124">
        <v>0.20368142504405484</v>
      </c>
      <c r="E40" s="26"/>
      <c r="F40" s="26"/>
      <c r="G40" s="26"/>
      <c r="H40" s="26"/>
      <c r="I40" s="26"/>
      <c r="J40" s="26"/>
      <c r="K40" s="26"/>
      <c r="L40" s="26"/>
      <c r="M40" s="26"/>
      <c r="N40" s="26"/>
      <c r="O40" s="684" t="s">
        <v>1108</v>
      </c>
      <c r="P40" s="351"/>
      <c r="Q40" s="351"/>
      <c r="R40" s="351"/>
      <c r="S40" s="351"/>
      <c r="T40" s="124">
        <v>5.6666666665017456</v>
      </c>
      <c r="U40" s="124">
        <v>2.732545491629895</v>
      </c>
      <c r="V40" s="124">
        <v>6.0245811080305356E-2</v>
      </c>
      <c r="W40" s="124">
        <v>-2.9735821806616828E-2</v>
      </c>
    </row>
    <row r="41" spans="1:23" ht="15" customHeight="1">
      <c r="A41" s="6">
        <v>28.252110099128913</v>
      </c>
      <c r="B41" s="6">
        <v>7.9134510497316528</v>
      </c>
      <c r="C41" s="124">
        <v>7.8772984836701303</v>
      </c>
      <c r="D41" s="124">
        <v>0.18924152373658837</v>
      </c>
      <c r="E41" s="26"/>
      <c r="F41" s="26"/>
      <c r="G41" s="26"/>
      <c r="H41" s="26"/>
      <c r="I41" s="26"/>
      <c r="J41" s="26"/>
      <c r="K41" s="26"/>
      <c r="L41" s="26"/>
      <c r="M41" s="26"/>
      <c r="N41" s="26"/>
      <c r="O41" s="684" t="s">
        <v>937</v>
      </c>
      <c r="P41" s="351"/>
      <c r="Q41" s="351"/>
      <c r="R41" s="351"/>
      <c r="S41" s="351"/>
      <c r="T41" s="124">
        <v>5.8333333331635613</v>
      </c>
      <c r="U41" s="124">
        <v>2.7419603268952932</v>
      </c>
      <c r="V41" s="124">
        <v>5.3920100447483715E-2</v>
      </c>
      <c r="W41" s="124">
        <v>-8.2399447270298295E-3</v>
      </c>
    </row>
    <row r="42" spans="1:23" ht="15" customHeight="1">
      <c r="A42" s="6">
        <v>28.76675075822277</v>
      </c>
      <c r="B42" s="6">
        <v>7.9963996764286227</v>
      </c>
      <c r="C42" s="124">
        <v>8.0049076159001462</v>
      </c>
      <c r="D42" s="124">
        <v>0.37901352359584767</v>
      </c>
      <c r="E42" s="26"/>
      <c r="F42" s="26"/>
      <c r="G42" s="26"/>
      <c r="H42" s="26"/>
      <c r="I42" s="26"/>
      <c r="J42" s="26"/>
      <c r="K42" s="26"/>
      <c r="L42" s="26"/>
      <c r="M42" s="26"/>
      <c r="N42" s="26"/>
      <c r="O42" s="26"/>
      <c r="P42" s="26"/>
      <c r="Q42" s="26"/>
      <c r="R42" s="26"/>
      <c r="S42" s="26"/>
      <c r="T42" s="124">
        <v>5.999999999825377</v>
      </c>
      <c r="U42" s="124">
        <v>2.7509173875702602</v>
      </c>
      <c r="V42" s="124">
        <v>5.4759681287026005E-2</v>
      </c>
      <c r="W42" s="124">
        <v>1.325592435897221E-2</v>
      </c>
    </row>
    <row r="43" spans="1:23" ht="15" customHeight="1">
      <c r="A43" s="6">
        <v>29.138159849389922</v>
      </c>
      <c r="B43" s="6">
        <v>8.2263819666307043</v>
      </c>
      <c r="C43" s="124">
        <v>8.1929929077639194</v>
      </c>
      <c r="D43" s="124">
        <v>0.69928697951592</v>
      </c>
      <c r="E43" s="26"/>
      <c r="F43" s="26"/>
      <c r="G43" s="26"/>
      <c r="H43" s="26"/>
      <c r="I43" s="26"/>
      <c r="J43" s="26"/>
      <c r="K43" s="26"/>
      <c r="L43" s="26"/>
      <c r="M43" s="26"/>
      <c r="N43" s="26"/>
      <c r="O43" s="26"/>
      <c r="P43" s="351" t="s">
        <v>2</v>
      </c>
      <c r="Q43" s="351"/>
      <c r="R43" s="351"/>
      <c r="S43" s="26"/>
      <c r="T43" s="124">
        <v>6.1666666664871936</v>
      </c>
      <c r="U43" s="124">
        <v>2.7606108889005831</v>
      </c>
      <c r="V43" s="124">
        <v>6.2764553601596745E-2</v>
      </c>
      <c r="W43" s="124">
        <v>3.4751793444932615E-2</v>
      </c>
    </row>
    <row r="44" spans="1:23" ht="15" customHeight="1">
      <c r="A44" s="6">
        <v>29.403460801404435</v>
      </c>
      <c r="B44" s="6">
        <v>8.4238610949150825</v>
      </c>
      <c r="C44" s="124">
        <v>8.4135759117230755</v>
      </c>
      <c r="D44" s="124">
        <v>1.0529584187757943</v>
      </c>
      <c r="E44" s="26"/>
      <c r="F44" s="26"/>
      <c r="G44" s="26"/>
      <c r="H44" s="26"/>
      <c r="I44" s="26"/>
      <c r="J44" s="26"/>
      <c r="K44" s="26"/>
      <c r="L44" s="26"/>
      <c r="M44" s="26"/>
      <c r="N44" s="26"/>
      <c r="O44" s="26"/>
      <c r="P44" s="351" t="s">
        <v>4</v>
      </c>
      <c r="Q44" s="351"/>
      <c r="R44" s="351"/>
      <c r="S44" s="26"/>
      <c r="T44" s="124">
        <v>6.3333333331490094</v>
      </c>
      <c r="U44" s="124">
        <v>2.7722350461320491</v>
      </c>
      <c r="V44" s="124">
        <v>7.7934717393860486E-2</v>
      </c>
      <c r="W44" s="124">
        <v>5.6247686511731169E-2</v>
      </c>
    </row>
    <row r="45" spans="1:23" ht="15" customHeight="1">
      <c r="A45" s="6">
        <v>29.592312754539307</v>
      </c>
      <c r="B45" s="6">
        <v>8.4704538960139431</v>
      </c>
      <c r="C45" s="124">
        <v>8.6351335225611656</v>
      </c>
      <c r="D45" s="124">
        <v>1.3952687871227101</v>
      </c>
      <c r="E45" s="26"/>
      <c r="F45" s="26"/>
      <c r="G45" s="26"/>
      <c r="H45" s="26"/>
      <c r="I45" s="26"/>
      <c r="J45" s="26"/>
      <c r="K45" s="26"/>
      <c r="L45" s="26"/>
      <c r="M45" s="26"/>
      <c r="N45" s="26"/>
      <c r="O45" s="26"/>
      <c r="P45" s="351" t="s">
        <v>3</v>
      </c>
      <c r="Q45" s="351"/>
      <c r="R45" s="351"/>
      <c r="S45" s="26"/>
      <c r="T45" s="124">
        <v>6.4999999998108251</v>
      </c>
      <c r="U45" s="124">
        <v>2.7869840745104462</v>
      </c>
      <c r="V45" s="124">
        <v>0.10027017265848816</v>
      </c>
      <c r="W45" s="124">
        <v>7.7743555597712385E-2</v>
      </c>
    </row>
    <row r="46" spans="1:23">
      <c r="A46" s="6">
        <v>29.727469007775653</v>
      </c>
      <c r="B46" s="6">
        <v>8.8064331886117166</v>
      </c>
      <c r="C46" s="124">
        <v>8.8341611651758605</v>
      </c>
      <c r="D46" s="124">
        <v>1.6289122911840936</v>
      </c>
      <c r="E46" s="26"/>
      <c r="F46" s="26"/>
      <c r="G46" s="26"/>
      <c r="H46" s="26"/>
      <c r="I46" s="26"/>
      <c r="J46" s="26"/>
      <c r="K46" s="26"/>
      <c r="L46" s="26"/>
      <c r="M46" s="26"/>
      <c r="N46" s="26"/>
      <c r="O46" s="26"/>
      <c r="P46" s="26"/>
      <c r="Q46" s="26"/>
      <c r="R46" s="26"/>
      <c r="S46" s="26"/>
      <c r="T46" s="124">
        <v>6.6666666664726417</v>
      </c>
      <c r="U46" s="124">
        <v>2.8060521892815613</v>
      </c>
      <c r="V46" s="124">
        <v>0.12977091939814428</v>
      </c>
      <c r="W46" s="124">
        <v>9.9239424683735242E-2</v>
      </c>
    </row>
    <row r="47" spans="1:23">
      <c r="A47" s="6">
        <v>29.826065547240432</v>
      </c>
      <c r="B47" s="6">
        <v>9.0470594645874822</v>
      </c>
      <c r="C47" s="124">
        <v>8.9982103608112141</v>
      </c>
      <c r="D47" s="124">
        <v>1.7625324468647061</v>
      </c>
      <c r="E47" s="26"/>
      <c r="F47" s="26"/>
      <c r="G47" s="26"/>
      <c r="H47" s="26"/>
      <c r="I47" s="26"/>
      <c r="J47" s="26"/>
      <c r="K47" s="26"/>
      <c r="L47" s="26"/>
      <c r="M47" s="26"/>
      <c r="N47" s="26"/>
      <c r="O47" s="26"/>
      <c r="P47" s="26"/>
      <c r="Q47" s="26"/>
      <c r="R47" s="26"/>
      <c r="S47" s="26"/>
      <c r="T47" s="124">
        <v>6.8333333331344575</v>
      </c>
      <c r="U47" s="124">
        <v>2.8305753583805182</v>
      </c>
      <c r="V47" s="124">
        <v>0.16444787681136983</v>
      </c>
      <c r="W47" s="124">
        <v>9.8179232749377676E-2</v>
      </c>
    </row>
    <row r="48" spans="1:23">
      <c r="A48" s="6">
        <v>29.901051959313918</v>
      </c>
      <c r="B48" s="6">
        <v>8.9214273543590199</v>
      </c>
      <c r="C48" s="124">
        <v>9.1314771179734837</v>
      </c>
      <c r="D48" s="124">
        <v>1.8447043942775987</v>
      </c>
      <c r="E48" s="26"/>
      <c r="F48" s="26"/>
      <c r="G48" s="26"/>
      <c r="H48" s="151"/>
      <c r="I48" s="151"/>
      <c r="J48" s="151"/>
      <c r="K48" s="26"/>
      <c r="L48" s="26"/>
      <c r="M48" s="26"/>
      <c r="N48" s="26"/>
      <c r="O48" s="26"/>
      <c r="P48" s="26"/>
      <c r="Q48" s="26"/>
      <c r="R48" s="26"/>
      <c r="S48" s="26"/>
      <c r="T48" s="124">
        <v>6.9999999997962732</v>
      </c>
      <c r="U48" s="124">
        <v>2.8605113701517841</v>
      </c>
      <c r="V48" s="124">
        <v>0.19363480334919192</v>
      </c>
      <c r="W48" s="124">
        <v>7.6963547539546429E-2</v>
      </c>
    </row>
    <row r="49" spans="1:23">
      <c r="A49" s="6">
        <v>29.962520969274919</v>
      </c>
      <c r="B49" s="6">
        <v>9.1409056011009717</v>
      </c>
      <c r="C49" s="124">
        <v>9.2451473863973401</v>
      </c>
      <c r="D49" s="124">
        <v>1.8821441842181079</v>
      </c>
      <c r="E49" s="26"/>
      <c r="F49" s="26"/>
      <c r="G49" s="26"/>
      <c r="H49" s="26"/>
      <c r="I49" s="26"/>
      <c r="J49" s="26"/>
      <c r="K49" s="26"/>
      <c r="L49" s="26"/>
      <c r="M49" s="26"/>
      <c r="N49" s="26"/>
      <c r="O49" s="26"/>
      <c r="P49" s="26"/>
      <c r="Q49" s="26"/>
      <c r="R49" s="26"/>
      <c r="S49" s="26"/>
      <c r="T49" s="124">
        <v>7.1666666664580898</v>
      </c>
      <c r="U49" s="124">
        <v>2.8947231343978994</v>
      </c>
      <c r="V49" s="124">
        <v>0.21574983461475986</v>
      </c>
      <c r="W49" s="124">
        <v>5.5747854336026123E-2</v>
      </c>
    </row>
    <row r="50" spans="1:23">
      <c r="A50" s="6">
        <v>30.018881628348026</v>
      </c>
      <c r="B50" s="6">
        <v>9.3198510455583126</v>
      </c>
      <c r="C50" s="124">
        <v>9.3512561440971069</v>
      </c>
      <c r="D50" s="124">
        <v>1.8794345720166077</v>
      </c>
      <c r="E50" s="26"/>
      <c r="F50" s="26"/>
      <c r="G50" s="26"/>
      <c r="H50" s="26"/>
      <c r="I50" s="26"/>
      <c r="J50" s="26"/>
      <c r="K50" s="26"/>
      <c r="L50" s="26"/>
      <c r="M50" s="26"/>
      <c r="N50" s="26"/>
      <c r="O50" s="26"/>
      <c r="P50" s="26"/>
      <c r="Q50" s="26"/>
      <c r="R50" s="26"/>
      <c r="S50" s="26"/>
      <c r="T50" s="124">
        <v>7.3333333331199055</v>
      </c>
      <c r="U50" s="124">
        <v>2.9320320019069879</v>
      </c>
      <c r="V50" s="124">
        <v>0.23079297060807366</v>
      </c>
      <c r="W50" s="124">
        <v>3.4532161132589098E-2</v>
      </c>
    </row>
    <row r="51" spans="1:23">
      <c r="A51" s="6">
        <v>30.077913562126923</v>
      </c>
      <c r="B51" s="6">
        <v>9.6426810772611162</v>
      </c>
      <c r="C51" s="124">
        <v>9.4620591570341315</v>
      </c>
      <c r="D51" s="124">
        <v>1.8363361494087844</v>
      </c>
      <c r="E51" s="26"/>
      <c r="F51" s="26"/>
      <c r="G51" s="26"/>
      <c r="H51" s="26"/>
      <c r="I51" s="26"/>
      <c r="J51" s="26"/>
      <c r="K51" s="26"/>
      <c r="L51" s="26"/>
      <c r="M51" s="26"/>
      <c r="N51" s="26"/>
      <c r="O51" s="26"/>
      <c r="P51" s="26"/>
      <c r="Q51" s="26"/>
      <c r="R51" s="26"/>
      <c r="S51" s="26"/>
      <c r="T51" s="124">
        <v>7.4999999997817213</v>
      </c>
      <c r="U51" s="124">
        <v>2.9712593234671738</v>
      </c>
      <c r="V51" s="124">
        <v>0.23876421133179784</v>
      </c>
      <c r="W51" s="124">
        <v>1.3316475922674577E-2</v>
      </c>
    </row>
    <row r="52" spans="1:23">
      <c r="A52" s="6">
        <v>30.147781588311773</v>
      </c>
      <c r="B52" s="6">
        <v>9.6630212543003005</v>
      </c>
      <c r="C52" s="124">
        <v>9.5895887346914996</v>
      </c>
      <c r="D52" s="124">
        <v>1.7496322992318376</v>
      </c>
      <c r="E52" s="26"/>
      <c r="F52" s="26"/>
      <c r="G52" s="26"/>
      <c r="H52" s="26"/>
      <c r="I52" s="26"/>
      <c r="J52" s="26"/>
      <c r="K52" s="26"/>
      <c r="L52" s="26"/>
      <c r="M52" s="26"/>
      <c r="N52" s="26"/>
      <c r="O52" s="26"/>
      <c r="P52" s="26"/>
      <c r="Q52" s="26"/>
      <c r="R52" s="26"/>
      <c r="S52" s="26"/>
      <c r="T52" s="124">
        <v>7.6666666664435379</v>
      </c>
      <c r="U52" s="124">
        <v>3.0112264510722939</v>
      </c>
      <c r="V52" s="124">
        <v>0.23966491348468583</v>
      </c>
      <c r="W52" s="124">
        <v>-7.4464194814107846E-3</v>
      </c>
    </row>
    <row r="53" spans="1:23">
      <c r="A53" s="6">
        <v>30.23810956365196</v>
      </c>
      <c r="B53" s="6">
        <v>9.8054199161609681</v>
      </c>
      <c r="C53" s="124">
        <v>9.7447987845771884</v>
      </c>
      <c r="D53" s="124">
        <v>1.5996873874840556</v>
      </c>
      <c r="E53" s="26"/>
      <c r="F53" s="26"/>
      <c r="G53" s="26"/>
      <c r="H53" s="26"/>
      <c r="I53" s="26"/>
      <c r="J53" s="26"/>
      <c r="K53" s="26"/>
      <c r="L53" s="26"/>
      <c r="M53" s="26"/>
      <c r="N53" s="26"/>
      <c r="O53" s="26"/>
      <c r="P53" s="26"/>
      <c r="Q53" s="26"/>
      <c r="R53" s="26"/>
      <c r="S53" s="26"/>
      <c r="T53" s="124">
        <v>7.8333333331053536</v>
      </c>
      <c r="U53" s="124">
        <v>3.0510147381141026</v>
      </c>
      <c r="V53" s="124">
        <v>0.2380976011647124</v>
      </c>
      <c r="W53" s="124">
        <v>-1.9629418092375695E-3</v>
      </c>
    </row>
    <row r="54" spans="1:23">
      <c r="A54" s="6">
        <v>30.361222689680289</v>
      </c>
      <c r="B54" s="6">
        <v>10.1009536653353</v>
      </c>
      <c r="C54" s="124">
        <v>9.9329995171793826</v>
      </c>
      <c r="D54" s="124">
        <v>1.3519190895006081</v>
      </c>
      <c r="E54" s="26"/>
      <c r="F54" s="26"/>
      <c r="G54" s="26"/>
      <c r="H54" s="26"/>
      <c r="I54" s="26"/>
      <c r="J54" s="26"/>
      <c r="K54" s="26"/>
      <c r="L54" s="26"/>
      <c r="M54" s="26"/>
      <c r="N54" s="26"/>
      <c r="O54" s="26"/>
      <c r="P54" s="26"/>
      <c r="Q54" s="26"/>
      <c r="R54" s="26"/>
      <c r="S54" s="26"/>
      <c r="T54" s="124">
        <v>7.9999999997671694</v>
      </c>
      <c r="U54" s="124">
        <v>3.090693972992467</v>
      </c>
      <c r="V54" s="124">
        <v>0.23835811535094331</v>
      </c>
      <c r="W54" s="124">
        <v>3.5205438567079569E-3</v>
      </c>
    </row>
    <row r="55" spans="1:23">
      <c r="A55" s="6">
        <v>30.533670484146569</v>
      </c>
      <c r="B55" s="6">
        <v>10.113295776244147</v>
      </c>
      <c r="C55" s="124">
        <v>10.145182769679167</v>
      </c>
      <c r="D55" s="124">
        <v>1.0227742749426432</v>
      </c>
      <c r="E55" s="26"/>
      <c r="F55" s="26"/>
      <c r="G55" s="26"/>
      <c r="H55" s="26"/>
      <c r="I55" s="26"/>
      <c r="J55" s="26"/>
      <c r="K55" s="26"/>
      <c r="L55" s="26"/>
      <c r="M55" s="26"/>
      <c r="N55" s="26"/>
      <c r="O55" s="26"/>
      <c r="P55" s="26"/>
      <c r="Q55" s="26"/>
      <c r="R55" s="26"/>
      <c r="S55" s="26"/>
      <c r="T55" s="124">
        <v>8.166666666428986</v>
      </c>
      <c r="U55" s="124">
        <v>3.1305687934582704</v>
      </c>
      <c r="V55" s="124">
        <v>0.2404464560380494</v>
      </c>
      <c r="W55" s="124">
        <v>9.0040135352753951E-3</v>
      </c>
    </row>
    <row r="56" spans="1:23">
      <c r="A56" s="6">
        <v>30.778127179655712</v>
      </c>
      <c r="B56" s="6">
        <v>10.440725985515027</v>
      </c>
      <c r="C56" s="124">
        <v>10.355608730750546</v>
      </c>
      <c r="D56" s="124">
        <v>0.63017830603041758</v>
      </c>
      <c r="E56" s="26"/>
      <c r="F56" s="26"/>
      <c r="G56" s="26"/>
      <c r="H56" s="26"/>
      <c r="I56" s="26"/>
      <c r="J56" s="26"/>
      <c r="K56" s="26"/>
      <c r="L56" s="26"/>
      <c r="M56" s="26"/>
      <c r="N56" s="26"/>
      <c r="O56" s="26"/>
      <c r="P56" s="26"/>
      <c r="Q56" s="26"/>
      <c r="R56" s="26"/>
      <c r="S56" s="26"/>
      <c r="T56" s="124">
        <v>8.3333333330908026</v>
      </c>
      <c r="U56" s="124">
        <v>3.1709438372623948</v>
      </c>
      <c r="V56" s="124">
        <v>0.24436262323668889</v>
      </c>
      <c r="W56" s="124">
        <v>1.4487499201137654E-2</v>
      </c>
    </row>
    <row r="57" spans="1:23">
      <c r="A57" s="6">
        <v>31.125704392616171</v>
      </c>
      <c r="B57" s="6">
        <v>10.394143875602518</v>
      </c>
      <c r="C57" s="124">
        <v>10.522684143376656</v>
      </c>
      <c r="D57" s="124">
        <v>0.36544525834054203</v>
      </c>
      <c r="E57" s="26"/>
      <c r="F57" s="26"/>
      <c r="G57" s="26"/>
      <c r="H57" s="26"/>
      <c r="I57" s="26"/>
      <c r="J57" s="26"/>
      <c r="K57" s="26"/>
      <c r="L57" s="26"/>
      <c r="M57" s="26"/>
      <c r="N57" s="26"/>
      <c r="O57" s="26"/>
      <c r="P57" s="26"/>
      <c r="Q57" s="26"/>
      <c r="R57" s="26"/>
      <c r="S57" s="26"/>
      <c r="T57" s="124">
        <v>8.4999999997526174</v>
      </c>
      <c r="U57" s="124">
        <v>3.2127537529016355</v>
      </c>
      <c r="V57" s="124">
        <v>0.26222237110182117</v>
      </c>
      <c r="W57" s="124">
        <v>9.7471542842681058E-2</v>
      </c>
    </row>
    <row r="58" spans="1:23">
      <c r="A58" s="6">
        <v>31.618546727986541</v>
      </c>
      <c r="B58" s="6">
        <v>10.693185093665297</v>
      </c>
      <c r="C58" s="124">
        <v>10.677008150373402</v>
      </c>
      <c r="D58" s="124">
        <v>0.24039960659663734</v>
      </c>
      <c r="E58" s="26"/>
      <c r="F58" s="26"/>
      <c r="G58" s="26"/>
      <c r="H58" s="26"/>
      <c r="I58" s="26"/>
      <c r="J58" s="26"/>
      <c r="K58" s="26"/>
      <c r="L58" s="26"/>
      <c r="M58" s="26"/>
      <c r="N58" s="26"/>
      <c r="O58" s="26"/>
      <c r="P58" s="26"/>
      <c r="Q58" s="26"/>
      <c r="R58" s="26"/>
      <c r="S58" s="26"/>
      <c r="T58" s="124">
        <v>8.6666666664144341</v>
      </c>
      <c r="U58" s="124">
        <v>3.2599789458197872</v>
      </c>
      <c r="V58" s="124">
        <v>0.30942692318371035</v>
      </c>
      <c r="W58" s="124">
        <v>0.18566756932976952</v>
      </c>
    </row>
    <row r="59" spans="1:23">
      <c r="A59" s="6">
        <v>32.312233893026132</v>
      </c>
      <c r="B59" s="6">
        <v>10.788842607386293</v>
      </c>
      <c r="C59" s="124">
        <v>10.793753306373763</v>
      </c>
      <c r="D59" s="124">
        <v>0.11054590295780142</v>
      </c>
      <c r="E59" s="26"/>
      <c r="F59" s="26"/>
      <c r="G59" s="26"/>
      <c r="H59" s="26"/>
      <c r="I59" s="26"/>
      <c r="J59" s="26"/>
      <c r="K59" s="26"/>
      <c r="L59" s="26"/>
      <c r="M59" s="26"/>
      <c r="N59" s="26"/>
      <c r="O59" s="26"/>
      <c r="P59" s="26"/>
      <c r="Q59" s="26"/>
      <c r="R59" s="26"/>
      <c r="S59" s="26"/>
      <c r="T59" s="124">
        <v>8.8333333330762507</v>
      </c>
      <c r="U59" s="124">
        <v>3.3175190039951286</v>
      </c>
      <c r="V59" s="124">
        <v>0.38603015286811038</v>
      </c>
      <c r="W59" s="124">
        <v>0.2738636038106303</v>
      </c>
    </row>
    <row r="60" spans="1:23">
      <c r="A60" s="6">
        <v>33.276938258495647</v>
      </c>
      <c r="B60" s="6">
        <v>10.877864857281752</v>
      </c>
      <c r="C60" s="124">
        <v>10.882167042175245</v>
      </c>
      <c r="D60" s="124">
        <v>9.4697723297037462E-2</v>
      </c>
      <c r="E60" s="26"/>
      <c r="F60" s="26"/>
      <c r="G60" s="26"/>
      <c r="H60" s="26"/>
      <c r="I60" s="26"/>
      <c r="J60" s="26"/>
      <c r="K60" s="26"/>
      <c r="L60" s="26"/>
      <c r="M60" s="26"/>
      <c r="N60" s="26"/>
      <c r="O60" s="26"/>
      <c r="P60" s="26"/>
      <c r="Q60" s="26"/>
      <c r="R60" s="26"/>
      <c r="S60" s="26"/>
      <c r="T60" s="124">
        <v>8.9999999997380655</v>
      </c>
      <c r="U60" s="124">
        <v>3.3903460184422864</v>
      </c>
      <c r="V60" s="124">
        <v>0.4933681237508184</v>
      </c>
      <c r="W60" s="124">
        <v>0.37027138957086025</v>
      </c>
    </row>
    <row r="61" spans="1:23">
      <c r="A61" s="6">
        <v>34.595723087841179</v>
      </c>
      <c r="B61" s="6">
        <v>11.051299680096768</v>
      </c>
      <c r="C61" s="124">
        <v>11.055811290940555</v>
      </c>
      <c r="D61" s="124">
        <v>0.17623468778773954</v>
      </c>
      <c r="E61" s="26"/>
      <c r="F61" s="26"/>
      <c r="G61" s="26"/>
      <c r="H61" s="26"/>
      <c r="I61" s="26"/>
      <c r="J61" s="26"/>
      <c r="K61" s="26"/>
      <c r="L61" s="26"/>
      <c r="M61" s="26"/>
      <c r="N61" s="26"/>
      <c r="O61" s="26"/>
      <c r="P61" s="26"/>
      <c r="Q61" s="26"/>
      <c r="R61" s="26"/>
      <c r="S61" s="26"/>
      <c r="T61" s="124">
        <v>9.1666666663998821</v>
      </c>
      <c r="U61" s="124">
        <v>3.4837436667765198</v>
      </c>
      <c r="V61" s="124">
        <v>0.63291077901771609</v>
      </c>
      <c r="W61" s="124">
        <v>0.46688793633957631</v>
      </c>
    </row>
    <row r="62" spans="1:23">
      <c r="A62" s="6">
        <v>36.358880750776734</v>
      </c>
      <c r="B62" s="6">
        <v>11.370292142789795</v>
      </c>
      <c r="C62" s="124">
        <v>11.363296617184082</v>
      </c>
      <c r="D62" s="124">
        <v>0.10729439203867115</v>
      </c>
      <c r="E62" s="26"/>
      <c r="F62" s="26"/>
      <c r="G62" s="26"/>
      <c r="H62" s="26"/>
      <c r="I62" s="26"/>
      <c r="J62" s="26"/>
      <c r="K62" s="26"/>
      <c r="L62" s="26"/>
      <c r="M62" s="26"/>
      <c r="N62" s="26"/>
      <c r="O62" s="26"/>
      <c r="P62" s="26"/>
      <c r="Q62" s="26"/>
      <c r="R62" s="26"/>
      <c r="S62" s="26"/>
      <c r="T62" s="124">
        <v>9.3333333330616988</v>
      </c>
      <c r="U62" s="124">
        <v>3.6039347389667129</v>
      </c>
      <c r="V62" s="124">
        <v>0.82271991488532481</v>
      </c>
      <c r="W62" s="124">
        <v>0.69034921783128422</v>
      </c>
    </row>
    <row r="63" spans="1:23">
      <c r="A63" s="6">
        <v>38.657043337298092</v>
      </c>
      <c r="B63" s="6">
        <v>11.419295233251525</v>
      </c>
      <c r="C63" s="124">
        <v>11.423452697093367</v>
      </c>
      <c r="D63" s="124">
        <v>2.3984114612561593E-2</v>
      </c>
      <c r="E63" s="26"/>
      <c r="F63" s="26"/>
      <c r="G63" s="26"/>
      <c r="H63" s="26"/>
      <c r="I63" s="26"/>
      <c r="J63" s="26"/>
      <c r="K63" s="26"/>
      <c r="L63" s="26"/>
      <c r="M63" s="26"/>
      <c r="N63" s="26"/>
      <c r="O63" s="26"/>
      <c r="P63" s="26"/>
      <c r="Q63" s="26"/>
      <c r="R63" s="26"/>
      <c r="S63" s="26"/>
      <c r="T63" s="124">
        <v>9.4999999997235136</v>
      </c>
      <c r="U63" s="124">
        <v>3.7624362958580515</v>
      </c>
      <c r="V63" s="124">
        <v>1.0913088884059261</v>
      </c>
      <c r="W63" s="124">
        <v>0.89306457434413911</v>
      </c>
    </row>
    <row r="64" spans="1:23">
      <c r="A64" s="6">
        <v>41.584617293847259</v>
      </c>
      <c r="B64" s="6">
        <v>11.628946382172252</v>
      </c>
      <c r="C64" s="124">
        <v>11.627354277970312</v>
      </c>
      <c r="D64" s="124">
        <v>6.5317783107073119E-2</v>
      </c>
      <c r="E64" s="26"/>
      <c r="F64" s="26"/>
      <c r="G64" s="26"/>
      <c r="H64" s="26"/>
      <c r="I64" s="26"/>
      <c r="J64" s="26"/>
      <c r="K64" s="26"/>
      <c r="L64" s="26"/>
      <c r="M64" s="26"/>
      <c r="N64" s="26"/>
      <c r="O64" s="26"/>
      <c r="P64" s="26"/>
      <c r="Q64" s="26"/>
      <c r="R64" s="26"/>
      <c r="S64" s="26"/>
      <c r="T64" s="124">
        <v>9.6666666663853302</v>
      </c>
      <c r="U64" s="124">
        <v>3.9701736511568306</v>
      </c>
      <c r="V64" s="124">
        <v>1.405575552038181</v>
      </c>
      <c r="W64" s="124">
        <v>0.93282872631778413</v>
      </c>
    </row>
    <row r="65" spans="1:23">
      <c r="A65" s="6">
        <v>45.275601847970393</v>
      </c>
      <c r="B65" s="6">
        <v>11.730370279959102</v>
      </c>
      <c r="C65" s="124">
        <v>11.730885070584325</v>
      </c>
      <c r="D65" s="124">
        <v>2.0239006856164813E-2</v>
      </c>
      <c r="E65" s="26"/>
      <c r="F65" s="26"/>
      <c r="G65" s="26"/>
      <c r="H65" s="26"/>
      <c r="I65" s="26"/>
      <c r="J65" s="26"/>
      <c r="K65" s="26"/>
      <c r="L65" s="26"/>
      <c r="M65" s="26"/>
      <c r="N65" s="26"/>
      <c r="O65" s="26"/>
      <c r="P65" s="26"/>
      <c r="Q65" s="26"/>
      <c r="R65" s="26"/>
      <c r="S65" s="26"/>
      <c r="T65" s="124">
        <v>9.8333333330471469</v>
      </c>
      <c r="U65" s="124">
        <v>4.2282812400545851</v>
      </c>
      <c r="V65" s="124">
        <v>1.6731273266693101</v>
      </c>
      <c r="W65" s="124">
        <v>0.59354294282960496</v>
      </c>
    </row>
    <row r="66" spans="1:23">
      <c r="A66" s="6">
        <v>49.999999998544808</v>
      </c>
      <c r="B66" s="6">
        <v>11.913765583538456</v>
      </c>
      <c r="C66" s="124">
        <v>11.913683305983376</v>
      </c>
      <c r="D66" s="124">
        <v>4.8066328369968971E-2</v>
      </c>
      <c r="E66" s="26"/>
      <c r="F66" s="26"/>
      <c r="G66" s="26"/>
      <c r="H66" s="26"/>
      <c r="I66" s="26"/>
      <c r="J66" s="26"/>
      <c r="K66" s="26"/>
      <c r="L66" s="26"/>
      <c r="M66" s="26"/>
      <c r="N66" s="26"/>
      <c r="O66" s="26"/>
      <c r="P66" s="26"/>
      <c r="Q66" s="26"/>
      <c r="R66" s="26"/>
      <c r="S66" s="26"/>
      <c r="T66" s="124">
        <v>9.9999999997089617</v>
      </c>
      <c r="U66" s="124">
        <v>4.5200536754230942</v>
      </c>
      <c r="V66" s="124">
        <v>1.8099075978839589</v>
      </c>
      <c r="W66" s="124">
        <v>0.22271555800905488</v>
      </c>
    </row>
    <row r="67" spans="1:23">
      <c r="A67" s="6"/>
      <c r="B67" s="6"/>
      <c r="C67" s="124"/>
      <c r="D67" s="124"/>
      <c r="E67" s="26"/>
      <c r="F67" s="26"/>
      <c r="G67" s="26"/>
      <c r="H67" s="26"/>
      <c r="I67" s="26"/>
      <c r="J67" s="26"/>
      <c r="K67" s="26"/>
      <c r="L67" s="26"/>
      <c r="M67" s="26"/>
      <c r="N67" s="26"/>
      <c r="O67" s="26"/>
      <c r="P67" s="26"/>
      <c r="Q67" s="26"/>
      <c r="R67" s="26"/>
      <c r="S67" s="26"/>
      <c r="T67" s="124">
        <v>10.166666666370778</v>
      </c>
      <c r="U67" s="124">
        <v>4.8193077796195789</v>
      </c>
      <c r="V67" s="124">
        <v>1.7207090287477769</v>
      </c>
      <c r="W67" s="124">
        <v>-0.78250398165659352</v>
      </c>
    </row>
    <row r="68" spans="1:23">
      <c r="A68" s="6"/>
      <c r="B68" s="6"/>
      <c r="C68" s="124"/>
      <c r="D68" s="124"/>
      <c r="E68" s="26"/>
      <c r="F68" s="26"/>
      <c r="G68" s="26"/>
      <c r="H68" s="26"/>
      <c r="I68" s="26"/>
      <c r="J68" s="26"/>
      <c r="K68" s="26"/>
      <c r="L68" s="26"/>
      <c r="M68" s="26"/>
      <c r="N68" s="26"/>
      <c r="O68" s="26"/>
      <c r="P68" s="26"/>
      <c r="Q68" s="26"/>
      <c r="R68" s="26"/>
      <c r="S68" s="26"/>
      <c r="T68" s="124">
        <v>10.333333333032595</v>
      </c>
      <c r="U68" s="124">
        <v>5.0805989896209773</v>
      </c>
      <c r="V68" s="124">
        <v>1.4049640901383833</v>
      </c>
      <c r="W68" s="124">
        <v>-0.98358313499645067</v>
      </c>
    </row>
    <row r="69" spans="1:23">
      <c r="A69" s="6"/>
      <c r="B69" s="6"/>
      <c r="C69" s="124"/>
      <c r="D69" s="124"/>
      <c r="E69" s="26"/>
      <c r="F69" s="26"/>
      <c r="G69" s="26"/>
      <c r="H69" s="26"/>
      <c r="I69" s="26"/>
      <c r="J69" s="26"/>
      <c r="K69" s="26"/>
      <c r="L69" s="26"/>
      <c r="M69" s="26"/>
      <c r="N69" s="26"/>
      <c r="O69" s="26"/>
      <c r="P69" s="26"/>
      <c r="Q69" s="26"/>
      <c r="R69" s="26"/>
      <c r="S69" s="26"/>
      <c r="T69" s="124">
        <v>10.49999999969441</v>
      </c>
      <c r="U69" s="124">
        <v>5.2884091464244163</v>
      </c>
      <c r="V69" s="124">
        <v>1.0951869747247818</v>
      </c>
      <c r="W69" s="124">
        <v>-0.85845505109450193</v>
      </c>
    </row>
    <row r="70" spans="1:23">
      <c r="A70" s="6"/>
      <c r="B70" s="6"/>
      <c r="C70" s="124"/>
      <c r="D70" s="124"/>
      <c r="E70" s="26"/>
      <c r="F70" s="26"/>
      <c r="G70" s="26"/>
      <c r="H70" s="26"/>
      <c r="I70" s="26"/>
      <c r="J70" s="26"/>
      <c r="K70" s="26"/>
      <c r="L70" s="26"/>
      <c r="M70" s="26"/>
      <c r="N70" s="26"/>
      <c r="O70" s="26"/>
      <c r="P70" s="26"/>
      <c r="Q70" s="26"/>
      <c r="R70" s="26"/>
      <c r="S70" s="26"/>
      <c r="T70" s="124">
        <v>10.666666666356226</v>
      </c>
      <c r="U70" s="124">
        <v>5.4486813642849947</v>
      </c>
      <c r="V70" s="124">
        <v>0.83729180375463508</v>
      </c>
      <c r="W70" s="124">
        <v>-0.68580395766290925</v>
      </c>
    </row>
    <row r="71" spans="1:23">
      <c r="A71" s="6"/>
      <c r="B71" s="6"/>
      <c r="C71" s="124"/>
      <c r="D71" s="124"/>
      <c r="E71" s="26"/>
      <c r="F71" s="26"/>
      <c r="G71" s="26"/>
      <c r="H71" s="26"/>
      <c r="I71" s="26"/>
      <c r="J71" s="26"/>
      <c r="K71" s="26"/>
      <c r="L71" s="26"/>
      <c r="M71" s="26"/>
      <c r="N71" s="26"/>
      <c r="O71" s="26"/>
      <c r="P71" s="26"/>
      <c r="Q71" s="26"/>
      <c r="R71" s="26"/>
      <c r="S71" s="26"/>
      <c r="T71" s="124">
        <v>10.833333333018043</v>
      </c>
      <c r="U71" s="124">
        <v>5.5709817104671666</v>
      </c>
      <c r="V71" s="124">
        <v>0.64081250218439401</v>
      </c>
      <c r="W71" s="124">
        <v>-0.49326438936306899</v>
      </c>
    </row>
    <row r="72" spans="1:23">
      <c r="A72" s="6"/>
      <c r="B72" s="6"/>
      <c r="C72" s="124"/>
      <c r="D72" s="124"/>
      <c r="E72" s="26"/>
      <c r="F72" s="26"/>
      <c r="G72" s="26"/>
      <c r="H72" s="26"/>
      <c r="I72" s="26"/>
      <c r="J72" s="26"/>
      <c r="K72" s="26"/>
      <c r="L72" s="26"/>
      <c r="M72" s="26"/>
      <c r="N72" s="26"/>
      <c r="O72" s="26"/>
      <c r="P72" s="26"/>
      <c r="Q72" s="26"/>
      <c r="R72" s="26"/>
      <c r="S72" s="26"/>
      <c r="T72" s="124">
        <v>10.999999999679858</v>
      </c>
      <c r="U72" s="124">
        <v>5.6657943774104655</v>
      </c>
      <c r="V72" s="124">
        <v>0.50510178926237537</v>
      </c>
      <c r="W72" s="124">
        <v>-0.34663966099533694</v>
      </c>
    </row>
    <row r="73" spans="1:23">
      <c r="A73" s="6"/>
      <c r="B73" s="6"/>
      <c r="C73" s="124"/>
      <c r="D73" s="124"/>
      <c r="E73" s="26"/>
      <c r="F73" s="26"/>
      <c r="G73" s="26"/>
      <c r="H73" s="26"/>
      <c r="I73" s="26"/>
      <c r="J73" s="26"/>
      <c r="K73" s="26"/>
      <c r="L73" s="26"/>
      <c r="M73" s="26"/>
      <c r="N73" s="26"/>
      <c r="O73" s="26"/>
      <c r="P73" s="26"/>
      <c r="Q73" s="26"/>
      <c r="R73" s="26"/>
      <c r="S73" s="26"/>
      <c r="T73" s="124">
        <v>11.166666666341674</v>
      </c>
      <c r="U73" s="124">
        <v>5.741185676682619</v>
      </c>
      <c r="V73" s="124">
        <v>0.40445466534433649</v>
      </c>
      <c r="W73" s="124">
        <v>-0.25733239540747888</v>
      </c>
    </row>
    <row r="74" spans="1:23">
      <c r="A74" s="6"/>
      <c r="B74" s="6"/>
      <c r="C74" s="124"/>
      <c r="D74" s="124"/>
      <c r="E74" s="26"/>
      <c r="F74" s="26"/>
      <c r="G74" s="26"/>
      <c r="H74" s="26"/>
      <c r="I74" s="26"/>
      <c r="J74" s="26"/>
      <c r="K74" s="26"/>
      <c r="L74" s="26"/>
      <c r="M74" s="26"/>
      <c r="N74" s="26"/>
      <c r="O74" s="26"/>
      <c r="P74" s="26"/>
      <c r="Q74" s="26"/>
      <c r="R74" s="26"/>
      <c r="S74" s="26"/>
      <c r="T74" s="124">
        <v>11.333333333003491</v>
      </c>
      <c r="U74" s="124">
        <v>5.8022807263411966</v>
      </c>
      <c r="V74" s="124">
        <v>0.33357192116139561</v>
      </c>
      <c r="W74" s="124">
        <v>-0.16917726420754825</v>
      </c>
    </row>
    <row r="75" spans="1:23">
      <c r="A75" s="6"/>
      <c r="B75" s="6"/>
      <c r="C75" s="124"/>
      <c r="D75" s="124"/>
      <c r="E75" s="26"/>
      <c r="F75" s="26"/>
      <c r="G75" s="26"/>
      <c r="H75" s="26"/>
      <c r="I75" s="26"/>
      <c r="J75" s="26"/>
      <c r="K75" s="26"/>
      <c r="L75" s="26"/>
      <c r="M75" s="26"/>
      <c r="N75" s="26"/>
      <c r="O75" s="26"/>
      <c r="P75" s="26"/>
      <c r="Q75" s="26"/>
      <c r="R75" s="26"/>
      <c r="S75" s="26"/>
      <c r="T75" s="124">
        <v>11.499999999665306</v>
      </c>
      <c r="U75" s="124">
        <v>5.8535548825638033</v>
      </c>
      <c r="V75" s="124">
        <v>0.28390931925708351</v>
      </c>
      <c r="W75" s="124">
        <v>-0.12883869971633535</v>
      </c>
    </row>
    <row r="76" spans="1:23">
      <c r="A76" s="6"/>
      <c r="B76" s="6"/>
      <c r="C76" s="124"/>
      <c r="D76" s="124"/>
      <c r="E76" s="26"/>
      <c r="F76" s="26"/>
      <c r="G76" s="26"/>
      <c r="H76" s="26"/>
      <c r="I76" s="26"/>
      <c r="J76" s="26"/>
      <c r="K76" s="26"/>
      <c r="L76" s="26"/>
      <c r="M76" s="26"/>
      <c r="N76" s="26"/>
      <c r="O76" s="26"/>
      <c r="P76" s="26"/>
      <c r="Q76" s="26"/>
      <c r="R76" s="26"/>
      <c r="S76" s="26"/>
      <c r="T76" s="124">
        <v>11.666666666327123</v>
      </c>
      <c r="U76" s="124">
        <v>5.8976713332400861</v>
      </c>
      <c r="V76" s="124">
        <v>0.24769290078917938</v>
      </c>
      <c r="W76" s="124">
        <v>-8.8500135225372215E-2</v>
      </c>
    </row>
    <row r="77" spans="1:23">
      <c r="A77" s="6"/>
      <c r="B77" s="6"/>
      <c r="C77" s="124"/>
      <c r="D77" s="124"/>
      <c r="E77" s="26"/>
      <c r="F77" s="26"/>
      <c r="G77" s="26"/>
      <c r="H77" s="26"/>
      <c r="I77" s="26"/>
      <c r="J77" s="26"/>
      <c r="K77" s="26"/>
      <c r="L77" s="26"/>
      <c r="M77" s="26"/>
      <c r="N77" s="26"/>
      <c r="O77" s="26"/>
      <c r="P77" s="26"/>
      <c r="Q77" s="26"/>
      <c r="R77" s="26"/>
      <c r="S77" s="26"/>
      <c r="T77" s="124">
        <v>11.833333332988939</v>
      </c>
      <c r="U77" s="124">
        <v>5.9368711089435244</v>
      </c>
      <c r="V77" s="124">
        <v>0.22492266576301234</v>
      </c>
      <c r="W77" s="124">
        <v>-4.8161602708665679E-2</v>
      </c>
    </row>
    <row r="78" spans="1:23">
      <c r="A78" s="6"/>
      <c r="B78" s="6"/>
      <c r="C78" s="124"/>
      <c r="D78" s="124"/>
      <c r="E78" s="26"/>
      <c r="F78" s="26"/>
      <c r="G78" s="26"/>
      <c r="H78" s="26"/>
      <c r="I78" s="26"/>
      <c r="J78" s="26"/>
      <c r="K78" s="26"/>
      <c r="L78" s="26"/>
      <c r="M78" s="26"/>
      <c r="N78" s="26"/>
      <c r="O78" s="26"/>
      <c r="P78" s="26"/>
      <c r="Q78" s="26"/>
      <c r="R78" s="26"/>
      <c r="S78" s="26"/>
      <c r="T78" s="124">
        <v>11.999999999650754</v>
      </c>
      <c r="U78" s="124">
        <v>5.9732884065172458</v>
      </c>
      <c r="V78" s="124">
        <v>0.21263479886798783</v>
      </c>
      <c r="W78" s="124">
        <v>-3.5146525691833012E-2</v>
      </c>
    </row>
    <row r="79" spans="1:23">
      <c r="A79" s="6"/>
      <c r="B79" s="6"/>
      <c r="C79" s="124"/>
      <c r="D79" s="124"/>
      <c r="E79" s="26"/>
      <c r="F79" s="26"/>
      <c r="G79" s="26"/>
      <c r="H79" s="26"/>
      <c r="I79" s="26"/>
      <c r="J79" s="26"/>
      <c r="K79" s="26"/>
      <c r="L79" s="26"/>
      <c r="M79" s="26"/>
      <c r="N79" s="26"/>
      <c r="O79" s="26"/>
      <c r="P79" s="26"/>
      <c r="Q79" s="26"/>
      <c r="R79" s="26"/>
      <c r="S79" s="26"/>
      <c r="T79" s="124">
        <v>12.166666666312571</v>
      </c>
      <c r="U79" s="124">
        <v>6.0077364009292982</v>
      </c>
      <c r="V79" s="124">
        <v>0.20063420144518171</v>
      </c>
      <c r="W79" s="124">
        <v>-3.6855318798979672E-2</v>
      </c>
    </row>
    <row r="80" spans="1:23">
      <c r="A80" s="6"/>
      <c r="B80" s="6"/>
      <c r="C80" s="124"/>
      <c r="D80" s="124"/>
      <c r="E80" s="26"/>
      <c r="F80" s="26"/>
      <c r="G80" s="26"/>
      <c r="H80" s="26"/>
      <c r="I80" s="26"/>
      <c r="J80" s="26"/>
      <c r="K80" s="26"/>
      <c r="L80" s="26"/>
      <c r="M80" s="26"/>
      <c r="N80" s="26"/>
      <c r="O80" s="26"/>
      <c r="P80" s="26"/>
      <c r="Q80" s="26"/>
      <c r="R80" s="26"/>
      <c r="S80" s="26"/>
      <c r="T80" s="124">
        <v>12.333333332974387</v>
      </c>
      <c r="U80" s="124">
        <v>6.0401368771641604</v>
      </c>
      <c r="V80" s="124">
        <v>0.18806401114282997</v>
      </c>
      <c r="W80" s="124">
        <v>-3.8564111906043065E-2</v>
      </c>
    </row>
    <row r="81" spans="1:23">
      <c r="A81" s="6"/>
      <c r="B81" s="6"/>
      <c r="C81" s="124"/>
      <c r="D81" s="124"/>
      <c r="E81" s="26"/>
      <c r="F81" s="26"/>
      <c r="G81" s="26"/>
      <c r="H81" s="26"/>
      <c r="I81" s="26"/>
      <c r="J81" s="26"/>
      <c r="K81" s="26"/>
      <c r="L81" s="26"/>
      <c r="M81" s="26"/>
      <c r="N81" s="26"/>
      <c r="O81" s="26"/>
      <c r="P81" s="26"/>
      <c r="Q81" s="26"/>
      <c r="R81" s="26"/>
      <c r="S81" s="26"/>
      <c r="T81" s="124">
        <v>12.499999999636202</v>
      </c>
      <c r="U81" s="124">
        <v>6.0703949030756261</v>
      </c>
      <c r="V81" s="124">
        <v>0.17492422796626164</v>
      </c>
      <c r="W81" s="124">
        <v>-4.0272905013189725E-2</v>
      </c>
    </row>
    <row r="82" spans="1:23">
      <c r="A82" s="6"/>
      <c r="B82" s="6"/>
      <c r="C82" s="124"/>
      <c r="D82" s="124"/>
      <c r="E82" s="26"/>
      <c r="F82" s="26"/>
      <c r="G82" s="26"/>
      <c r="H82" s="26"/>
      <c r="I82" s="26"/>
      <c r="J82" s="26"/>
      <c r="K82" s="26"/>
      <c r="L82" s="26"/>
      <c r="M82" s="26"/>
      <c r="N82" s="26"/>
      <c r="O82" s="26"/>
      <c r="P82" s="26"/>
      <c r="Q82" s="26"/>
      <c r="R82" s="26"/>
      <c r="S82" s="26"/>
      <c r="T82" s="124">
        <v>12.666666666298019</v>
      </c>
      <c r="U82" s="124">
        <v>6.098415549646953</v>
      </c>
      <c r="V82" s="124">
        <v>0.16121665757509859</v>
      </c>
      <c r="W82" s="124">
        <v>-4.1655191298747243E-2</v>
      </c>
    </row>
    <row r="83" spans="1:23">
      <c r="A83" s="6"/>
      <c r="B83" s="6"/>
      <c r="C83" s="124"/>
      <c r="D83" s="124"/>
      <c r="E83" s="26"/>
      <c r="F83" s="26"/>
      <c r="G83" s="26"/>
      <c r="H83" s="26"/>
      <c r="I83" s="26"/>
      <c r="J83" s="26"/>
      <c r="K83" s="26"/>
      <c r="L83" s="26"/>
      <c r="M83" s="26"/>
      <c r="N83" s="26"/>
      <c r="O83" s="26"/>
      <c r="P83" s="26"/>
      <c r="Q83" s="26"/>
      <c r="R83" s="26"/>
      <c r="S83" s="26"/>
      <c r="T83" s="124">
        <v>12.833333332959835</v>
      </c>
      <c r="U83" s="124">
        <v>6.1242071815480026</v>
      </c>
      <c r="V83" s="124">
        <v>0.14873917370727863</v>
      </c>
      <c r="W83" s="124">
        <v>-3.3218132246765938E-2</v>
      </c>
    </row>
    <row r="84" spans="1:23">
      <c r="A84" s="6"/>
      <c r="B84" s="6"/>
      <c r="C84" s="124"/>
      <c r="D84" s="124"/>
      <c r="E84" s="26"/>
      <c r="F84" s="26"/>
      <c r="G84" s="26"/>
      <c r="H84" s="26"/>
      <c r="I84" s="26"/>
      <c r="J84" s="26"/>
      <c r="K84" s="26"/>
      <c r="L84" s="26"/>
      <c r="M84" s="26"/>
      <c r="N84" s="26"/>
      <c r="O84" s="26"/>
      <c r="P84" s="26"/>
      <c r="Q84" s="26"/>
      <c r="R84" s="26"/>
      <c r="S84" s="26"/>
      <c r="T84" s="124">
        <v>12.99999999962165</v>
      </c>
      <c r="U84" s="124">
        <v>6.148153361647676</v>
      </c>
      <c r="V84" s="124">
        <v>0.13907404830831385</v>
      </c>
      <c r="W84" s="124">
        <v>-2.4781073194951174E-2</v>
      </c>
    </row>
    <row r="85" spans="1:23">
      <c r="A85" s="6"/>
      <c r="B85" s="6"/>
      <c r="C85" s="124"/>
      <c r="D85" s="124"/>
      <c r="E85" s="26"/>
      <c r="F85" s="26"/>
      <c r="G85" s="26"/>
      <c r="H85" s="26"/>
      <c r="I85" s="26"/>
      <c r="J85" s="26"/>
      <c r="K85" s="26"/>
      <c r="L85" s="26"/>
      <c r="M85" s="26"/>
      <c r="N85" s="26"/>
      <c r="O85" s="26"/>
      <c r="P85" s="26"/>
      <c r="Q85" s="26"/>
      <c r="R85" s="26"/>
      <c r="S85" s="26"/>
      <c r="T85" s="124">
        <v>13.166666666283467</v>
      </c>
      <c r="U85" s="124">
        <v>6.1707228163571628</v>
      </c>
      <c r="V85" s="124">
        <v>0.13222128138353337</v>
      </c>
      <c r="W85" s="124">
        <v>-1.634398216863003E-2</v>
      </c>
    </row>
    <row r="86" spans="1:23">
      <c r="A86" s="6"/>
      <c r="B86" s="6"/>
      <c r="C86" s="124"/>
      <c r="D86" s="124"/>
      <c r="E86" s="26"/>
      <c r="F86" s="26"/>
      <c r="G86" s="26"/>
      <c r="H86" s="26"/>
      <c r="I86" s="26"/>
      <c r="J86" s="26"/>
      <c r="K86" s="26"/>
      <c r="L86" s="26"/>
      <c r="M86" s="26"/>
      <c r="N86" s="26"/>
      <c r="O86" s="26"/>
      <c r="P86" s="26"/>
      <c r="Q86" s="26"/>
      <c r="R86" s="26"/>
      <c r="S86" s="26"/>
      <c r="T86" s="124">
        <v>13.333333332945283</v>
      </c>
      <c r="U86" s="124">
        <v>6.1923842720876552</v>
      </c>
      <c r="V86" s="124">
        <v>0.12818087292227906</v>
      </c>
      <c r="W86" s="124">
        <v>-7.906907129520439E-3</v>
      </c>
    </row>
    <row r="87" spans="1:23">
      <c r="A87" s="6"/>
      <c r="B87" s="6"/>
      <c r="C87" s="124"/>
      <c r="D87" s="124"/>
      <c r="E87" s="26"/>
      <c r="F87" s="26"/>
      <c r="G87" s="26"/>
      <c r="H87" s="26"/>
      <c r="I87" s="26"/>
      <c r="J87" s="26"/>
      <c r="K87" s="26"/>
      <c r="L87" s="26"/>
      <c r="M87" s="26"/>
      <c r="N87" s="26"/>
      <c r="O87" s="26"/>
      <c r="P87" s="26"/>
      <c r="Q87" s="26"/>
      <c r="R87" s="26"/>
      <c r="S87" s="26"/>
      <c r="T87" s="124">
        <v>13.499999999607098</v>
      </c>
      <c r="U87" s="124">
        <v>6.2136064552503409</v>
      </c>
      <c r="V87" s="124">
        <v>0.12695282292987994</v>
      </c>
      <c r="W87" s="124">
        <v>5.3016790958914978E-4</v>
      </c>
    </row>
    <row r="88" spans="1:23">
      <c r="A88" s="6"/>
      <c r="B88" s="6"/>
      <c r="C88" s="124"/>
      <c r="D88" s="124"/>
      <c r="E88" s="26"/>
      <c r="F88" s="26"/>
      <c r="G88" s="26"/>
      <c r="H88" s="26"/>
      <c r="I88" s="26"/>
      <c r="J88" s="26"/>
      <c r="K88" s="26"/>
      <c r="L88" s="26"/>
      <c r="M88" s="26"/>
      <c r="N88" s="26"/>
      <c r="O88" s="26"/>
      <c r="P88" s="26"/>
      <c r="Q88" s="26"/>
      <c r="R88" s="26"/>
      <c r="S88" s="26"/>
      <c r="T88" s="124">
        <v>13.666666666268915</v>
      </c>
      <c r="U88" s="124">
        <v>6.2348580922564123</v>
      </c>
      <c r="V88" s="124">
        <v>0.12853713140100698</v>
      </c>
      <c r="W88" s="124">
        <v>8.9672429486987396E-3</v>
      </c>
    </row>
    <row r="89" spans="1:23">
      <c r="A89" s="6"/>
      <c r="B89" s="6"/>
      <c r="C89" s="124"/>
      <c r="D89" s="124"/>
      <c r="E89" s="26"/>
      <c r="F89" s="26"/>
      <c r="G89" s="26"/>
      <c r="H89" s="26"/>
      <c r="I89" s="26"/>
      <c r="J89" s="26"/>
      <c r="K89" s="26"/>
      <c r="L89" s="26"/>
      <c r="M89" s="26"/>
      <c r="N89" s="26"/>
      <c r="O89" s="26"/>
      <c r="P89" s="26"/>
      <c r="Q89" s="26"/>
      <c r="R89" s="26"/>
      <c r="S89" s="26"/>
      <c r="T89" s="124">
        <v>13.833333332930732</v>
      </c>
      <c r="U89" s="124">
        <v>6.2565592194605832</v>
      </c>
      <c r="V89" s="124">
        <v>0.13194062595929115</v>
      </c>
      <c r="W89" s="124">
        <v>1.066673149872035E-2</v>
      </c>
    </row>
    <row r="90" spans="1:23">
      <c r="A90" s="6"/>
      <c r="B90" s="6"/>
      <c r="C90" s="124"/>
      <c r="D90" s="124"/>
      <c r="E90" s="26"/>
      <c r="F90" s="26"/>
      <c r="G90" s="26"/>
      <c r="H90" s="26"/>
      <c r="I90" s="26"/>
      <c r="J90" s="26"/>
      <c r="K90" s="26"/>
      <c r="L90" s="26"/>
      <c r="M90" s="26"/>
      <c r="N90" s="26"/>
      <c r="O90" s="26"/>
      <c r="P90" s="26"/>
      <c r="Q90" s="26"/>
      <c r="R90" s="26"/>
      <c r="S90" s="26"/>
      <c r="T90" s="124">
        <v>13.999999999592546</v>
      </c>
      <c r="U90" s="124">
        <v>6.2788528308246736</v>
      </c>
      <c r="V90" s="124">
        <v>0.13563143332579516</v>
      </c>
      <c r="W90" s="124">
        <v>1.147729911177383E-2</v>
      </c>
    </row>
    <row r="91" spans="1:23">
      <c r="A91" s="6"/>
      <c r="B91" s="6"/>
      <c r="C91" s="124"/>
      <c r="D91" s="124"/>
      <c r="E91" s="26"/>
      <c r="F91" s="26"/>
      <c r="G91" s="26"/>
      <c r="H91" s="26"/>
      <c r="I91" s="26"/>
      <c r="J91" s="26"/>
      <c r="K91" s="26"/>
      <c r="L91" s="26"/>
      <c r="M91" s="26"/>
      <c r="N91" s="26"/>
      <c r="O91" s="26"/>
      <c r="P91" s="26"/>
      <c r="Q91" s="26"/>
      <c r="R91" s="26"/>
      <c r="S91" s="26"/>
      <c r="T91" s="124">
        <v>14.166666666254363</v>
      </c>
      <c r="U91" s="124">
        <v>6.3017840703064261</v>
      </c>
      <c r="V91" s="124">
        <v>0.13959243356305087</v>
      </c>
      <c r="W91" s="124">
        <v>1.2287882712122132E-2</v>
      </c>
    </row>
    <row r="92" spans="1:23">
      <c r="A92" s="6"/>
      <c r="B92" s="6"/>
      <c r="C92" s="124"/>
      <c r="D92" s="124"/>
      <c r="E92" s="26"/>
      <c r="F92" s="26"/>
      <c r="G92" s="26"/>
      <c r="H92" s="26"/>
      <c r="I92" s="26"/>
      <c r="J92" s="26"/>
      <c r="K92" s="26"/>
      <c r="L92" s="26"/>
      <c r="M92" s="26"/>
      <c r="N92" s="26"/>
      <c r="O92" s="26"/>
      <c r="P92" s="26"/>
      <c r="Q92" s="26"/>
      <c r="R92" s="26"/>
      <c r="S92" s="26"/>
      <c r="T92" s="124">
        <v>14.33333333291618</v>
      </c>
      <c r="U92" s="124">
        <v>6.3253979700508927</v>
      </c>
      <c r="V92" s="124">
        <v>0.14382362667105822</v>
      </c>
      <c r="W92" s="124">
        <v>1.3098466312303899E-2</v>
      </c>
    </row>
    <row r="93" spans="1:23">
      <c r="A93" s="6"/>
      <c r="B93" s="6"/>
      <c r="C93" s="124"/>
      <c r="D93" s="124"/>
      <c r="E93" s="26"/>
      <c r="F93" s="26"/>
      <c r="G93" s="26"/>
      <c r="H93" s="26"/>
      <c r="I93" s="26"/>
      <c r="J93" s="26"/>
      <c r="K93" s="26"/>
      <c r="L93" s="26"/>
      <c r="M93" s="26"/>
      <c r="N93" s="26"/>
      <c r="O93" s="26"/>
      <c r="P93" s="26"/>
      <c r="Q93" s="26"/>
      <c r="R93" s="26"/>
      <c r="S93" s="26"/>
      <c r="T93" s="124">
        <v>14.499999999577994</v>
      </c>
      <c r="U93" s="124">
        <v>6.3497395622031245</v>
      </c>
      <c r="V93" s="124">
        <v>0.14832501264981726</v>
      </c>
      <c r="W93" s="124">
        <v>1.3909033925357379E-2</v>
      </c>
    </row>
    <row r="94" spans="1:23">
      <c r="A94" s="6"/>
      <c r="B94" s="6"/>
      <c r="C94" s="124"/>
      <c r="D94" s="124"/>
      <c r="E94" s="26"/>
      <c r="F94" s="26"/>
      <c r="G94" s="26"/>
      <c r="H94" s="26"/>
      <c r="I94" s="26"/>
      <c r="J94" s="26"/>
      <c r="K94" s="26"/>
      <c r="L94" s="26"/>
      <c r="M94" s="26"/>
      <c r="N94" s="26"/>
      <c r="O94" s="26"/>
      <c r="P94" s="26"/>
      <c r="Q94" s="26"/>
      <c r="R94" s="26"/>
      <c r="S94" s="26"/>
      <c r="T94" s="124">
        <v>14.666666666239811</v>
      </c>
      <c r="U94" s="124">
        <v>6.3748538789081737</v>
      </c>
      <c r="V94" s="124">
        <v>0.153096591499328</v>
      </c>
      <c r="W94" s="124">
        <v>1.4719617525705679E-2</v>
      </c>
    </row>
    <row r="95" spans="1:23">
      <c r="A95" s="6"/>
      <c r="B95" s="6"/>
      <c r="C95" s="124"/>
      <c r="D95" s="124"/>
      <c r="E95" s="26"/>
      <c r="F95" s="26"/>
      <c r="G95" s="26"/>
      <c r="H95" s="26"/>
      <c r="I95" s="26"/>
      <c r="J95" s="26"/>
      <c r="K95" s="26"/>
      <c r="L95" s="26"/>
      <c r="M95" s="26"/>
      <c r="N95" s="26"/>
      <c r="O95" s="26"/>
      <c r="P95" s="26"/>
      <c r="Q95" s="26"/>
      <c r="R95" s="26"/>
      <c r="S95" s="26"/>
      <c r="T95" s="124">
        <v>14.833333332901628</v>
      </c>
      <c r="U95" s="124">
        <v>6.4007859523110913</v>
      </c>
      <c r="V95" s="124">
        <v>0.15813836321426131</v>
      </c>
      <c r="W95" s="124">
        <v>1.5530185138759159E-2</v>
      </c>
    </row>
    <row r="96" spans="1:23">
      <c r="A96" s="6"/>
      <c r="B96" s="6"/>
      <c r="C96" s="124"/>
      <c r="D96" s="124"/>
      <c r="E96" s="26"/>
      <c r="F96" s="26"/>
      <c r="G96" s="26"/>
      <c r="H96" s="26"/>
      <c r="I96" s="26"/>
      <c r="J96" s="26"/>
      <c r="K96" s="26"/>
      <c r="L96" s="26"/>
      <c r="M96" s="26"/>
      <c r="N96" s="26"/>
      <c r="O96" s="26"/>
      <c r="P96" s="26"/>
      <c r="Q96" s="26"/>
      <c r="R96" s="26"/>
      <c r="S96" s="26"/>
      <c r="T96" s="124">
        <v>14.999999999563443</v>
      </c>
      <c r="U96" s="124">
        <v>6.4275808144156823</v>
      </c>
      <c r="V96" s="124">
        <v>0.16345009566563454</v>
      </c>
      <c r="W96" s="124">
        <v>1.623303092043786E-2</v>
      </c>
    </row>
    <row r="97" spans="1:23">
      <c r="A97" s="6"/>
      <c r="B97" s="6"/>
      <c r="C97" s="124"/>
      <c r="D97" s="124"/>
      <c r="E97" s="26"/>
      <c r="F97" s="26"/>
      <c r="G97" s="26"/>
      <c r="H97" s="26"/>
      <c r="I97" s="26"/>
      <c r="J97" s="26"/>
      <c r="K97" s="26"/>
      <c r="L97" s="26"/>
      <c r="M97" s="26"/>
      <c r="N97" s="26"/>
      <c r="O97" s="26"/>
      <c r="P97" s="26"/>
      <c r="Q97" s="26"/>
      <c r="R97" s="26"/>
      <c r="S97" s="26"/>
      <c r="T97" s="124">
        <v>15.166666666225259</v>
      </c>
      <c r="U97" s="124">
        <v>6.4551966136120056</v>
      </c>
      <c r="V97" s="124">
        <v>0.16748543118215775</v>
      </c>
      <c r="W97" s="124">
        <v>7.9872268802898324E-3</v>
      </c>
    </row>
    <row r="98" spans="1:23">
      <c r="A98" s="6"/>
      <c r="B98" s="6"/>
      <c r="C98" s="124"/>
      <c r="D98" s="124"/>
      <c r="E98" s="26"/>
      <c r="F98" s="26"/>
      <c r="G98" s="26"/>
      <c r="H98" s="26"/>
      <c r="I98" s="26"/>
      <c r="J98" s="26"/>
      <c r="K98" s="26"/>
      <c r="L98" s="26"/>
      <c r="M98" s="26"/>
      <c r="N98" s="26"/>
      <c r="O98" s="26"/>
      <c r="P98" s="26"/>
      <c r="Q98" s="26"/>
      <c r="R98" s="26"/>
      <c r="S98" s="26"/>
      <c r="T98" s="124">
        <v>15.333333332887076</v>
      </c>
      <c r="U98" s="124">
        <v>6.4832561481232966</v>
      </c>
      <c r="V98" s="124">
        <v>0.16877217084634771</v>
      </c>
      <c r="W98" s="124">
        <v>-2.5856117248010732E-4</v>
      </c>
    </row>
    <row r="99" spans="1:23">
      <c r="A99" s="6"/>
      <c r="B99" s="6"/>
      <c r="C99" s="124"/>
      <c r="D99" s="124"/>
      <c r="E99" s="26"/>
      <c r="F99" s="26"/>
      <c r="G99" s="26"/>
      <c r="H99" s="26"/>
      <c r="I99" s="26"/>
      <c r="J99" s="26"/>
      <c r="K99" s="26"/>
      <c r="L99" s="26"/>
      <c r="M99" s="26"/>
      <c r="N99" s="26"/>
      <c r="O99" s="26"/>
      <c r="P99" s="26"/>
      <c r="Q99" s="26"/>
      <c r="R99" s="26"/>
      <c r="S99" s="26"/>
      <c r="T99" s="124">
        <v>15.499999999548891</v>
      </c>
      <c r="U99" s="124">
        <v>6.511301318639493</v>
      </c>
      <c r="V99" s="124">
        <v>0.16731031464754623</v>
      </c>
      <c r="W99" s="124">
        <v>-8.5043492253333141E-3</v>
      </c>
    </row>
    <row r="100" spans="1:23">
      <c r="A100" s="6"/>
      <c r="B100" s="6"/>
      <c r="C100" s="124"/>
      <c r="D100" s="124"/>
      <c r="E100" s="26"/>
      <c r="F100" s="26"/>
      <c r="G100" s="26"/>
      <c r="H100" s="26"/>
      <c r="I100" s="26"/>
      <c r="J100" s="26"/>
      <c r="K100" s="26"/>
      <c r="L100" s="26"/>
      <c r="M100" s="26"/>
      <c r="N100" s="26"/>
      <c r="O100" s="26"/>
      <c r="P100" s="26"/>
      <c r="Q100" s="26"/>
      <c r="R100" s="26"/>
      <c r="S100" s="26"/>
      <c r="T100" s="124">
        <v>15.666666666210707</v>
      </c>
      <c r="U100" s="124">
        <v>6.5388740258505313</v>
      </c>
      <c r="V100" s="124">
        <v>0.16309986259108239</v>
      </c>
      <c r="W100" s="124">
        <v>-1.6750121290974966E-2</v>
      </c>
    </row>
    <row r="101" spans="1:23">
      <c r="A101" s="6"/>
      <c r="B101" s="6"/>
      <c r="C101" s="124"/>
      <c r="D101" s="124"/>
      <c r="E101" s="26"/>
      <c r="F101" s="26"/>
      <c r="G101" s="26"/>
      <c r="H101" s="26"/>
      <c r="I101" s="26"/>
      <c r="J101" s="26"/>
      <c r="K101" s="26"/>
      <c r="L101" s="26"/>
      <c r="M101" s="26"/>
      <c r="N101" s="26"/>
      <c r="O101" s="26"/>
      <c r="P101" s="26"/>
      <c r="Q101" s="26"/>
      <c r="R101" s="26"/>
      <c r="S101" s="26"/>
      <c r="T101" s="124">
        <v>15.833333332872524</v>
      </c>
      <c r="U101" s="124">
        <v>6.5655161704463483</v>
      </c>
      <c r="V101" s="124">
        <v>0.15614081467162713</v>
      </c>
      <c r="W101" s="124">
        <v>-2.4995909343828171E-2</v>
      </c>
    </row>
    <row r="102" spans="1:23">
      <c r="A102" s="6"/>
      <c r="B102" s="6"/>
      <c r="C102" s="124"/>
      <c r="D102" s="124"/>
      <c r="E102" s="26"/>
      <c r="F102" s="26"/>
      <c r="G102" s="26"/>
      <c r="H102" s="26"/>
      <c r="I102" s="26"/>
      <c r="J102" s="26"/>
      <c r="K102" s="26"/>
      <c r="L102" s="26"/>
      <c r="M102" s="26"/>
      <c r="N102" s="26"/>
      <c r="O102" s="26"/>
      <c r="P102" s="26"/>
      <c r="Q102" s="26"/>
      <c r="R102" s="26"/>
      <c r="S102" s="26"/>
      <c r="T102" s="124">
        <v>15.999999999534339</v>
      </c>
      <c r="U102" s="124">
        <v>6.5907696531168813</v>
      </c>
      <c r="V102" s="124">
        <v>0.14643317088918045</v>
      </c>
      <c r="W102" s="124">
        <v>-3.3241713383809664E-2</v>
      </c>
    </row>
    <row r="103" spans="1:23">
      <c r="A103" s="6"/>
      <c r="B103" s="6"/>
      <c r="C103" s="124"/>
      <c r="D103" s="124"/>
      <c r="E103" s="26"/>
      <c r="F103" s="26"/>
      <c r="G103" s="26"/>
      <c r="H103" s="26"/>
      <c r="I103" s="26"/>
      <c r="J103" s="26"/>
      <c r="K103" s="26"/>
      <c r="L103" s="26"/>
      <c r="M103" s="26"/>
      <c r="N103" s="26"/>
      <c r="O103" s="26"/>
      <c r="P103" s="26"/>
      <c r="Q103" s="26"/>
      <c r="R103" s="26"/>
      <c r="S103" s="26"/>
      <c r="T103" s="124">
        <v>16.166666666196157</v>
      </c>
      <c r="U103" s="124">
        <v>6.6141763745520654</v>
      </c>
      <c r="V103" s="124">
        <v>0.1339769312490714</v>
      </c>
      <c r="W103" s="124">
        <v>-4.1487485449534581E-2</v>
      </c>
    </row>
    <row r="104" spans="1:23">
      <c r="A104" s="6"/>
      <c r="B104" s="6"/>
      <c r="C104" s="124"/>
      <c r="D104" s="124"/>
      <c r="E104" s="26"/>
      <c r="F104" s="26"/>
      <c r="G104" s="26"/>
      <c r="H104" s="26"/>
      <c r="I104" s="26"/>
      <c r="J104" s="26"/>
      <c r="K104" s="26"/>
      <c r="L104" s="26"/>
      <c r="M104" s="26"/>
      <c r="N104" s="26"/>
      <c r="O104" s="26"/>
      <c r="P104" s="26"/>
      <c r="Q104" s="26"/>
      <c r="R104" s="26"/>
      <c r="S104" s="26"/>
      <c r="T104" s="124">
        <v>16.333333332857972</v>
      </c>
      <c r="U104" s="124">
        <v>6.6352782354418389</v>
      </c>
      <c r="V104" s="124">
        <v>0.11877209575130002</v>
      </c>
      <c r="W104" s="124">
        <v>-4.9733257515134605E-2</v>
      </c>
    </row>
    <row r="105" spans="1:23">
      <c r="A105" s="6"/>
      <c r="B105" s="6"/>
      <c r="C105" s="124"/>
      <c r="D105" s="124"/>
      <c r="E105" s="26"/>
      <c r="F105" s="26"/>
      <c r="G105" s="26"/>
      <c r="H105" s="26"/>
      <c r="I105" s="26"/>
      <c r="J105" s="26"/>
      <c r="K105" s="26"/>
      <c r="L105" s="26"/>
      <c r="M105" s="26"/>
      <c r="N105" s="26"/>
      <c r="O105" s="26"/>
      <c r="P105" s="26"/>
      <c r="Q105" s="26"/>
      <c r="R105" s="26"/>
      <c r="S105" s="26"/>
      <c r="T105" s="124">
        <v>16.499999999519787</v>
      </c>
      <c r="U105" s="124">
        <v>6.6536171364761376</v>
      </c>
      <c r="V105" s="124">
        <v>0.1008186643905372</v>
      </c>
      <c r="W105" s="124">
        <v>-5.7979045567987809E-2</v>
      </c>
    </row>
    <row r="106" spans="1:23">
      <c r="A106" s="6"/>
      <c r="B106" s="6"/>
      <c r="C106" s="124"/>
      <c r="D106" s="124"/>
      <c r="E106" s="26"/>
      <c r="F106" s="26"/>
      <c r="G106" s="26"/>
      <c r="H106" s="26"/>
      <c r="I106" s="26"/>
      <c r="J106" s="26"/>
      <c r="K106" s="26"/>
      <c r="L106" s="26"/>
      <c r="M106" s="26"/>
      <c r="N106" s="26"/>
      <c r="O106" s="26"/>
      <c r="P106" s="26"/>
      <c r="Q106" s="26"/>
      <c r="R106" s="26"/>
      <c r="S106" s="26"/>
      <c r="T106" s="124">
        <v>16.666666666181605</v>
      </c>
      <c r="U106" s="124">
        <v>6.6687498205856004</v>
      </c>
      <c r="V106" s="124">
        <v>8.0712231029029594E-2</v>
      </c>
      <c r="W106" s="124">
        <v>-5.8293498032064434E-2</v>
      </c>
    </row>
    <row r="107" spans="1:23">
      <c r="A107" s="6"/>
      <c r="B107" s="6"/>
      <c r="C107" s="124"/>
      <c r="D107" s="124"/>
      <c r="E107" s="26"/>
      <c r="F107" s="26"/>
      <c r="G107" s="26"/>
      <c r="H107" s="26"/>
      <c r="I107" s="26"/>
      <c r="J107" s="26"/>
      <c r="K107" s="26"/>
      <c r="L107" s="26"/>
      <c r="M107" s="26"/>
      <c r="N107" s="26"/>
      <c r="O107" s="26"/>
      <c r="P107" s="26"/>
      <c r="Q107" s="26"/>
      <c r="R107" s="26"/>
      <c r="S107" s="26"/>
      <c r="T107" s="124">
        <v>16.83333333284342</v>
      </c>
      <c r="U107" s="124">
        <v>6.6806712218128785</v>
      </c>
      <c r="V107" s="124">
        <v>6.2848761023967567E-2</v>
      </c>
      <c r="W107" s="124">
        <v>-4.8896710683262505E-2</v>
      </c>
    </row>
    <row r="108" spans="1:23">
      <c r="A108" s="6"/>
      <c r="B108" s="6"/>
      <c r="C108" s="124"/>
      <c r="D108" s="124"/>
      <c r="E108" s="26"/>
      <c r="F108" s="26"/>
      <c r="G108" s="26"/>
      <c r="H108" s="26"/>
      <c r="I108" s="26"/>
      <c r="J108" s="26"/>
      <c r="K108" s="26"/>
      <c r="L108" s="26"/>
      <c r="M108" s="26"/>
      <c r="N108" s="26"/>
      <c r="O108" s="26"/>
      <c r="P108" s="26"/>
      <c r="Q108" s="26"/>
      <c r="R108" s="26"/>
      <c r="S108" s="26"/>
      <c r="T108" s="124">
        <v>16.999999999505235</v>
      </c>
      <c r="U108" s="124">
        <v>6.6898761376740667</v>
      </c>
      <c r="V108" s="124">
        <v>4.8117538888072096E-2</v>
      </c>
      <c r="W108" s="124">
        <v>-3.9499987283327612E-2</v>
      </c>
    </row>
    <row r="109" spans="1:23">
      <c r="A109" s="6"/>
      <c r="B109" s="6"/>
      <c r="C109" s="124"/>
      <c r="D109" s="124"/>
      <c r="E109" s="26"/>
      <c r="F109" s="26"/>
      <c r="G109" s="26"/>
      <c r="H109" s="26"/>
      <c r="I109" s="26"/>
      <c r="J109" s="26"/>
      <c r="K109" s="26"/>
      <c r="L109" s="26"/>
      <c r="M109" s="26"/>
      <c r="N109" s="26"/>
      <c r="O109" s="26"/>
      <c r="P109" s="26"/>
      <c r="Q109" s="26"/>
      <c r="R109" s="26"/>
      <c r="S109" s="26"/>
      <c r="T109" s="124">
        <v>17.166666666167053</v>
      </c>
      <c r="U109" s="124">
        <v>6.6968866094821253</v>
      </c>
      <c r="V109" s="124">
        <v>3.6518564632001323E-2</v>
      </c>
      <c r="W109" s="124">
        <v>-3.0103231908969613E-2</v>
      </c>
    </row>
    <row r="110" spans="1:23">
      <c r="A110" s="6"/>
      <c r="B110" s="6"/>
      <c r="C110" s="124"/>
      <c r="D110" s="124"/>
      <c r="E110" s="26"/>
      <c r="F110" s="26"/>
      <c r="G110" s="26"/>
      <c r="H110" s="26"/>
      <c r="I110" s="26"/>
      <c r="J110" s="26"/>
      <c r="K110" s="26"/>
      <c r="L110" s="26"/>
      <c r="M110" s="26"/>
      <c r="N110" s="26"/>
      <c r="O110" s="26"/>
      <c r="P110" s="26"/>
      <c r="Q110" s="26"/>
      <c r="R110" s="26"/>
      <c r="S110" s="26"/>
      <c r="T110" s="124">
        <v>17.333333332828868</v>
      </c>
      <c r="U110" s="124">
        <v>6.7022246785500164</v>
      </c>
      <c r="V110" s="124">
        <v>2.8051838255755256E-2</v>
      </c>
      <c r="W110" s="124">
        <v>-2.0706492521823168E-2</v>
      </c>
    </row>
    <row r="111" spans="1:23">
      <c r="A111" s="6"/>
      <c r="B111" s="6"/>
      <c r="C111" s="124"/>
      <c r="D111" s="124"/>
      <c r="E111" s="26"/>
      <c r="F111" s="26"/>
      <c r="G111" s="26"/>
      <c r="H111" s="26"/>
      <c r="I111" s="26"/>
      <c r="J111" s="26"/>
      <c r="K111" s="26"/>
      <c r="L111" s="26"/>
      <c r="M111" s="26"/>
      <c r="N111" s="26"/>
      <c r="O111" s="26"/>
      <c r="P111" s="26"/>
      <c r="Q111" s="26"/>
      <c r="R111" s="26"/>
      <c r="S111" s="26"/>
      <c r="T111" s="124">
        <v>17.499999999490683</v>
      </c>
      <c r="U111" s="124">
        <v>6.7064123861907019</v>
      </c>
      <c r="V111" s="124">
        <v>2.2717359748675746E-2</v>
      </c>
      <c r="W111" s="124">
        <v>-1.1309769121888278E-2</v>
      </c>
    </row>
    <row r="112" spans="1:23">
      <c r="A112" s="6"/>
      <c r="B112" s="6"/>
      <c r="C112" s="124"/>
      <c r="D112" s="124"/>
      <c r="E112" s="26"/>
      <c r="F112" s="26"/>
      <c r="G112" s="26"/>
      <c r="H112" s="26"/>
      <c r="I112" s="26"/>
      <c r="J112" s="26"/>
      <c r="K112" s="26"/>
      <c r="L112" s="26"/>
      <c r="M112" s="26"/>
      <c r="N112" s="26"/>
      <c r="O112" s="26"/>
      <c r="P112" s="26"/>
      <c r="Q112" s="26"/>
      <c r="R112" s="26"/>
      <c r="S112" s="26"/>
      <c r="T112" s="124">
        <v>17.666666666152501</v>
      </c>
      <c r="U112" s="124">
        <v>6.7099717737171423</v>
      </c>
      <c r="V112" s="124">
        <v>2.051512912675001E-2</v>
      </c>
      <c r="W112" s="124">
        <v>-1.9130137475198686E-3</v>
      </c>
    </row>
    <row r="113" spans="1:23">
      <c r="A113" s="6"/>
      <c r="B113" s="6"/>
      <c r="C113" s="124"/>
      <c r="D113" s="124"/>
      <c r="E113" s="26"/>
      <c r="F113" s="26"/>
      <c r="G113" s="26"/>
      <c r="H113" s="26"/>
      <c r="I113" s="26"/>
      <c r="J113" s="26"/>
      <c r="K113" s="26"/>
      <c r="L113" s="26"/>
      <c r="M113" s="26"/>
      <c r="N113" s="26"/>
      <c r="O113" s="26"/>
      <c r="P113" s="26"/>
      <c r="Q113" s="26"/>
      <c r="R113" s="26"/>
      <c r="S113" s="26"/>
      <c r="T113" s="124">
        <v>17.833333332814316</v>
      </c>
      <c r="U113" s="124">
        <v>6.7134248824423004</v>
      </c>
      <c r="V113" s="124">
        <v>2.1445146384648971E-2</v>
      </c>
      <c r="W113" s="124">
        <v>7.4837256396265766E-3</v>
      </c>
    </row>
    <row r="114" spans="1:23">
      <c r="A114" s="6"/>
      <c r="B114" s="6"/>
      <c r="C114" s="124"/>
      <c r="D114" s="124"/>
      <c r="E114" s="26"/>
      <c r="F114" s="26"/>
      <c r="G114" s="26"/>
      <c r="H114" s="26"/>
      <c r="I114" s="26"/>
      <c r="J114" s="26"/>
      <c r="K114" s="26"/>
      <c r="L114" s="26"/>
      <c r="M114" s="26"/>
      <c r="N114" s="26"/>
      <c r="O114" s="26"/>
      <c r="P114" s="26"/>
      <c r="Q114" s="26"/>
      <c r="R114" s="26"/>
      <c r="S114" s="26"/>
      <c r="T114" s="124">
        <v>17.999999999476131</v>
      </c>
      <c r="U114" s="124">
        <v>6.7172937536791366</v>
      </c>
      <c r="V114" s="124">
        <v>2.5507411517043565E-2</v>
      </c>
      <c r="W114" s="124">
        <v>1.6880481013984577E-2</v>
      </c>
    </row>
    <row r="115" spans="1:23">
      <c r="A115" s="6"/>
      <c r="B115" s="6"/>
      <c r="C115" s="124"/>
      <c r="D115" s="124"/>
      <c r="E115" s="26"/>
      <c r="F115" s="26"/>
      <c r="G115" s="26"/>
      <c r="H115" s="26"/>
      <c r="I115" s="26"/>
      <c r="J115" s="26"/>
      <c r="K115" s="26"/>
      <c r="L115" s="26"/>
      <c r="M115" s="26"/>
      <c r="N115" s="26"/>
      <c r="O115" s="26"/>
      <c r="P115" s="26"/>
      <c r="Q115" s="26"/>
      <c r="R115" s="26"/>
      <c r="S115" s="26"/>
      <c r="T115" s="124">
        <v>18.166666666137949</v>
      </c>
      <c r="U115" s="124">
        <v>6.7221004287406148</v>
      </c>
      <c r="V115" s="124">
        <v>3.2701924523933786E-2</v>
      </c>
      <c r="W115" s="124">
        <v>2.6277204413929875E-2</v>
      </c>
    </row>
    <row r="116" spans="1:23">
      <c r="A116" s="6"/>
      <c r="B116" s="6"/>
      <c r="C116" s="124"/>
      <c r="D116" s="124"/>
      <c r="E116" s="26"/>
      <c r="F116" s="26"/>
      <c r="G116" s="26"/>
      <c r="H116" s="26"/>
      <c r="I116" s="26"/>
      <c r="J116" s="26"/>
      <c r="K116" s="26"/>
      <c r="L116" s="26"/>
      <c r="M116" s="26"/>
      <c r="N116" s="26"/>
      <c r="O116" s="26"/>
      <c r="P116" s="26"/>
      <c r="Q116" s="26"/>
      <c r="R116" s="26"/>
      <c r="S116" s="26"/>
      <c r="T116" s="124">
        <v>18.333333332799764</v>
      </c>
      <c r="U116" s="124">
        <v>6.7283669489396942</v>
      </c>
      <c r="V116" s="124">
        <v>4.3028685415977784E-2</v>
      </c>
      <c r="W116" s="124">
        <v>3.5673959788287878E-2</v>
      </c>
    </row>
    <row r="117" spans="1:23">
      <c r="A117" s="6"/>
      <c r="B117" s="6"/>
      <c r="C117" s="124"/>
      <c r="D117" s="124"/>
      <c r="E117" s="26"/>
      <c r="F117" s="26"/>
      <c r="G117" s="26"/>
      <c r="H117" s="26"/>
      <c r="I117" s="26"/>
      <c r="J117" s="26"/>
      <c r="K117" s="26"/>
      <c r="L117" s="26"/>
      <c r="M117" s="26"/>
      <c r="N117" s="26"/>
      <c r="O117" s="26"/>
      <c r="P117" s="26"/>
      <c r="Q117" s="26"/>
      <c r="R117" s="26"/>
      <c r="S117" s="26"/>
      <c r="T117" s="124">
        <v>18.499999999461579</v>
      </c>
      <c r="U117" s="124">
        <v>6.7365941691292548</v>
      </c>
      <c r="V117" s="124">
        <v>5.5804103531745655E-2</v>
      </c>
      <c r="W117" s="124">
        <v>3.7744815275480521E-2</v>
      </c>
    </row>
    <row r="118" spans="1:23">
      <c r="A118" s="6"/>
      <c r="B118" s="6"/>
      <c r="C118" s="124"/>
      <c r="D118" s="124"/>
      <c r="E118" s="26"/>
      <c r="F118" s="26"/>
      <c r="G118" s="26"/>
      <c r="H118" s="26"/>
      <c r="I118" s="26"/>
      <c r="J118" s="26"/>
      <c r="K118" s="26"/>
      <c r="L118" s="26"/>
      <c r="M118" s="26"/>
      <c r="N118" s="26"/>
      <c r="O118" s="26"/>
      <c r="P118" s="26"/>
      <c r="Q118" s="26"/>
      <c r="R118" s="26"/>
      <c r="S118" s="26"/>
      <c r="T118" s="124">
        <v>18.666666666123398</v>
      </c>
      <c r="U118" s="124">
        <v>6.7469079057878156</v>
      </c>
      <c r="V118" s="124">
        <v>6.7766500018802633E-2</v>
      </c>
      <c r="W118" s="124">
        <v>3.403325621519588E-2</v>
      </c>
    </row>
    <row r="119" spans="1:23">
      <c r="A119" s="6"/>
      <c r="B119" s="6"/>
      <c r="C119" s="124"/>
      <c r="D119" s="124"/>
      <c r="E119" s="26"/>
      <c r="F119" s="26"/>
      <c r="G119" s="26"/>
      <c r="H119" s="26"/>
      <c r="I119" s="26"/>
      <c r="J119" s="26"/>
      <c r="K119" s="26"/>
      <c r="L119" s="26"/>
      <c r="M119" s="26"/>
      <c r="N119" s="26"/>
      <c r="O119" s="26"/>
      <c r="P119" s="26"/>
      <c r="Q119" s="26"/>
      <c r="R119" s="26"/>
      <c r="S119" s="26"/>
      <c r="T119" s="124">
        <v>18.833333332785212</v>
      </c>
      <c r="U119" s="124">
        <v>6.7591123788159653</v>
      </c>
      <c r="V119" s="124">
        <v>7.8491702777025552E-2</v>
      </c>
      <c r="W119" s="124">
        <v>3.0321665180446499E-2</v>
      </c>
    </row>
    <row r="120" spans="1:23">
      <c r="A120" s="6"/>
      <c r="B120" s="6"/>
      <c r="C120" s="124"/>
      <c r="D120" s="124"/>
      <c r="E120" s="26"/>
      <c r="F120" s="26"/>
      <c r="G120" s="26"/>
      <c r="H120" s="26"/>
      <c r="I120" s="26"/>
      <c r="J120" s="26"/>
      <c r="K120" s="26"/>
      <c r="L120" s="26"/>
      <c r="M120" s="26"/>
      <c r="N120" s="26"/>
      <c r="O120" s="26"/>
      <c r="P120" s="26"/>
      <c r="Q120" s="26"/>
      <c r="R120" s="26"/>
      <c r="S120" s="26"/>
      <c r="T120" s="124">
        <v>18.999999999447027</v>
      </c>
      <c r="U120" s="124">
        <v>6.7730013892599583</v>
      </c>
      <c r="V120" s="124">
        <v>8.7979711811743494E-2</v>
      </c>
      <c r="W120" s="124">
        <v>2.6610074145738755E-2</v>
      </c>
    </row>
    <row r="121" spans="1:23">
      <c r="A121" s="6"/>
      <c r="B121" s="6"/>
      <c r="C121" s="124"/>
      <c r="D121" s="124"/>
      <c r="E121" s="26"/>
      <c r="F121" s="26"/>
      <c r="G121" s="26"/>
      <c r="H121" s="26"/>
      <c r="I121" s="26"/>
      <c r="J121" s="26"/>
      <c r="K121" s="26"/>
      <c r="L121" s="26"/>
      <c r="M121" s="26"/>
      <c r="N121" s="26"/>
      <c r="O121" s="26"/>
      <c r="P121" s="26"/>
      <c r="Q121" s="26"/>
      <c r="R121" s="26"/>
      <c r="S121" s="26"/>
      <c r="T121" s="124">
        <v>19.166666666108846</v>
      </c>
      <c r="U121" s="124">
        <v>6.7883687381660511</v>
      </c>
      <c r="V121" s="124">
        <v>9.6230527128285517E-2</v>
      </c>
      <c r="W121" s="124">
        <v>2.2898499098200929E-2</v>
      </c>
    </row>
    <row r="122" spans="1:23">
      <c r="A122" s="6"/>
      <c r="B122" s="6"/>
      <c r="C122" s="124"/>
      <c r="D122" s="124"/>
      <c r="E122" s="26"/>
      <c r="F122" s="26"/>
      <c r="G122" s="26"/>
      <c r="H122" s="26"/>
      <c r="I122" s="26"/>
      <c r="J122" s="26"/>
      <c r="K122" s="26"/>
      <c r="L122" s="26"/>
      <c r="M122" s="26"/>
      <c r="N122" s="26"/>
      <c r="O122" s="26"/>
      <c r="P122" s="26"/>
      <c r="Q122" s="26"/>
      <c r="R122" s="26"/>
      <c r="S122" s="26"/>
      <c r="T122" s="124">
        <v>19.33333333277066</v>
      </c>
      <c r="U122" s="124">
        <v>6.8050082265804983</v>
      </c>
      <c r="V122" s="124">
        <v>0.10324414872132257</v>
      </c>
      <c r="W122" s="124">
        <v>1.9186924050704737E-2</v>
      </c>
    </row>
    <row r="123" spans="1:23">
      <c r="A123" s="6"/>
      <c r="B123" s="6"/>
      <c r="C123" s="124"/>
      <c r="D123" s="124"/>
      <c r="E123" s="26"/>
      <c r="F123" s="26"/>
      <c r="G123" s="26"/>
      <c r="H123" s="26"/>
      <c r="I123" s="26"/>
      <c r="J123" s="26"/>
      <c r="K123" s="26"/>
      <c r="L123" s="26"/>
      <c r="M123" s="26"/>
      <c r="N123" s="26"/>
      <c r="O123" s="26"/>
      <c r="P123" s="26"/>
      <c r="Q123" s="26"/>
      <c r="R123" s="26"/>
      <c r="S123" s="26"/>
      <c r="T123" s="124">
        <v>19.499999999432475</v>
      </c>
      <c r="U123" s="124">
        <v>6.8227136555495553</v>
      </c>
      <c r="V123" s="124">
        <v>0.10902057659085462</v>
      </c>
      <c r="W123" s="124">
        <v>1.5475349003166911E-2</v>
      </c>
    </row>
    <row r="124" spans="1:23">
      <c r="A124" s="6"/>
      <c r="B124" s="6"/>
      <c r="C124" s="124"/>
      <c r="D124" s="124"/>
      <c r="E124" s="26"/>
      <c r="F124" s="26"/>
      <c r="G124" s="26"/>
      <c r="H124" s="26"/>
      <c r="I124" s="26"/>
      <c r="J124" s="26"/>
      <c r="K124" s="26"/>
      <c r="L124" s="26"/>
      <c r="M124" s="26"/>
      <c r="N124" s="26"/>
      <c r="O124" s="26"/>
      <c r="P124" s="26"/>
      <c r="Q124" s="26"/>
      <c r="R124" s="26"/>
      <c r="S124" s="26"/>
      <c r="T124" s="124">
        <v>19.666666666094294</v>
      </c>
      <c r="U124" s="124">
        <v>6.8412788261194786</v>
      </c>
      <c r="V124" s="124">
        <v>0.11355981074221076</v>
      </c>
      <c r="W124" s="124">
        <v>1.1763789942840641E-2</v>
      </c>
    </row>
    <row r="125" spans="1:23">
      <c r="A125" s="6"/>
      <c r="B125" s="6"/>
      <c r="C125" s="124"/>
      <c r="D125" s="124"/>
      <c r="E125" s="26"/>
      <c r="F125" s="26"/>
      <c r="G125" s="26"/>
      <c r="H125" s="26"/>
      <c r="I125" s="26"/>
      <c r="J125" s="26"/>
      <c r="K125" s="26"/>
      <c r="L125" s="26"/>
      <c r="M125" s="26"/>
      <c r="N125" s="26"/>
      <c r="O125" s="26"/>
      <c r="P125" s="26"/>
      <c r="Q125" s="26"/>
      <c r="R125" s="26"/>
      <c r="S125" s="26"/>
      <c r="T125" s="124">
        <v>19.833333332756109</v>
      </c>
      <c r="U125" s="124">
        <v>6.8604975393365235</v>
      </c>
      <c r="V125" s="124">
        <v>0.11686185116473286</v>
      </c>
      <c r="W125" s="124">
        <v>8.0521829209213389E-3</v>
      </c>
    </row>
    <row r="126" spans="1:23">
      <c r="A126" s="6"/>
      <c r="B126" s="6"/>
      <c r="C126" s="124"/>
      <c r="D126" s="124"/>
      <c r="E126" s="26"/>
      <c r="F126" s="26"/>
      <c r="G126" s="26"/>
      <c r="H126" s="26"/>
      <c r="I126" s="26"/>
      <c r="J126" s="26"/>
      <c r="K126" s="26"/>
      <c r="L126" s="26"/>
      <c r="M126" s="26"/>
      <c r="N126" s="26"/>
      <c r="O126" s="26"/>
      <c r="P126" s="26"/>
      <c r="Q126" s="26"/>
      <c r="R126" s="26"/>
      <c r="S126" s="26"/>
      <c r="T126" s="124">
        <v>19.999999999417923</v>
      </c>
      <c r="U126" s="124">
        <v>6.8801635962469438</v>
      </c>
      <c r="V126" s="124">
        <v>0.11892669786907903</v>
      </c>
      <c r="W126" s="124">
        <v>4.3406238605950683E-3</v>
      </c>
    </row>
    <row r="127" spans="1:23">
      <c r="A127" s="6"/>
      <c r="B127" s="6"/>
      <c r="C127" s="124"/>
      <c r="D127" s="124"/>
      <c r="E127" s="26"/>
      <c r="F127" s="26"/>
      <c r="G127" s="26"/>
      <c r="H127" s="26"/>
      <c r="I127" s="26"/>
      <c r="J127" s="26"/>
      <c r="K127" s="26"/>
      <c r="L127" s="26"/>
      <c r="M127" s="26"/>
      <c r="N127" s="26"/>
      <c r="O127" s="26"/>
      <c r="P127" s="26"/>
      <c r="Q127" s="26"/>
      <c r="R127" s="26"/>
      <c r="S127" s="26"/>
      <c r="T127" s="124">
        <v>20.166666666079742</v>
      </c>
      <c r="U127" s="124">
        <v>6.9000707978969977</v>
      </c>
      <c r="V127" s="124">
        <v>0.11975435084459116</v>
      </c>
      <c r="W127" s="124">
        <v>6.2901683863413244E-4</v>
      </c>
    </row>
    <row r="128" spans="1:23">
      <c r="A128" s="6"/>
      <c r="B128" s="6"/>
      <c r="C128" s="124"/>
      <c r="D128" s="124"/>
      <c r="E128" s="26"/>
      <c r="F128" s="26"/>
      <c r="G128" s="26"/>
      <c r="H128" s="26"/>
      <c r="I128" s="26"/>
      <c r="J128" s="26"/>
      <c r="K128" s="26"/>
      <c r="L128" s="26"/>
      <c r="M128" s="26"/>
      <c r="N128" s="26"/>
      <c r="O128" s="26"/>
      <c r="P128" s="26"/>
      <c r="Q128" s="26"/>
      <c r="R128" s="26"/>
      <c r="S128" s="26"/>
      <c r="T128" s="124">
        <v>20.333333332741557</v>
      </c>
      <c r="U128" s="124">
        <v>6.9200129453884243</v>
      </c>
      <c r="V128" s="124">
        <v>0.11934484985146436</v>
      </c>
      <c r="W128" s="124">
        <v>-3.0737812297183275E-3</v>
      </c>
    </row>
    <row r="129" spans="1:23">
      <c r="A129" s="6"/>
      <c r="B129" s="6"/>
      <c r="C129" s="124"/>
      <c r="D129" s="124"/>
      <c r="E129" s="26"/>
      <c r="F129" s="26"/>
      <c r="G129" s="26"/>
      <c r="H129" s="26"/>
      <c r="I129" s="26"/>
      <c r="J129" s="26"/>
      <c r="K129" s="26"/>
      <c r="L129" s="26"/>
      <c r="M129" s="26"/>
      <c r="N129" s="26"/>
      <c r="O129" s="26"/>
      <c r="P129" s="26"/>
      <c r="Q129" s="26"/>
      <c r="R129" s="26"/>
      <c r="S129" s="26"/>
      <c r="T129" s="124">
        <v>20.499999999403371</v>
      </c>
      <c r="U129" s="124">
        <v>6.9397872113829155</v>
      </c>
      <c r="V129" s="124">
        <v>0.11775728164119195</v>
      </c>
      <c r="W129" s="124">
        <v>-6.448281908787476E-3</v>
      </c>
    </row>
    <row r="130" spans="1:23">
      <c r="A130" s="6"/>
      <c r="B130" s="6"/>
      <c r="C130" s="124"/>
      <c r="D130" s="124"/>
      <c r="E130" s="26"/>
      <c r="F130" s="26"/>
      <c r="G130" s="26"/>
      <c r="H130" s="26"/>
      <c r="I130" s="26"/>
      <c r="J130" s="26"/>
      <c r="K130" s="26"/>
      <c r="L130" s="26"/>
      <c r="M130" s="26"/>
      <c r="N130" s="26"/>
      <c r="O130" s="26"/>
      <c r="P130" s="26"/>
      <c r="Q130" s="26"/>
      <c r="R130" s="26"/>
      <c r="S130" s="26"/>
      <c r="T130" s="124">
        <v>20.66666666606519</v>
      </c>
      <c r="U130" s="124">
        <v>6.9592032398816919</v>
      </c>
      <c r="V130" s="124">
        <v>0.11504487506976505</v>
      </c>
      <c r="W130" s="124">
        <v>-9.8227825878566231E-3</v>
      </c>
    </row>
    <row r="131" spans="1:23">
      <c r="A131" s="6"/>
      <c r="B131" s="6"/>
      <c r="C131" s="124"/>
      <c r="D131" s="124"/>
      <c r="E131" s="26"/>
      <c r="F131" s="26"/>
      <c r="G131" s="26"/>
      <c r="H131" s="26"/>
      <c r="I131" s="26"/>
      <c r="J131" s="26"/>
      <c r="K131" s="26"/>
      <c r="L131" s="26"/>
      <c r="M131" s="26"/>
      <c r="N131" s="26"/>
      <c r="O131" s="26"/>
      <c r="P131" s="26"/>
      <c r="Q131" s="26"/>
      <c r="R131" s="26"/>
      <c r="S131" s="26"/>
      <c r="T131" s="124">
        <v>20.833333332727005</v>
      </c>
      <c r="U131" s="124">
        <v>6.9780735578240041</v>
      </c>
      <c r="V131" s="124">
        <v>0.11120763012652549</v>
      </c>
      <c r="W131" s="124">
        <v>-1.3197315241432148E-2</v>
      </c>
    </row>
    <row r="132" spans="1:23">
      <c r="A132" s="6"/>
      <c r="B132" s="6"/>
      <c r="C132" s="124"/>
      <c r="D132" s="124"/>
      <c r="E132" s="26"/>
      <c r="F132" s="26"/>
      <c r="G132" s="26"/>
      <c r="H132" s="26"/>
      <c r="I132" s="26"/>
      <c r="J132" s="26"/>
      <c r="K132" s="26"/>
      <c r="L132" s="26"/>
      <c r="M132" s="26"/>
      <c r="N132" s="26"/>
      <c r="O132" s="26"/>
      <c r="P132" s="26"/>
      <c r="Q132" s="26"/>
      <c r="R132" s="26"/>
      <c r="S132" s="26"/>
      <c r="T132" s="124">
        <v>20.99999999938882</v>
      </c>
      <c r="U132" s="124">
        <v>6.9962106921490994</v>
      </c>
      <c r="V132" s="124">
        <v>0.10624554682213144</v>
      </c>
      <c r="W132" s="124">
        <v>-1.6571815920501297E-2</v>
      </c>
    </row>
    <row r="133" spans="1:23">
      <c r="A133" s="6"/>
      <c r="B133" s="6"/>
      <c r="C133" s="124"/>
      <c r="D133" s="124"/>
      <c r="E133" s="26"/>
      <c r="F133" s="26"/>
      <c r="G133" s="26"/>
      <c r="H133" s="26"/>
      <c r="I133" s="26"/>
      <c r="J133" s="26"/>
      <c r="K133" s="26"/>
      <c r="L133" s="26"/>
      <c r="M133" s="26"/>
      <c r="N133" s="26"/>
      <c r="O133" s="26"/>
      <c r="P133" s="26"/>
      <c r="Q133" s="26"/>
      <c r="R133" s="26"/>
      <c r="S133" s="26"/>
      <c r="T133" s="124">
        <v>21.166666666050638</v>
      </c>
      <c r="U133" s="124">
        <v>7.0134271697962305</v>
      </c>
      <c r="V133" s="124">
        <v>0.10015862515125383</v>
      </c>
      <c r="W133" s="124">
        <v>-1.9946348573993553E-2</v>
      </c>
    </row>
    <row r="134" spans="1:23">
      <c r="A134" s="6"/>
      <c r="B134" s="6"/>
      <c r="C134" s="124"/>
      <c r="D134" s="124"/>
      <c r="E134" s="26"/>
      <c r="F134" s="26"/>
      <c r="G134" s="26"/>
      <c r="H134" s="26"/>
      <c r="I134" s="26"/>
      <c r="J134" s="26"/>
      <c r="K134" s="26"/>
      <c r="L134" s="26"/>
      <c r="M134" s="26"/>
      <c r="N134" s="26"/>
      <c r="O134" s="26"/>
      <c r="P134" s="26"/>
      <c r="Q134" s="26"/>
      <c r="R134" s="26"/>
      <c r="S134" s="26"/>
      <c r="T134" s="124">
        <v>21.333333332712453</v>
      </c>
      <c r="U134" s="124">
        <v>7.0295355177046455</v>
      </c>
      <c r="V134" s="124">
        <v>9.2946865119221719E-2</v>
      </c>
      <c r="W134" s="124">
        <v>-2.3320849253062704E-2</v>
      </c>
    </row>
    <row r="135" spans="1:23">
      <c r="A135" s="6"/>
      <c r="B135" s="6"/>
      <c r="C135" s="124"/>
      <c r="D135" s="124"/>
      <c r="E135" s="26"/>
      <c r="F135" s="26"/>
      <c r="G135" s="26"/>
      <c r="H135" s="26"/>
      <c r="I135" s="26"/>
      <c r="J135" s="26"/>
      <c r="K135" s="26"/>
      <c r="L135" s="26"/>
      <c r="M135" s="26"/>
      <c r="N135" s="26"/>
      <c r="O135" s="26"/>
      <c r="P135" s="26"/>
      <c r="Q135" s="26"/>
      <c r="R135" s="26"/>
      <c r="S135" s="26"/>
      <c r="T135" s="124">
        <v>21.499999999374268</v>
      </c>
      <c r="U135" s="124">
        <v>7.0443482628135943</v>
      </c>
      <c r="V135" s="124">
        <v>8.461026672070604E-2</v>
      </c>
      <c r="W135" s="124">
        <v>-2.6695365919343406E-2</v>
      </c>
    </row>
    <row r="136" spans="1:23">
      <c r="A136" s="6"/>
      <c r="B136" s="6"/>
      <c r="C136" s="124"/>
      <c r="D136" s="124"/>
      <c r="E136" s="26"/>
      <c r="F136" s="26"/>
      <c r="G136" s="26"/>
      <c r="H136" s="26"/>
      <c r="I136" s="26"/>
      <c r="J136" s="26"/>
      <c r="K136" s="26"/>
      <c r="L136" s="26"/>
      <c r="M136" s="26"/>
      <c r="N136" s="26"/>
      <c r="O136" s="26"/>
      <c r="P136" s="26"/>
      <c r="Q136" s="26"/>
      <c r="R136" s="26"/>
      <c r="S136" s="26"/>
      <c r="T136" s="124">
        <v>21.666666666036086</v>
      </c>
      <c r="U136" s="124">
        <v>7.0576779320623269</v>
      </c>
      <c r="V136" s="124">
        <v>7.5148829955706792E-2</v>
      </c>
      <c r="W136" s="124">
        <v>-3.0069882585665741E-2</v>
      </c>
    </row>
    <row r="137" spans="1:23">
      <c r="A137" s="6"/>
      <c r="B137" s="6"/>
      <c r="C137" s="124"/>
      <c r="D137" s="124"/>
      <c r="E137" s="26"/>
      <c r="F137" s="26"/>
      <c r="G137" s="26"/>
      <c r="H137" s="26"/>
      <c r="I137" s="26"/>
      <c r="J137" s="26"/>
      <c r="K137" s="26"/>
      <c r="L137" s="26"/>
      <c r="M137" s="26"/>
      <c r="N137" s="26"/>
      <c r="O137" s="26"/>
      <c r="P137" s="26"/>
      <c r="Q137" s="26"/>
      <c r="R137" s="26"/>
      <c r="S137" s="26"/>
      <c r="T137" s="124">
        <v>21.833333332697901</v>
      </c>
      <c r="U137" s="124">
        <v>7.0693370523900931</v>
      </c>
      <c r="V137" s="124">
        <v>6.4562554829553045E-2</v>
      </c>
      <c r="W137" s="124">
        <v>-3.3444399251946443E-2</v>
      </c>
    </row>
    <row r="138" spans="1:23">
      <c r="A138" s="6"/>
      <c r="B138" s="6"/>
      <c r="C138" s="124"/>
      <c r="D138" s="124"/>
      <c r="E138" s="26"/>
      <c r="F138" s="26"/>
      <c r="G138" s="26"/>
      <c r="H138" s="26"/>
      <c r="I138" s="26"/>
      <c r="J138" s="26"/>
      <c r="K138" s="26"/>
      <c r="L138" s="26"/>
      <c r="M138" s="26"/>
      <c r="N138" s="26"/>
      <c r="O138" s="26"/>
      <c r="P138" s="26"/>
      <c r="Q138" s="26"/>
      <c r="R138" s="26"/>
      <c r="S138" s="26"/>
      <c r="T138" s="124">
        <v>21.999999999359716</v>
      </c>
      <c r="U138" s="124">
        <v>7.0791381507361422</v>
      </c>
      <c r="V138" s="124">
        <v>5.285144133691573E-2</v>
      </c>
      <c r="W138" s="124">
        <v>-3.6818915918268781E-2</v>
      </c>
    </row>
    <row r="139" spans="1:23">
      <c r="A139" s="6"/>
      <c r="B139" s="6"/>
      <c r="C139" s="124"/>
      <c r="D139" s="124"/>
      <c r="E139" s="26"/>
      <c r="F139" s="26"/>
      <c r="G139" s="26"/>
      <c r="H139" s="26"/>
      <c r="I139" s="26"/>
      <c r="J139" s="26"/>
      <c r="K139" s="26"/>
      <c r="L139" s="26"/>
      <c r="M139" s="26"/>
      <c r="N139" s="26"/>
      <c r="O139" s="26"/>
      <c r="P139" s="26"/>
      <c r="Q139" s="26"/>
      <c r="R139" s="26"/>
      <c r="S139" s="26"/>
      <c r="T139" s="124">
        <v>22.166666666021534</v>
      </c>
      <c r="U139" s="124">
        <v>7.0868937540397248</v>
      </c>
      <c r="V139" s="124">
        <v>4.0015489483123917E-2</v>
      </c>
      <c r="W139" s="124">
        <v>-4.0193416597358748E-2</v>
      </c>
    </row>
    <row r="140" spans="1:23">
      <c r="A140" s="6"/>
      <c r="B140" s="6"/>
      <c r="C140" s="124"/>
      <c r="D140" s="124"/>
      <c r="E140" s="26"/>
      <c r="F140" s="26"/>
      <c r="G140" s="26"/>
      <c r="H140" s="26"/>
      <c r="I140" s="26"/>
      <c r="J140" s="26"/>
      <c r="K140" s="26"/>
      <c r="L140" s="26"/>
      <c r="M140" s="26"/>
      <c r="N140" s="26"/>
      <c r="O140" s="26"/>
      <c r="P140" s="26"/>
      <c r="Q140" s="26"/>
      <c r="R140" s="26"/>
      <c r="S140" s="26"/>
      <c r="T140" s="124">
        <v>22.333333332683349</v>
      </c>
      <c r="U140" s="124">
        <v>7.0924694186630903</v>
      </c>
      <c r="V140" s="124">
        <v>2.7419718651076938E-2</v>
      </c>
      <c r="W140" s="124">
        <v>-3.1889099362992029E-2</v>
      </c>
    </row>
    <row r="141" spans="1:23">
      <c r="A141" s="6"/>
      <c r="B141" s="6"/>
      <c r="C141" s="124"/>
      <c r="D141" s="124"/>
      <c r="E141" s="26"/>
      <c r="F141" s="26"/>
      <c r="G141" s="26"/>
      <c r="H141" s="26"/>
      <c r="I141" s="26"/>
      <c r="J141" s="26"/>
      <c r="K141" s="26"/>
      <c r="L141" s="26"/>
      <c r="M141" s="26"/>
      <c r="N141" s="26"/>
      <c r="O141" s="26"/>
      <c r="P141" s="26"/>
      <c r="Q141" s="26"/>
      <c r="R141" s="26"/>
      <c r="S141" s="26"/>
      <c r="T141" s="124">
        <v>22.499999999345164</v>
      </c>
      <c r="U141" s="124">
        <v>7.0962776239183496</v>
      </c>
      <c r="V141" s="124">
        <v>1.9009383513178067E-2</v>
      </c>
      <c r="W141" s="124">
        <v>-1.8586188589269886E-2</v>
      </c>
    </row>
    <row r="142" spans="1:23">
      <c r="A142" s="6"/>
      <c r="B142" s="6"/>
      <c r="C142" s="124"/>
      <c r="D142" s="124"/>
      <c r="E142" s="26"/>
      <c r="F142" s="26"/>
      <c r="G142" s="26"/>
      <c r="H142" s="26"/>
      <c r="I142" s="26"/>
      <c r="J142" s="26"/>
      <c r="K142" s="26"/>
      <c r="L142" s="26"/>
      <c r="M142" s="26"/>
      <c r="N142" s="26"/>
      <c r="O142" s="26"/>
      <c r="P142" s="26"/>
      <c r="Q142" s="26"/>
      <c r="R142" s="26"/>
      <c r="S142" s="26"/>
      <c r="T142" s="124">
        <v>22.666666666006982</v>
      </c>
      <c r="U142" s="124">
        <v>7.0990532622106466</v>
      </c>
      <c r="V142" s="124">
        <v>1.5033349392450478E-2</v>
      </c>
      <c r="W142" s="124">
        <v>-5.2833097899656466E-3</v>
      </c>
    </row>
    <row r="143" spans="1:23">
      <c r="A143" s="6"/>
      <c r="B143" s="6"/>
      <c r="C143" s="124"/>
      <c r="D143" s="124"/>
      <c r="E143" s="26"/>
      <c r="F143" s="26"/>
      <c r="G143" s="26"/>
      <c r="H143" s="26"/>
      <c r="I143" s="26"/>
      <c r="J143" s="26"/>
      <c r="K143" s="26"/>
      <c r="L143" s="26"/>
      <c r="M143" s="26"/>
      <c r="N143" s="26"/>
      <c r="O143" s="26"/>
      <c r="P143" s="26"/>
      <c r="Q143" s="26"/>
      <c r="R143" s="26"/>
      <c r="S143" s="26"/>
      <c r="T143" s="124">
        <v>22.833333332668797</v>
      </c>
      <c r="U143" s="124">
        <v>7.1015353837108615</v>
      </c>
      <c r="V143" s="124">
        <v>1.5491616304881385E-2</v>
      </c>
      <c r="W143" s="124">
        <v>8.0195849965449435E-3</v>
      </c>
    </row>
    <row r="144" spans="1:23">
      <c r="A144" s="6"/>
      <c r="B144" s="6"/>
      <c r="C144" s="124"/>
      <c r="D144" s="124"/>
      <c r="E144" s="26"/>
      <c r="F144" s="26"/>
      <c r="G144" s="26"/>
      <c r="H144" s="26"/>
      <c r="I144" s="26"/>
      <c r="J144" s="26"/>
      <c r="K144" s="26"/>
      <c r="L144" s="26"/>
      <c r="M144" s="26"/>
      <c r="N144" s="26"/>
      <c r="O144" s="26"/>
      <c r="P144" s="26"/>
      <c r="Q144" s="26"/>
      <c r="R144" s="26"/>
      <c r="S144" s="26"/>
      <c r="T144" s="124">
        <v>22.999999999330612</v>
      </c>
      <c r="U144" s="124">
        <v>7.1044630385898753</v>
      </c>
      <c r="V144" s="124">
        <v>2.0384184245141719E-2</v>
      </c>
      <c r="W144" s="124">
        <v>2.1322511757473437E-2</v>
      </c>
    </row>
    <row r="145" spans="1:23">
      <c r="A145" s="6"/>
      <c r="B145" s="6"/>
      <c r="C145" s="124"/>
      <c r="D145" s="124"/>
      <c r="E145" s="26"/>
      <c r="F145" s="26"/>
      <c r="G145" s="26"/>
      <c r="H145" s="26"/>
      <c r="I145" s="26"/>
      <c r="J145" s="26"/>
      <c r="K145" s="26"/>
      <c r="L145" s="26"/>
      <c r="M145" s="26"/>
      <c r="N145" s="26"/>
      <c r="O145" s="26"/>
      <c r="P145" s="26"/>
      <c r="Q145" s="26"/>
      <c r="R145" s="26"/>
      <c r="S145" s="26"/>
      <c r="T145" s="124">
        <v>23.16666666599243</v>
      </c>
      <c r="U145" s="124">
        <v>7.1085752770185691</v>
      </c>
      <c r="V145" s="124">
        <v>2.9711053207902408E-2</v>
      </c>
      <c r="W145" s="124">
        <v>3.4625422531205992E-2</v>
      </c>
    </row>
    <row r="146" spans="1:23">
      <c r="A146" s="6"/>
      <c r="B146" s="6"/>
      <c r="C146" s="124"/>
      <c r="D146" s="124"/>
      <c r="E146" s="26"/>
      <c r="F146" s="26"/>
      <c r="G146" s="26"/>
      <c r="H146" s="26"/>
      <c r="I146" s="26"/>
      <c r="J146" s="26"/>
      <c r="K146" s="26"/>
      <c r="L146" s="26"/>
      <c r="M146" s="26"/>
      <c r="N146" s="26"/>
      <c r="O146" s="26"/>
      <c r="P146" s="26"/>
      <c r="Q146" s="26"/>
      <c r="R146" s="26"/>
      <c r="S146" s="26"/>
      <c r="T146" s="124">
        <v>23.333333332654245</v>
      </c>
      <c r="U146" s="124">
        <v>7.1146111491678239</v>
      </c>
      <c r="V146" s="124">
        <v>4.3472223193163455E-2</v>
      </c>
      <c r="W146" s="124">
        <v>4.792831731771658E-2</v>
      </c>
    </row>
    <row r="147" spans="1:23">
      <c r="A147" s="6"/>
      <c r="B147" s="6"/>
      <c r="C147" s="124"/>
      <c r="D147" s="124"/>
      <c r="E147" s="26"/>
      <c r="F147" s="26"/>
      <c r="G147" s="26"/>
      <c r="H147" s="26"/>
      <c r="I147" s="26"/>
      <c r="J147" s="26"/>
      <c r="K147" s="26"/>
      <c r="L147" s="26"/>
      <c r="M147" s="26"/>
      <c r="N147" s="26"/>
      <c r="O147" s="26"/>
      <c r="P147" s="26"/>
      <c r="Q147" s="26"/>
      <c r="R147" s="26"/>
      <c r="S147" s="26"/>
      <c r="T147" s="124">
        <v>23.49999999931606</v>
      </c>
      <c r="U147" s="124">
        <v>7.1233097052085208</v>
      </c>
      <c r="V147" s="124">
        <v>6.1667694200924855E-2</v>
      </c>
      <c r="W147" s="124">
        <v>6.1231212104237577E-2</v>
      </c>
    </row>
    <row r="148" spans="1:23">
      <c r="A148" s="6"/>
      <c r="B148" s="6"/>
      <c r="C148" s="124"/>
      <c r="D148" s="124"/>
      <c r="E148" s="26"/>
      <c r="F148" s="26"/>
      <c r="G148" s="26"/>
      <c r="H148" s="26"/>
      <c r="I148" s="26"/>
      <c r="J148" s="26"/>
      <c r="K148" s="26"/>
      <c r="L148" s="26"/>
      <c r="M148" s="26"/>
      <c r="N148" s="26"/>
      <c r="O148" s="26"/>
      <c r="P148" s="26"/>
      <c r="Q148" s="26"/>
      <c r="R148" s="26"/>
      <c r="S148" s="26"/>
      <c r="T148" s="124">
        <v>23.666666665977878</v>
      </c>
      <c r="U148" s="124">
        <v>7.13540999531154</v>
      </c>
      <c r="V148" s="124">
        <v>8.4297466241844754E-2</v>
      </c>
      <c r="W148" s="124">
        <v>7.4534122877949319E-2</v>
      </c>
    </row>
    <row r="149" spans="1:23">
      <c r="A149" s="6"/>
      <c r="B149" s="6"/>
      <c r="C149" s="124"/>
      <c r="D149" s="124"/>
      <c r="E149" s="26"/>
      <c r="F149" s="26"/>
      <c r="G149" s="26"/>
      <c r="H149" s="26"/>
      <c r="I149" s="26"/>
      <c r="J149" s="26"/>
      <c r="K149" s="26"/>
      <c r="L149" s="26"/>
      <c r="M149" s="26"/>
      <c r="N149" s="26"/>
      <c r="O149" s="26"/>
      <c r="P149" s="26"/>
      <c r="Q149" s="26"/>
      <c r="R149" s="26"/>
      <c r="S149" s="26"/>
      <c r="T149" s="124">
        <v>23.833333332639693</v>
      </c>
      <c r="U149" s="124">
        <v>7.1516510696477624</v>
      </c>
      <c r="V149" s="124">
        <v>0.111361539305265</v>
      </c>
      <c r="W149" s="124">
        <v>8.7837017664449499E-2</v>
      </c>
    </row>
    <row r="150" spans="1:23">
      <c r="A150" s="6"/>
      <c r="B150" s="6"/>
      <c r="C150" s="124"/>
      <c r="D150" s="124"/>
      <c r="E150" s="26"/>
      <c r="F150" s="26"/>
      <c r="G150" s="26"/>
      <c r="H150" s="26"/>
      <c r="I150" s="26"/>
      <c r="J150" s="26"/>
      <c r="K150" s="26"/>
      <c r="L150" s="26"/>
      <c r="M150" s="26"/>
      <c r="N150" s="26"/>
      <c r="O150" s="26"/>
      <c r="P150" s="26"/>
      <c r="Q150" s="26"/>
      <c r="R150" s="26"/>
      <c r="S150" s="26"/>
      <c r="T150" s="124">
        <v>23.999999999301508</v>
      </c>
      <c r="U150" s="124">
        <v>7.1727581087384138</v>
      </c>
      <c r="V150" s="124">
        <v>0.14214801707326952</v>
      </c>
      <c r="W150" s="124">
        <v>8.9028976196402293E-2</v>
      </c>
    </row>
    <row r="151" spans="1:23">
      <c r="A151" s="6"/>
      <c r="B151" s="6"/>
      <c r="C151" s="124"/>
      <c r="D151" s="124"/>
      <c r="E151" s="26"/>
      <c r="F151" s="26"/>
      <c r="G151" s="26"/>
      <c r="H151" s="26"/>
      <c r="I151" s="26"/>
      <c r="J151" s="26"/>
      <c r="K151" s="26"/>
      <c r="L151" s="26"/>
      <c r="M151" s="26"/>
      <c r="N151" s="26"/>
      <c r="O151" s="26"/>
      <c r="P151" s="26"/>
      <c r="Q151" s="26"/>
      <c r="R151" s="26"/>
      <c r="S151" s="26"/>
      <c r="T151" s="124">
        <v>24.166666665963326</v>
      </c>
      <c r="U151" s="124">
        <v>7.1987243150723135</v>
      </c>
      <c r="V151" s="124">
        <v>0.1682985061282192</v>
      </c>
      <c r="W151" s="124">
        <v>6.7895113535309887E-2</v>
      </c>
    </row>
    <row r="152" spans="1:23">
      <c r="A152" s="6"/>
      <c r="B152" s="6"/>
      <c r="C152" s="124"/>
      <c r="D152" s="124"/>
      <c r="E152" s="26"/>
      <c r="F152" s="26"/>
      <c r="G152" s="26"/>
      <c r="H152" s="26"/>
      <c r="I152" s="26"/>
      <c r="J152" s="26"/>
      <c r="K152" s="26"/>
      <c r="L152" s="26"/>
      <c r="M152" s="26"/>
      <c r="N152" s="26"/>
      <c r="O152" s="26"/>
      <c r="P152" s="26"/>
      <c r="Q152" s="26"/>
      <c r="R152" s="26"/>
      <c r="S152" s="26"/>
      <c r="T152" s="124">
        <v>24.333333332625141</v>
      </c>
      <c r="U152" s="124">
        <v>7.2284624710611984</v>
      </c>
      <c r="V152" s="124">
        <v>0.1874043683064571</v>
      </c>
      <c r="W152" s="124">
        <v>4.6761202912499536E-2</v>
      </c>
    </row>
    <row r="153" spans="1:23">
      <c r="A153" s="6"/>
      <c r="B153" s="6"/>
      <c r="C153" s="124"/>
      <c r="D153" s="124"/>
      <c r="E153" s="26"/>
      <c r="F153" s="26"/>
      <c r="G153" s="26"/>
      <c r="H153" s="26"/>
      <c r="I153" s="26"/>
      <c r="J153" s="26"/>
      <c r="K153" s="26"/>
      <c r="L153" s="26"/>
      <c r="M153" s="26"/>
      <c r="N153" s="26"/>
      <c r="O153" s="26"/>
      <c r="P153" s="26"/>
      <c r="Q153" s="26"/>
      <c r="R153" s="26"/>
      <c r="S153" s="26"/>
      <c r="T153" s="124">
        <v>24.499999999286956</v>
      </c>
      <c r="U153" s="124">
        <v>7.2607984722262389</v>
      </c>
      <c r="V153" s="124">
        <v>0.19946560361331228</v>
      </c>
      <c r="W153" s="124">
        <v>2.5627324264195565E-2</v>
      </c>
    </row>
    <row r="154" spans="1:23">
      <c r="A154" s="6"/>
      <c r="B154" s="6"/>
      <c r="C154" s="124"/>
      <c r="D154" s="124"/>
      <c r="E154" s="26"/>
      <c r="F154" s="26"/>
      <c r="G154" s="26"/>
      <c r="H154" s="26"/>
      <c r="I154" s="26"/>
      <c r="J154" s="26"/>
      <c r="K154" s="26"/>
      <c r="L154" s="26"/>
      <c r="M154" s="26"/>
      <c r="N154" s="26"/>
      <c r="O154" s="26"/>
      <c r="P154" s="26"/>
      <c r="Q154" s="26"/>
      <c r="R154" s="26"/>
      <c r="S154" s="26"/>
      <c r="T154" s="124">
        <v>24.666666665948775</v>
      </c>
      <c r="U154" s="124">
        <v>7.2945582140886085</v>
      </c>
      <c r="V154" s="124">
        <v>0.20448221204878475</v>
      </c>
      <c r="W154" s="124">
        <v>4.4934456158083249E-3</v>
      </c>
    </row>
    <row r="155" spans="1:23">
      <c r="A155" s="6"/>
      <c r="B155" s="6"/>
      <c r="C155" s="124"/>
      <c r="D155" s="124"/>
      <c r="E155" s="26"/>
      <c r="F155" s="26"/>
      <c r="G155" s="26"/>
      <c r="H155" s="26"/>
      <c r="I155" s="26"/>
      <c r="J155" s="26"/>
      <c r="K155" s="26"/>
      <c r="L155" s="26"/>
      <c r="M155" s="26"/>
      <c r="N155" s="26"/>
      <c r="O155" s="26"/>
      <c r="P155" s="26"/>
      <c r="Q155" s="26"/>
      <c r="R155" s="26"/>
      <c r="S155" s="26"/>
      <c r="T155" s="124">
        <v>24.833333332610589</v>
      </c>
      <c r="U155" s="124">
        <v>7.3285675921694766</v>
      </c>
      <c r="V155" s="124">
        <v>0.20245419360754546</v>
      </c>
      <c r="W155" s="124">
        <v>-1.6640433032495645E-2</v>
      </c>
    </row>
    <row r="156" spans="1:23">
      <c r="A156" s="6"/>
      <c r="B156" s="6"/>
      <c r="C156" s="124"/>
      <c r="D156" s="124"/>
      <c r="E156" s="26"/>
      <c r="F156" s="26"/>
      <c r="G156" s="26"/>
      <c r="H156" s="26"/>
      <c r="I156" s="26"/>
      <c r="J156" s="26"/>
      <c r="K156" s="26"/>
      <c r="L156" s="26"/>
      <c r="M156" s="26"/>
      <c r="N156" s="26"/>
      <c r="O156" s="26"/>
      <c r="P156" s="26"/>
      <c r="Q156" s="26"/>
      <c r="R156" s="26"/>
      <c r="S156" s="26"/>
      <c r="T156" s="124">
        <v>24.999999999272404</v>
      </c>
      <c r="U156" s="124">
        <v>7.3616525019900161</v>
      </c>
      <c r="V156" s="124">
        <v>0.1933815483002525</v>
      </c>
      <c r="W156" s="124">
        <v>-3.7774295693671328E-2</v>
      </c>
    </row>
    <row r="157" spans="1:23">
      <c r="A157" s="6"/>
      <c r="B157" s="6"/>
      <c r="C157" s="124"/>
      <c r="D157" s="124"/>
      <c r="E157" s="26"/>
      <c r="F157" s="26"/>
      <c r="G157" s="26"/>
      <c r="H157" s="26"/>
      <c r="I157" s="26"/>
      <c r="J157" s="26"/>
      <c r="K157" s="26"/>
      <c r="L157" s="26"/>
      <c r="M157" s="26"/>
      <c r="N157" s="26"/>
      <c r="O157" s="26"/>
      <c r="P157" s="26"/>
      <c r="Q157" s="26"/>
      <c r="R157" s="26"/>
      <c r="S157" s="26"/>
      <c r="T157" s="124">
        <v>25.166666665934223</v>
      </c>
      <c r="U157" s="124">
        <v>7.3926388390713997</v>
      </c>
      <c r="V157" s="124">
        <v>0.17726427611091872</v>
      </c>
      <c r="W157" s="124">
        <v>-5.8908190329186857E-2</v>
      </c>
    </row>
    <row r="158" spans="1:23">
      <c r="A158" s="6"/>
      <c r="B158" s="6"/>
      <c r="C158" s="124"/>
      <c r="D158" s="124"/>
      <c r="E158" s="26"/>
      <c r="F158" s="26"/>
      <c r="G158" s="26"/>
      <c r="H158" s="26"/>
      <c r="I158" s="26"/>
      <c r="J158" s="26"/>
      <c r="K158" s="26"/>
      <c r="L158" s="26"/>
      <c r="M158" s="26"/>
      <c r="N158" s="26"/>
      <c r="O158" s="26"/>
      <c r="P158" s="26"/>
      <c r="Q158" s="26"/>
      <c r="R158" s="26"/>
      <c r="S158" s="26"/>
      <c r="T158" s="124">
        <v>25.333333332596037</v>
      </c>
      <c r="U158" s="124">
        <v>7.4203524989347978</v>
      </c>
      <c r="V158" s="124">
        <v>0.15410237705553129</v>
      </c>
      <c r="W158" s="124">
        <v>-8.0042068977490832E-2</v>
      </c>
    </row>
    <row r="159" spans="1:23">
      <c r="A159" s="6"/>
      <c r="B159" s="6"/>
      <c r="C159" s="124"/>
      <c r="D159" s="124"/>
      <c r="E159" s="26"/>
      <c r="F159" s="26"/>
      <c r="G159" s="26"/>
      <c r="H159" s="26"/>
      <c r="I159" s="26"/>
      <c r="J159" s="26"/>
      <c r="K159" s="26"/>
      <c r="L159" s="26"/>
      <c r="M159" s="26"/>
      <c r="N159" s="26"/>
      <c r="O159" s="26"/>
      <c r="P159" s="26"/>
      <c r="Q159" s="26"/>
      <c r="R159" s="26"/>
      <c r="S159" s="26"/>
      <c r="T159" s="124">
        <v>25.499999999257852</v>
      </c>
      <c r="U159" s="124">
        <v>7.4436693975898596</v>
      </c>
      <c r="V159" s="124">
        <v>0.12575507696876606</v>
      </c>
      <c r="W159" s="124">
        <v>-7.8235306238017985E-2</v>
      </c>
    </row>
    <row r="160" spans="1:23">
      <c r="A160" s="6"/>
      <c r="B160" s="6"/>
      <c r="C160" s="124"/>
      <c r="D160" s="124"/>
      <c r="E160" s="26"/>
      <c r="F160" s="26"/>
      <c r="G160" s="26"/>
      <c r="H160" s="26"/>
      <c r="I160" s="26"/>
      <c r="J160" s="26"/>
      <c r="K160" s="26"/>
      <c r="L160" s="26"/>
      <c r="M160" s="26"/>
      <c r="N160" s="26"/>
      <c r="O160" s="26"/>
      <c r="P160" s="26"/>
      <c r="Q160" s="26"/>
      <c r="R160" s="26"/>
      <c r="S160" s="26"/>
      <c r="T160" s="124">
        <v>25.666666665919671</v>
      </c>
      <c r="U160" s="124">
        <v>7.4626995860586129</v>
      </c>
      <c r="V160" s="124">
        <v>0.10403769790504311</v>
      </c>
      <c r="W160" s="124">
        <v>-5.2095144201475693E-2</v>
      </c>
    </row>
    <row r="161" spans="1:23">
      <c r="A161" s="6"/>
      <c r="B161" s="6"/>
      <c r="C161" s="124"/>
      <c r="D161" s="124"/>
      <c r="E161" s="26"/>
      <c r="F161" s="26"/>
      <c r="G161" s="26"/>
      <c r="H161" s="26"/>
      <c r="I161" s="26"/>
      <c r="J161" s="26"/>
      <c r="K161" s="26"/>
      <c r="L161" s="26"/>
      <c r="M161" s="26"/>
      <c r="N161" s="26"/>
      <c r="O161" s="26"/>
      <c r="P161" s="26"/>
      <c r="Q161" s="26"/>
      <c r="R161" s="26"/>
      <c r="S161" s="26"/>
      <c r="T161" s="124">
        <v>25.833333332581486</v>
      </c>
      <c r="U161" s="124">
        <v>7.4788356012739374</v>
      </c>
      <c r="V161" s="124">
        <v>9.1033711318451602E-2</v>
      </c>
      <c r="W161" s="124">
        <v>-2.5954950190593563E-2</v>
      </c>
    </row>
    <row r="162" spans="1:23">
      <c r="A162" s="6"/>
      <c r="B162" s="6"/>
      <c r="C162" s="124"/>
      <c r="D162" s="124"/>
      <c r="E162" s="26"/>
      <c r="F162" s="26"/>
      <c r="G162" s="26"/>
      <c r="H162" s="26"/>
      <c r="I162" s="26"/>
      <c r="J162" s="26"/>
      <c r="K162" s="26"/>
      <c r="L162" s="26"/>
      <c r="M162" s="26"/>
      <c r="N162" s="26"/>
      <c r="O162" s="26"/>
      <c r="P162" s="26"/>
      <c r="Q162" s="26"/>
      <c r="R162" s="26"/>
      <c r="S162" s="26"/>
      <c r="T162" s="124">
        <v>25.9999999992433</v>
      </c>
      <c r="U162" s="124">
        <v>7.4935296753140985</v>
      </c>
      <c r="V162" s="124">
        <v>8.67431171983334E-2</v>
      </c>
      <c r="W162" s="124">
        <v>1.8522783307701253E-4</v>
      </c>
    </row>
    <row r="163" spans="1:23">
      <c r="A163" s="6"/>
      <c r="B163" s="6"/>
      <c r="C163" s="124"/>
      <c r="D163" s="124"/>
      <c r="E163" s="26"/>
      <c r="F163" s="26"/>
      <c r="G163" s="26"/>
      <c r="H163" s="26"/>
      <c r="I163" s="26"/>
      <c r="J163" s="26"/>
      <c r="K163" s="26"/>
      <c r="L163" s="26"/>
      <c r="M163" s="26"/>
      <c r="N163" s="26"/>
      <c r="O163" s="26"/>
      <c r="P163" s="26"/>
      <c r="Q163" s="26"/>
      <c r="R163" s="26"/>
      <c r="S163" s="26"/>
      <c r="T163" s="124">
        <v>26.166666665905119</v>
      </c>
      <c r="U163" s="124">
        <v>7.5082340402573609</v>
      </c>
      <c r="V163" s="124">
        <v>9.1165915550017573E-2</v>
      </c>
      <c r="W163" s="124">
        <v>2.6325405856747589E-2</v>
      </c>
    </row>
    <row r="164" spans="1:23">
      <c r="A164" s="6"/>
      <c r="B164" s="6"/>
      <c r="C164" s="124"/>
      <c r="D164" s="124"/>
      <c r="E164" s="26"/>
      <c r="F164" s="26"/>
      <c r="G164" s="26"/>
      <c r="H164" s="26"/>
      <c r="I164" s="26"/>
      <c r="J164" s="26"/>
      <c r="K164" s="26"/>
      <c r="L164" s="26"/>
      <c r="M164" s="26"/>
      <c r="N164" s="26"/>
      <c r="O164" s="26"/>
      <c r="P164" s="26"/>
      <c r="Q164" s="26"/>
      <c r="R164" s="26"/>
      <c r="S164" s="26"/>
      <c r="T164" s="124">
        <v>26.333333332566934</v>
      </c>
      <c r="U164" s="124">
        <v>7.5244009281819881</v>
      </c>
      <c r="V164" s="124">
        <v>0.10430210636817505</v>
      </c>
      <c r="W164" s="124">
        <v>5.2465583880418165E-2</v>
      </c>
    </row>
    <row r="165" spans="1:23">
      <c r="A165" s="6"/>
      <c r="B165" s="6"/>
      <c r="C165" s="124"/>
      <c r="D165" s="124"/>
      <c r="E165" s="26"/>
      <c r="F165" s="26"/>
      <c r="G165" s="26"/>
      <c r="H165" s="26"/>
      <c r="I165" s="26"/>
      <c r="J165" s="26"/>
      <c r="K165" s="26"/>
      <c r="L165" s="26"/>
      <c r="M165" s="26"/>
      <c r="N165" s="26"/>
      <c r="O165" s="26"/>
      <c r="P165" s="26"/>
      <c r="Q165" s="26"/>
      <c r="R165" s="26"/>
      <c r="S165" s="26"/>
      <c r="T165" s="124">
        <v>26.499999999228748</v>
      </c>
      <c r="U165" s="124">
        <v>7.543482571166245</v>
      </c>
      <c r="V165" s="124">
        <v>0.12615168965813492</v>
      </c>
      <c r="W165" s="124">
        <v>7.8605761904088745E-2</v>
      </c>
    </row>
    <row r="166" spans="1:23">
      <c r="A166" s="6"/>
      <c r="B166" s="6"/>
      <c r="C166" s="124"/>
      <c r="D166" s="124"/>
      <c r="E166" s="26"/>
      <c r="F166" s="26"/>
      <c r="G166" s="26"/>
      <c r="H166" s="26"/>
      <c r="I166" s="26"/>
      <c r="J166" s="26"/>
      <c r="K166" s="26"/>
      <c r="L166" s="26"/>
      <c r="M166" s="26"/>
      <c r="N166" s="26"/>
      <c r="O166" s="26"/>
      <c r="P166" s="26"/>
      <c r="Q166" s="26"/>
      <c r="R166" s="26"/>
      <c r="S166" s="26"/>
      <c r="T166" s="124">
        <v>26.666666665890567</v>
      </c>
      <c r="U166" s="124">
        <v>7.5669201369895633</v>
      </c>
      <c r="V166" s="124">
        <v>0.1560222500095354</v>
      </c>
      <c r="W166" s="124">
        <v>9.0401590218885733E-2</v>
      </c>
    </row>
    <row r="167" spans="1:23">
      <c r="A167" s="6"/>
      <c r="B167" s="6"/>
      <c r="C167" s="124"/>
      <c r="D167" s="124"/>
      <c r="E167" s="26"/>
      <c r="F167" s="26"/>
      <c r="G167" s="26"/>
      <c r="H167" s="26"/>
      <c r="I167" s="26"/>
      <c r="J167" s="26"/>
      <c r="K167" s="26"/>
      <c r="L167" s="26"/>
      <c r="M167" s="26"/>
      <c r="N167" s="26"/>
      <c r="O167" s="26"/>
      <c r="P167" s="26"/>
      <c r="Q167" s="26"/>
      <c r="R167" s="26"/>
      <c r="S167" s="26"/>
      <c r="T167" s="124">
        <v>26.833333332552382</v>
      </c>
      <c r="U167" s="124">
        <v>7.5952143533813015</v>
      </c>
      <c r="V167" s="124">
        <v>0.18222573144297197</v>
      </c>
      <c r="W167" s="124">
        <v>6.6842851257966893E-2</v>
      </c>
    </row>
    <row r="168" spans="1:23">
      <c r="A168" s="6"/>
      <c r="B168" s="6"/>
      <c r="C168" s="124"/>
      <c r="D168" s="124"/>
      <c r="E168" s="26"/>
      <c r="F168" s="26"/>
      <c r="G168" s="26"/>
      <c r="H168" s="26"/>
      <c r="I168" s="26"/>
      <c r="J168" s="26"/>
      <c r="K168" s="26"/>
      <c r="L168" s="26"/>
      <c r="M168" s="26"/>
      <c r="N168" s="26"/>
      <c r="O168" s="26"/>
      <c r="P168" s="26"/>
      <c r="Q168" s="26"/>
      <c r="R168" s="26"/>
      <c r="S168" s="26"/>
      <c r="T168" s="124">
        <v>26.999999999214197</v>
      </c>
      <c r="U168" s="124">
        <v>7.6272220610639767</v>
      </c>
      <c r="V168" s="124">
        <v>0.20057629258347418</v>
      </c>
      <c r="W168" s="124">
        <v>4.3284080322541676E-2</v>
      </c>
    </row>
    <row r="169" spans="1:23">
      <c r="A169" s="6"/>
      <c r="B169" s="6"/>
      <c r="C169" s="124"/>
      <c r="D169" s="124"/>
      <c r="E169" s="26"/>
      <c r="F169" s="26"/>
      <c r="G169" s="26"/>
      <c r="H169" s="26"/>
      <c r="I169" s="26"/>
      <c r="J169" s="26"/>
      <c r="K169" s="26"/>
      <c r="L169" s="26"/>
      <c r="M169" s="26"/>
      <c r="N169" s="26"/>
      <c r="O169" s="26"/>
      <c r="P169" s="26"/>
      <c r="Q169" s="26"/>
      <c r="R169" s="26"/>
      <c r="S169" s="26"/>
      <c r="T169" s="124">
        <v>27.166666665876015</v>
      </c>
      <c r="U169" s="124">
        <v>7.6616344399895135</v>
      </c>
      <c r="V169" s="124">
        <v>0.2110739334363711</v>
      </c>
      <c r="W169" s="124">
        <v>1.972530938703319E-2</v>
      </c>
    </row>
    <row r="170" spans="1:23">
      <c r="A170" s="6"/>
      <c r="B170" s="6"/>
      <c r="C170" s="124"/>
      <c r="D170" s="124"/>
      <c r="E170" s="26"/>
      <c r="F170" s="26"/>
      <c r="G170" s="26"/>
      <c r="H170" s="26"/>
      <c r="I170" s="26"/>
      <c r="J170" s="26"/>
      <c r="K170" s="26"/>
      <c r="L170" s="26"/>
      <c r="M170" s="26"/>
      <c r="N170" s="26"/>
      <c r="O170" s="26"/>
      <c r="P170" s="26"/>
      <c r="Q170" s="26"/>
      <c r="R170" s="26"/>
      <c r="S170" s="26"/>
      <c r="T170" s="124">
        <v>27.33333333253783</v>
      </c>
      <c r="U170" s="124">
        <v>7.6971426701098338</v>
      </c>
      <c r="V170" s="124">
        <v>0.21371865400166276</v>
      </c>
      <c r="W170" s="124">
        <v>-3.8334295740521836E-3</v>
      </c>
    </row>
    <row r="171" spans="1:23">
      <c r="A171" s="6"/>
      <c r="B171" s="6"/>
      <c r="C171" s="124"/>
      <c r="D171" s="124"/>
      <c r="E171" s="26"/>
      <c r="F171" s="26"/>
      <c r="G171" s="26"/>
      <c r="H171" s="26"/>
      <c r="I171" s="26"/>
      <c r="J171" s="26"/>
      <c r="K171" s="26"/>
      <c r="L171" s="26"/>
      <c r="M171" s="26"/>
      <c r="N171" s="26"/>
      <c r="O171" s="26"/>
      <c r="P171" s="26"/>
      <c r="Q171" s="26"/>
      <c r="R171" s="26"/>
      <c r="S171" s="26"/>
      <c r="T171" s="124">
        <v>27.499999999199645</v>
      </c>
      <c r="U171" s="124">
        <v>7.7324379313768636</v>
      </c>
      <c r="V171" s="124">
        <v>0.20851045427934917</v>
      </c>
      <c r="W171" s="124">
        <v>-2.7392184522265845E-2</v>
      </c>
    </row>
    <row r="172" spans="1:23">
      <c r="A172" s="6"/>
      <c r="B172" s="6"/>
      <c r="C172" s="124"/>
      <c r="D172" s="124"/>
      <c r="E172" s="26"/>
      <c r="F172" s="26"/>
      <c r="G172" s="26"/>
      <c r="H172" s="26"/>
      <c r="I172" s="26"/>
      <c r="J172" s="26"/>
      <c r="K172" s="26"/>
      <c r="L172" s="26"/>
      <c r="M172" s="26"/>
      <c r="N172" s="26"/>
      <c r="O172" s="26"/>
      <c r="P172" s="26"/>
      <c r="Q172" s="26"/>
      <c r="R172" s="26"/>
      <c r="S172" s="26"/>
      <c r="T172" s="124">
        <v>27.666666665861463</v>
      </c>
      <c r="U172" s="124">
        <v>7.7663174100178933</v>
      </c>
      <c r="V172" s="124">
        <v>0.19820119339941178</v>
      </c>
      <c r="W172" s="124">
        <v>-2.7207228471785271E-2</v>
      </c>
    </row>
    <row r="173" spans="1:23">
      <c r="A173" s="6"/>
      <c r="B173" s="6"/>
      <c r="C173" s="124"/>
      <c r="D173" s="124"/>
      <c r="E173" s="26"/>
      <c r="F173" s="26"/>
      <c r="G173" s="26"/>
      <c r="H173" s="26"/>
      <c r="I173" s="26"/>
      <c r="J173" s="26"/>
      <c r="K173" s="26"/>
      <c r="L173" s="26"/>
      <c r="M173" s="26"/>
      <c r="N173" s="26"/>
      <c r="O173" s="26"/>
      <c r="P173" s="26"/>
      <c r="Q173" s="26"/>
      <c r="R173" s="26"/>
      <c r="S173" s="26"/>
      <c r="T173" s="124">
        <v>27.833333332523278</v>
      </c>
      <c r="U173" s="124">
        <v>7.7986944130431031</v>
      </c>
      <c r="V173" s="124">
        <v>0.19090637631813898</v>
      </c>
      <c r="W173" s="124">
        <v>-1.6572311524059503E-2</v>
      </c>
    </row>
    <row r="174" spans="1:23">
      <c r="A174" s="6"/>
      <c r="B174" s="6"/>
      <c r="C174" s="124"/>
      <c r="D174" s="124"/>
      <c r="E174" s="26"/>
      <c r="F174" s="26"/>
      <c r="G174" s="26"/>
      <c r="H174" s="26"/>
      <c r="I174" s="26"/>
      <c r="J174" s="26"/>
      <c r="K174" s="26"/>
      <c r="L174" s="26"/>
      <c r="M174" s="26"/>
      <c r="N174" s="26"/>
      <c r="O174" s="26"/>
      <c r="P174" s="26"/>
      <c r="Q174" s="26"/>
      <c r="R174" s="26"/>
      <c r="S174" s="26"/>
      <c r="T174" s="124">
        <v>27.999999999185093</v>
      </c>
      <c r="U174" s="124">
        <v>7.8301507322134034</v>
      </c>
      <c r="V174" s="124">
        <v>0.18715653211754521</v>
      </c>
      <c r="W174" s="124">
        <v>-5.9373626019106271E-3</v>
      </c>
    </row>
    <row r="175" spans="1:23">
      <c r="A175" s="6"/>
      <c r="B175" s="6"/>
      <c r="C175" s="124"/>
      <c r="D175" s="124"/>
      <c r="E175" s="26"/>
      <c r="F175" s="26"/>
      <c r="G175" s="26"/>
      <c r="H175" s="26"/>
      <c r="I175" s="26"/>
      <c r="J175" s="26"/>
      <c r="K175" s="26"/>
      <c r="L175" s="26"/>
      <c r="M175" s="26"/>
      <c r="N175" s="26"/>
      <c r="O175" s="26"/>
      <c r="P175" s="26"/>
      <c r="Q175" s="26"/>
      <c r="R175" s="26"/>
      <c r="S175" s="26"/>
      <c r="T175" s="124">
        <v>28.166666665846911</v>
      </c>
      <c r="U175" s="124">
        <v>7.8612771963413008</v>
      </c>
      <c r="V175" s="124">
        <v>0.18695166078164327</v>
      </c>
      <c r="W175" s="124">
        <v>4.6975223713087624E-3</v>
      </c>
    </row>
    <row r="176" spans="1:23">
      <c r="A176" s="6"/>
      <c r="B176" s="6"/>
      <c r="C176" s="124"/>
      <c r="D176" s="124"/>
      <c r="E176" s="26"/>
      <c r="F176" s="26"/>
      <c r="G176" s="26"/>
      <c r="H176" s="26"/>
      <c r="I176" s="26"/>
      <c r="J176" s="26"/>
      <c r="K176" s="26"/>
      <c r="L176" s="26"/>
      <c r="M176" s="26"/>
      <c r="N176" s="26"/>
      <c r="O176" s="26"/>
      <c r="P176" s="26"/>
      <c r="Q176" s="26"/>
      <c r="R176" s="26"/>
      <c r="S176" s="26"/>
      <c r="T176" s="124">
        <v>28.333333332508726</v>
      </c>
      <c r="U176" s="124">
        <v>7.8927635297395575</v>
      </c>
      <c r="V176" s="124">
        <v>0.19395199220038553</v>
      </c>
      <c r="W176" s="124">
        <v>6.0303921859662185E-2</v>
      </c>
    </row>
    <row r="177" spans="1:23">
      <c r="A177" s="6"/>
      <c r="B177" s="6"/>
      <c r="C177" s="124"/>
      <c r="D177" s="124"/>
      <c r="E177" s="26"/>
      <c r="F177" s="26"/>
      <c r="G177" s="26"/>
      <c r="H177" s="26"/>
      <c r="I177" s="26"/>
      <c r="J177" s="26"/>
      <c r="K177" s="26"/>
      <c r="L177" s="26"/>
      <c r="M177" s="26"/>
      <c r="N177" s="26"/>
      <c r="O177" s="26"/>
      <c r="P177" s="26"/>
      <c r="Q177" s="26"/>
      <c r="R177" s="26"/>
      <c r="S177" s="26"/>
      <c r="T177" s="124">
        <v>28.499999999170541</v>
      </c>
      <c r="U177" s="124">
        <v>7.9277152071752059</v>
      </c>
      <c r="V177" s="124">
        <v>0.23122287557837556</v>
      </c>
      <c r="W177" s="124">
        <v>0.16321844676764746</v>
      </c>
    </row>
    <row r="178" spans="1:23">
      <c r="A178" s="6"/>
      <c r="B178" s="6"/>
      <c r="C178" s="124"/>
      <c r="D178" s="124"/>
      <c r="E178" s="26"/>
      <c r="F178" s="26"/>
      <c r="G178" s="26"/>
      <c r="H178" s="26"/>
      <c r="I178" s="26"/>
      <c r="J178" s="26"/>
      <c r="K178" s="26"/>
      <c r="L178" s="26"/>
      <c r="M178" s="26"/>
      <c r="N178" s="26"/>
      <c r="O178" s="26"/>
      <c r="P178" s="26"/>
      <c r="Q178" s="26"/>
      <c r="R178" s="26"/>
      <c r="S178" s="26"/>
      <c r="T178" s="124">
        <v>28.666666665832359</v>
      </c>
      <c r="U178" s="124">
        <v>7.9717345764590002</v>
      </c>
      <c r="V178" s="124">
        <v>0.30279859922181812</v>
      </c>
      <c r="W178" s="124">
        <v>0.2661329716757993</v>
      </c>
    </row>
    <row r="179" spans="1:23">
      <c r="A179" s="6"/>
      <c r="B179" s="6"/>
      <c r="C179" s="124"/>
      <c r="D179" s="124"/>
      <c r="E179" s="26"/>
      <c r="F179" s="26"/>
      <c r="G179" s="26"/>
      <c r="H179" s="26"/>
      <c r="I179" s="26"/>
      <c r="J179" s="26"/>
      <c r="K179" s="26"/>
      <c r="L179" s="26"/>
      <c r="M179" s="26"/>
      <c r="N179" s="26"/>
      <c r="O179" s="26"/>
      <c r="P179" s="26"/>
      <c r="Q179" s="26"/>
      <c r="R179" s="26"/>
      <c r="S179" s="26"/>
      <c r="T179" s="124">
        <v>28.833333332494174</v>
      </c>
      <c r="U179" s="124">
        <v>8.0305262905348318</v>
      </c>
      <c r="V179" s="124">
        <v>0.4081000678203251</v>
      </c>
      <c r="W179" s="124">
        <v>0.36037179642500405</v>
      </c>
    </row>
    <row r="180" spans="1:23">
      <c r="A180" s="6"/>
      <c r="B180" s="6"/>
      <c r="C180" s="124"/>
      <c r="D180" s="124"/>
      <c r="E180" s="26"/>
      <c r="F180" s="26"/>
      <c r="G180" s="26"/>
      <c r="H180" s="26"/>
      <c r="I180" s="26"/>
      <c r="J180" s="26"/>
      <c r="K180" s="26"/>
      <c r="L180" s="26"/>
      <c r="M180" s="26"/>
      <c r="N180" s="26"/>
      <c r="O180" s="26"/>
      <c r="P180" s="26"/>
      <c r="Q180" s="26"/>
      <c r="R180" s="26"/>
      <c r="S180" s="26"/>
      <c r="T180" s="124">
        <v>28.999999999155989</v>
      </c>
      <c r="U180" s="124">
        <v>8.1092951190074949</v>
      </c>
      <c r="V180" s="124">
        <v>0.54177053780235751</v>
      </c>
      <c r="W180" s="124">
        <v>0.4415697887593944</v>
      </c>
    </row>
    <row r="181" spans="1:23">
      <c r="A181" s="6"/>
      <c r="B181" s="6"/>
      <c r="C181" s="124"/>
      <c r="D181" s="124"/>
      <c r="E181" s="26"/>
      <c r="F181" s="26"/>
      <c r="G181" s="26"/>
      <c r="H181" s="26"/>
      <c r="I181" s="26"/>
      <c r="J181" s="26"/>
      <c r="K181" s="26"/>
      <c r="L181" s="26"/>
      <c r="M181" s="26"/>
      <c r="N181" s="26"/>
      <c r="O181" s="26"/>
      <c r="P181" s="26"/>
      <c r="Q181" s="26"/>
      <c r="R181" s="26"/>
      <c r="S181" s="26"/>
      <c r="T181" s="124">
        <v>29.166666665817807</v>
      </c>
      <c r="U181" s="124">
        <v>8.2125995512659742</v>
      </c>
      <c r="V181" s="124">
        <v>0.7029249762302866</v>
      </c>
      <c r="W181" s="124">
        <v>0.53734488861610485</v>
      </c>
    </row>
    <row r="182" spans="1:23">
      <c r="A182" s="6"/>
      <c r="B182" s="6"/>
      <c r="C182" s="124"/>
      <c r="D182" s="124"/>
      <c r="E182" s="26"/>
      <c r="F182" s="26"/>
      <c r="G182" s="26"/>
      <c r="H182" s="26"/>
      <c r="I182" s="26"/>
      <c r="J182" s="26"/>
      <c r="K182" s="26"/>
      <c r="L182" s="26"/>
      <c r="M182" s="26"/>
      <c r="N182" s="26"/>
      <c r="O182" s="26"/>
      <c r="P182" s="26"/>
      <c r="Q182" s="26"/>
      <c r="R182" s="26"/>
      <c r="S182" s="26"/>
      <c r="T182" s="124">
        <v>29.333333332479622</v>
      </c>
      <c r="U182" s="124">
        <v>8.3462059920003622</v>
      </c>
      <c r="V182" s="124">
        <v>0.90980494447540072</v>
      </c>
      <c r="W182" s="124">
        <v>0.70376853149261986</v>
      </c>
    </row>
    <row r="183" spans="1:23">
      <c r="A183" s="6"/>
      <c r="B183" s="6"/>
      <c r="C183" s="124"/>
      <c r="D183" s="124"/>
      <c r="E183" s="26"/>
      <c r="F183" s="26"/>
      <c r="G183" s="26"/>
      <c r="H183" s="26"/>
      <c r="I183" s="26"/>
      <c r="J183" s="26"/>
      <c r="K183" s="26"/>
      <c r="L183" s="26"/>
      <c r="M183" s="26"/>
      <c r="N183" s="26"/>
      <c r="O183" s="26"/>
      <c r="P183" s="26"/>
      <c r="Q183" s="26"/>
      <c r="R183" s="26"/>
      <c r="S183" s="26"/>
      <c r="T183" s="124">
        <v>29.499999999141437</v>
      </c>
      <c r="U183" s="124">
        <v>8.5189579261834609</v>
      </c>
      <c r="V183" s="124">
        <v>1.173630053122616</v>
      </c>
      <c r="W183" s="124">
        <v>0.88539892223017402</v>
      </c>
    </row>
    <row r="184" spans="1:23">
      <c r="A184" s="6"/>
      <c r="B184" s="6"/>
      <c r="C184" s="124"/>
      <c r="D184" s="124"/>
      <c r="E184" s="26"/>
      <c r="F184" s="26"/>
      <c r="G184" s="26"/>
      <c r="H184" s="26"/>
      <c r="I184" s="26"/>
      <c r="J184" s="26"/>
      <c r="K184" s="26"/>
      <c r="L184" s="26"/>
      <c r="M184" s="26"/>
      <c r="N184" s="26"/>
      <c r="O184" s="26"/>
      <c r="P184" s="26"/>
      <c r="Q184" s="26"/>
      <c r="R184" s="26"/>
      <c r="S184" s="26"/>
      <c r="T184" s="124">
        <v>29.666666665803255</v>
      </c>
      <c r="U184" s="124">
        <v>8.7405712164179672</v>
      </c>
      <c r="V184" s="124">
        <v>1.4869333399018845</v>
      </c>
      <c r="W184" s="124">
        <v>0.89054952217687011</v>
      </c>
    </row>
    <row r="185" spans="1:23">
      <c r="A185" s="6"/>
      <c r="B185" s="6"/>
      <c r="C185" s="124"/>
      <c r="D185" s="124"/>
      <c r="E185" s="26"/>
      <c r="F185" s="26"/>
      <c r="G185" s="26"/>
      <c r="H185" s="26"/>
      <c r="I185" s="26"/>
      <c r="J185" s="26"/>
      <c r="K185" s="26"/>
      <c r="L185" s="26"/>
      <c r="M185" s="26"/>
      <c r="N185" s="26"/>
      <c r="O185" s="26"/>
      <c r="P185" s="26"/>
      <c r="Q185" s="26"/>
      <c r="R185" s="26"/>
      <c r="S185" s="26"/>
      <c r="T185" s="124">
        <v>29.83333333246507</v>
      </c>
      <c r="U185" s="124">
        <v>9.0108302989836648</v>
      </c>
      <c r="V185" s="124">
        <v>1.7410741538706376</v>
      </c>
      <c r="W185" s="124">
        <v>0.62336212995066753</v>
      </c>
    </row>
    <row r="186" spans="1:23">
      <c r="A186" s="6"/>
      <c r="B186" s="6"/>
      <c r="C186" s="124"/>
      <c r="D186" s="124"/>
      <c r="E186" s="26"/>
      <c r="F186" s="26"/>
      <c r="G186" s="26"/>
      <c r="H186" s="26"/>
      <c r="I186" s="26"/>
      <c r="J186" s="26"/>
      <c r="K186" s="26"/>
      <c r="L186" s="26"/>
      <c r="M186" s="26"/>
      <c r="N186" s="26"/>
      <c r="O186" s="26"/>
      <c r="P186" s="26"/>
      <c r="Q186" s="26"/>
      <c r="R186" s="26"/>
      <c r="S186" s="26"/>
      <c r="T186" s="124">
        <v>29.999999999126885</v>
      </c>
      <c r="U186" s="124">
        <v>9.3156319267701111</v>
      </c>
      <c r="V186" s="124">
        <v>1.8860715306788145</v>
      </c>
      <c r="W186" s="124">
        <v>7.1463283295073857E-2</v>
      </c>
    </row>
    <row r="187" spans="1:23">
      <c r="A187" s="6"/>
      <c r="B187" s="6"/>
      <c r="C187" s="124"/>
      <c r="D187" s="124"/>
      <c r="E187" s="26"/>
      <c r="F187" s="26"/>
      <c r="G187" s="26"/>
      <c r="H187" s="26"/>
      <c r="I187" s="26"/>
      <c r="J187" s="26"/>
      <c r="K187" s="26"/>
      <c r="L187" s="26"/>
      <c r="M187" s="26"/>
      <c r="N187" s="26"/>
      <c r="O187" s="26"/>
      <c r="P187" s="26"/>
      <c r="Q187" s="26"/>
      <c r="R187" s="26"/>
      <c r="S187" s="26"/>
      <c r="T187" s="124">
        <v>30.166666665788703</v>
      </c>
      <c r="U187" s="124">
        <v>9.6230530640774159</v>
      </c>
      <c r="V187" s="124">
        <v>1.7587843729544086</v>
      </c>
      <c r="W187" s="124">
        <v>-0.70885470297674902</v>
      </c>
    </row>
    <row r="188" spans="1:23">
      <c r="A188" s="6"/>
      <c r="B188" s="6"/>
      <c r="C188" s="124"/>
      <c r="D188" s="124"/>
      <c r="E188" s="26"/>
      <c r="F188" s="26"/>
      <c r="G188" s="26"/>
      <c r="H188" s="26"/>
      <c r="I188" s="26"/>
      <c r="J188" s="26"/>
      <c r="K188" s="26"/>
      <c r="L188" s="26"/>
      <c r="M188" s="26"/>
      <c r="N188" s="26"/>
      <c r="O188" s="26"/>
      <c r="P188" s="26"/>
      <c r="Q188" s="26"/>
      <c r="R188" s="26"/>
      <c r="S188" s="26"/>
      <c r="T188" s="124">
        <v>30.333333332450518</v>
      </c>
      <c r="U188" s="124">
        <v>9.89300553025166</v>
      </c>
      <c r="V188" s="124">
        <v>1.4629190269629937</v>
      </c>
      <c r="W188" s="124">
        <v>-1.0281218437201993</v>
      </c>
    </row>
    <row r="189" spans="1:23">
      <c r="A189" s="6"/>
      <c r="B189" s="6"/>
      <c r="C189" s="124"/>
      <c r="D189" s="124"/>
      <c r="E189" s="26"/>
      <c r="F189" s="26"/>
      <c r="G189" s="26"/>
      <c r="H189" s="26"/>
      <c r="I189" s="26"/>
      <c r="J189" s="26"/>
      <c r="K189" s="26"/>
      <c r="L189" s="26"/>
      <c r="M189" s="26"/>
      <c r="N189" s="26"/>
      <c r="O189" s="26"/>
      <c r="P189" s="26"/>
      <c r="Q189" s="26"/>
      <c r="R189" s="26"/>
      <c r="S189" s="26"/>
      <c r="T189" s="124">
        <v>30.499999999112333</v>
      </c>
      <c r="U189" s="124">
        <v>10.10824458672597</v>
      </c>
      <c r="V189" s="124">
        <v>1.127611491189517</v>
      </c>
      <c r="W189" s="124">
        <v>-0.92409424118169936</v>
      </c>
    </row>
    <row r="190" spans="1:23">
      <c r="A190" s="6"/>
      <c r="B190" s="6"/>
      <c r="C190" s="124"/>
      <c r="D190" s="124"/>
      <c r="E190" s="26"/>
      <c r="F190" s="26"/>
      <c r="G190" s="26"/>
      <c r="H190" s="26"/>
      <c r="I190" s="26"/>
      <c r="J190" s="26"/>
      <c r="K190" s="26"/>
      <c r="L190" s="26"/>
      <c r="M190" s="26"/>
      <c r="N190" s="26"/>
      <c r="O190" s="26"/>
      <c r="P190" s="26"/>
      <c r="Q190" s="26"/>
      <c r="R190" s="26"/>
      <c r="S190" s="26"/>
      <c r="T190" s="124">
        <v>30.666666665774152</v>
      </c>
      <c r="U190" s="124">
        <v>10.271780737699045</v>
      </c>
      <c r="V190" s="124">
        <v>0.84025482556130038</v>
      </c>
      <c r="W190" s="124">
        <v>-0.813277701231096</v>
      </c>
    </row>
    <row r="191" spans="1:23">
      <c r="A191" s="6"/>
      <c r="B191" s="6"/>
      <c r="C191" s="124"/>
      <c r="D191" s="124"/>
      <c r="E191" s="26"/>
      <c r="F191" s="26"/>
      <c r="G191" s="26"/>
      <c r="H191" s="26"/>
      <c r="I191" s="26"/>
      <c r="J191" s="26"/>
      <c r="K191" s="26"/>
      <c r="L191" s="26"/>
      <c r="M191" s="26"/>
      <c r="N191" s="26"/>
      <c r="O191" s="26"/>
      <c r="P191" s="26"/>
      <c r="Q191" s="26"/>
      <c r="R191" s="26"/>
      <c r="S191" s="26"/>
      <c r="T191" s="124">
        <v>30.833333332435966</v>
      </c>
      <c r="U191" s="124">
        <v>10.39020169081958</v>
      </c>
      <c r="V191" s="124">
        <v>0.58889184507586445</v>
      </c>
      <c r="W191" s="124">
        <v>-0.64693888649909215</v>
      </c>
    </row>
    <row r="192" spans="1:23">
      <c r="A192" s="6"/>
      <c r="B192" s="6"/>
      <c r="C192" s="124"/>
      <c r="D192" s="124"/>
      <c r="E192" s="26"/>
      <c r="F192" s="26"/>
      <c r="G192" s="26"/>
      <c r="H192" s="26"/>
      <c r="I192" s="26"/>
      <c r="J192" s="26"/>
      <c r="K192" s="26"/>
      <c r="L192" s="26"/>
      <c r="M192" s="26"/>
      <c r="N192" s="26"/>
      <c r="O192" s="26"/>
      <c r="P192" s="26"/>
      <c r="Q192" s="26"/>
      <c r="R192" s="26"/>
      <c r="S192" s="26"/>
      <c r="T192" s="124">
        <v>30.999999999097781</v>
      </c>
      <c r="U192" s="124">
        <v>10.473283290779515</v>
      </c>
      <c r="V192" s="124">
        <v>0.42523677922006986</v>
      </c>
      <c r="W192" s="124">
        <v>-0.33530311329409396</v>
      </c>
    </row>
    <row r="193" spans="1:23">
      <c r="A193" s="6"/>
      <c r="B193" s="6"/>
      <c r="C193" s="124"/>
      <c r="D193" s="124"/>
      <c r="E193" s="26"/>
      <c r="F193" s="26"/>
      <c r="G193" s="26"/>
      <c r="H193" s="26"/>
      <c r="I193" s="26"/>
      <c r="J193" s="26"/>
      <c r="K193" s="26"/>
      <c r="L193" s="26"/>
      <c r="M193" s="26"/>
      <c r="N193" s="26"/>
      <c r="O193" s="26"/>
      <c r="P193" s="26"/>
      <c r="Q193" s="26"/>
      <c r="R193" s="26"/>
      <c r="S193" s="26"/>
      <c r="T193" s="124">
        <v>31.1666666657596</v>
      </c>
      <c r="U193" s="124">
        <v>10.537691837262306</v>
      </c>
      <c r="V193" s="124">
        <v>0.36214371223396807</v>
      </c>
      <c r="W193" s="124">
        <v>-0.10430562014710965</v>
      </c>
    </row>
    <row r="194" spans="1:23">
      <c r="A194" s="6"/>
      <c r="B194" s="6"/>
      <c r="C194" s="124"/>
      <c r="D194" s="124"/>
      <c r="E194" s="26"/>
      <c r="F194" s="26"/>
      <c r="G194" s="26"/>
      <c r="H194" s="26"/>
      <c r="I194" s="26"/>
      <c r="J194" s="26"/>
      <c r="K194" s="26"/>
      <c r="L194" s="26"/>
      <c r="M194" s="26"/>
      <c r="N194" s="26"/>
      <c r="O194" s="26"/>
      <c r="P194" s="26"/>
      <c r="Q194" s="26"/>
      <c r="R194" s="26"/>
      <c r="S194" s="26"/>
      <c r="T194" s="124">
        <v>31.333333332421414</v>
      </c>
      <c r="U194" s="124">
        <v>10.595002197574242</v>
      </c>
      <c r="V194" s="124">
        <v>0.32462843519333029</v>
      </c>
      <c r="W194" s="124">
        <v>-0.12076953837682579</v>
      </c>
    </row>
    <row r="195" spans="1:23">
      <c r="A195" s="6"/>
      <c r="B195" s="6"/>
      <c r="C195" s="124"/>
      <c r="D195" s="124"/>
      <c r="E195" s="26"/>
      <c r="F195" s="26"/>
      <c r="G195" s="26"/>
      <c r="H195" s="26"/>
      <c r="I195" s="26"/>
      <c r="J195" s="26"/>
      <c r="K195" s="26"/>
      <c r="L195" s="26"/>
      <c r="M195" s="26"/>
      <c r="N195" s="26"/>
      <c r="O195" s="26"/>
      <c r="P195" s="26"/>
      <c r="Q195" s="26"/>
      <c r="R195" s="26"/>
      <c r="S195" s="26"/>
      <c r="T195" s="124">
        <v>31.499999999083229</v>
      </c>
      <c r="U195" s="124">
        <v>10.645603138055275</v>
      </c>
      <c r="V195" s="124">
        <v>0.2816251862835879</v>
      </c>
      <c r="W195" s="124">
        <v>-0.13723345660654193</v>
      </c>
    </row>
    <row r="196" spans="1:23">
      <c r="A196" s="6"/>
      <c r="B196" s="6"/>
      <c r="C196" s="124"/>
      <c r="D196" s="124"/>
      <c r="E196" s="26"/>
      <c r="F196" s="26"/>
      <c r="G196" s="26"/>
      <c r="H196" s="26"/>
      <c r="I196" s="26"/>
      <c r="J196" s="26"/>
      <c r="K196" s="26"/>
      <c r="L196" s="26"/>
      <c r="M196" s="26"/>
      <c r="N196" s="26"/>
      <c r="O196" s="26"/>
      <c r="P196" s="26"/>
      <c r="Q196" s="26"/>
      <c r="R196" s="26"/>
      <c r="S196" s="26"/>
      <c r="T196" s="124">
        <v>31.666666665745048</v>
      </c>
      <c r="U196" s="124">
        <v>10.688589198429771</v>
      </c>
      <c r="V196" s="124">
        <v>0.23370962776395224</v>
      </c>
      <c r="W196" s="124">
        <v>-0.14177561525604182</v>
      </c>
    </row>
    <row r="197" spans="1:23">
      <c r="A197" s="6"/>
      <c r="B197" s="6"/>
      <c r="C197" s="124"/>
      <c r="D197" s="124"/>
      <c r="E197" s="26"/>
      <c r="F197" s="26"/>
      <c r="G197" s="26"/>
      <c r="H197" s="26"/>
      <c r="I197" s="26"/>
      <c r="J197" s="26"/>
      <c r="K197" s="26"/>
      <c r="L197" s="26"/>
      <c r="M197" s="26"/>
      <c r="N197" s="26"/>
      <c r="O197" s="26"/>
      <c r="P197" s="26"/>
      <c r="Q197" s="26"/>
      <c r="R197" s="26"/>
      <c r="S197" s="26"/>
      <c r="T197" s="124">
        <v>31.833333332406863</v>
      </c>
      <c r="U197" s="124">
        <v>10.723836415509352</v>
      </c>
      <c r="V197" s="124">
        <v>0.19059318224478736</v>
      </c>
      <c r="W197" s="124">
        <v>-0.11694785940326657</v>
      </c>
    </row>
    <row r="198" spans="1:23">
      <c r="A198" s="6"/>
      <c r="B198" s="6"/>
      <c r="C198" s="124"/>
      <c r="D198" s="124"/>
      <c r="E198" s="26"/>
      <c r="F198" s="26"/>
      <c r="G198" s="26"/>
      <c r="H198" s="26"/>
      <c r="I198" s="26"/>
      <c r="J198" s="26"/>
      <c r="K198" s="26"/>
      <c r="L198" s="26"/>
      <c r="M198" s="26"/>
      <c r="N198" s="26"/>
      <c r="O198" s="26"/>
      <c r="P198" s="26"/>
      <c r="Q198" s="26"/>
      <c r="R198" s="26"/>
      <c r="S198" s="26"/>
      <c r="T198" s="124">
        <v>31.999999999068677</v>
      </c>
      <c r="U198" s="124">
        <v>10.752586530105978</v>
      </c>
      <c r="V198" s="124">
        <v>0.15575267388810204</v>
      </c>
      <c r="W198" s="124">
        <v>-9.2120071576234766E-2</v>
      </c>
    </row>
    <row r="199" spans="1:23">
      <c r="A199" s="6"/>
      <c r="B199" s="6"/>
      <c r="C199" s="124"/>
      <c r="D199" s="124"/>
      <c r="E199" s="26"/>
      <c r="F199" s="26"/>
      <c r="G199" s="26"/>
      <c r="H199" s="26"/>
      <c r="I199" s="26"/>
      <c r="J199" s="26"/>
      <c r="K199" s="26"/>
      <c r="L199" s="26"/>
      <c r="M199" s="26"/>
      <c r="N199" s="26"/>
      <c r="O199" s="26"/>
      <c r="P199" s="26"/>
      <c r="Q199" s="26"/>
      <c r="R199" s="26"/>
      <c r="S199" s="26"/>
      <c r="T199" s="124">
        <v>32.166666665730496</v>
      </c>
      <c r="U199" s="124">
        <v>10.776218865079171</v>
      </c>
      <c r="V199" s="124">
        <v>0.12918810270455447</v>
      </c>
      <c r="W199" s="124">
        <v>-6.729218782585035E-2</v>
      </c>
    </row>
    <row r="200" spans="1:23">
      <c r="A200" s="6"/>
      <c r="B200" s="6"/>
      <c r="C200" s="124"/>
      <c r="D200" s="124"/>
      <c r="E200" s="26"/>
      <c r="F200" s="26"/>
      <c r="G200" s="26"/>
      <c r="H200" s="26"/>
      <c r="I200" s="26"/>
      <c r="J200" s="26"/>
      <c r="K200" s="26"/>
      <c r="L200" s="26"/>
      <c r="M200" s="26"/>
      <c r="N200" s="26"/>
      <c r="O200" s="26"/>
      <c r="P200" s="26"/>
      <c r="Q200" s="26"/>
      <c r="R200" s="26"/>
      <c r="S200" s="26"/>
      <c r="T200" s="124">
        <v>32.333333332392314</v>
      </c>
      <c r="U200" s="124">
        <v>10.796112507809209</v>
      </c>
      <c r="V200" s="124">
        <v>0.11086572214192432</v>
      </c>
      <c r="W200" s="124">
        <v>-4.4051258643393071E-2</v>
      </c>
    </row>
    <row r="201" spans="1:23">
      <c r="A201" s="6"/>
      <c r="B201" s="6"/>
      <c r="C201" s="124"/>
      <c r="D201" s="124"/>
      <c r="E201" s="26"/>
      <c r="F201" s="26"/>
      <c r="G201" s="26"/>
      <c r="H201" s="26"/>
      <c r="I201" s="26"/>
      <c r="J201" s="26"/>
      <c r="K201" s="26"/>
      <c r="L201" s="26"/>
      <c r="M201" s="26"/>
      <c r="N201" s="26"/>
      <c r="O201" s="26"/>
      <c r="P201" s="26"/>
      <c r="Q201" s="26"/>
      <c r="R201" s="26"/>
      <c r="S201" s="26"/>
      <c r="T201" s="124">
        <v>32.499999999054126</v>
      </c>
      <c r="U201" s="124">
        <v>10.813481532152968</v>
      </c>
      <c r="V201" s="124">
        <v>9.8232893608968364E-2</v>
      </c>
      <c r="W201" s="124">
        <v>-3.1757956266637036E-2</v>
      </c>
    </row>
    <row r="202" spans="1:23">
      <c r="A202" s="6"/>
      <c r="B202" s="6"/>
      <c r="C202" s="124"/>
      <c r="D202" s="124"/>
      <c r="E202" s="26"/>
      <c r="F202" s="26"/>
      <c r="G202" s="26"/>
      <c r="H202" s="26"/>
      <c r="I202" s="26"/>
      <c r="J202" s="26"/>
      <c r="K202" s="26"/>
      <c r="L202" s="26"/>
      <c r="M202" s="26"/>
      <c r="N202" s="26"/>
      <c r="O202" s="26"/>
      <c r="P202" s="26"/>
      <c r="Q202" s="26"/>
      <c r="R202" s="26"/>
      <c r="S202" s="26"/>
      <c r="T202" s="124">
        <v>32.666666665715944</v>
      </c>
      <c r="U202" s="124">
        <v>10.82908622215608</v>
      </c>
      <c r="V202" s="124">
        <v>8.9697807807932864E-2</v>
      </c>
      <c r="W202" s="124">
        <v>-1.9464749813108698E-2</v>
      </c>
    </row>
    <row r="203" spans="1:23">
      <c r="A203" s="6"/>
      <c r="B203" s="6"/>
      <c r="C203" s="124"/>
      <c r="D203" s="124"/>
      <c r="E203" s="26"/>
      <c r="F203" s="26"/>
      <c r="G203" s="26"/>
      <c r="H203" s="26"/>
      <c r="I203" s="26"/>
      <c r="J203" s="26"/>
      <c r="K203" s="26"/>
      <c r="L203" s="26"/>
      <c r="M203" s="26"/>
      <c r="N203" s="26"/>
      <c r="O203" s="26"/>
      <c r="P203" s="26"/>
      <c r="Q203" s="26"/>
      <c r="R203" s="26"/>
      <c r="S203" s="26"/>
      <c r="T203" s="124">
        <v>32.833333332377762</v>
      </c>
      <c r="U203" s="124">
        <v>10.843609534942027</v>
      </c>
      <c r="V203" s="124">
        <v>8.5260464738817807E-2</v>
      </c>
      <c r="W203" s="124">
        <v>-7.1715433595803645E-3</v>
      </c>
    </row>
    <row r="204" spans="1:23">
      <c r="A204" s="6"/>
      <c r="B204" s="6"/>
      <c r="C204" s="124"/>
      <c r="D204" s="124"/>
      <c r="E204" s="26"/>
      <c r="F204" s="26"/>
      <c r="G204" s="26"/>
      <c r="H204" s="26"/>
      <c r="I204" s="26"/>
      <c r="J204" s="26"/>
      <c r="K204" s="26"/>
      <c r="L204" s="26"/>
      <c r="M204" s="26"/>
      <c r="N204" s="26"/>
      <c r="O204" s="26"/>
      <c r="P204" s="26"/>
      <c r="Q204" s="26"/>
      <c r="R204" s="26"/>
      <c r="S204" s="26"/>
      <c r="T204" s="124">
        <v>32.999999999039574</v>
      </c>
      <c r="U204" s="124">
        <v>10.857734427634291</v>
      </c>
      <c r="V204" s="124">
        <v>8.4920864422939488E-2</v>
      </c>
      <c r="W204" s="124">
        <v>5.1216950683294479E-3</v>
      </c>
    </row>
    <row r="205" spans="1:23">
      <c r="A205" s="6"/>
      <c r="B205" s="6"/>
      <c r="C205" s="124"/>
      <c r="D205" s="124"/>
      <c r="E205" s="26"/>
      <c r="F205" s="26"/>
      <c r="G205" s="26"/>
      <c r="H205" s="26"/>
      <c r="I205" s="26"/>
      <c r="J205" s="26"/>
      <c r="K205" s="26"/>
      <c r="L205" s="26"/>
      <c r="M205" s="26"/>
      <c r="N205" s="26"/>
      <c r="O205" s="26"/>
      <c r="P205" s="26"/>
      <c r="Q205" s="26"/>
      <c r="R205" s="26"/>
      <c r="S205" s="26"/>
      <c r="T205" s="124">
        <v>33.166666665701392</v>
      </c>
      <c r="U205" s="124">
        <v>10.872143857356358</v>
      </c>
      <c r="V205" s="124">
        <v>8.8679006838981625E-2</v>
      </c>
      <c r="W205" s="124">
        <v>1.7414901521899416E-2</v>
      </c>
    </row>
    <row r="206" spans="1:23">
      <c r="A206" s="6"/>
      <c r="B206" s="6"/>
      <c r="C206" s="124"/>
      <c r="D206" s="124"/>
      <c r="E206" s="26"/>
      <c r="F206" s="26"/>
      <c r="G206" s="26"/>
      <c r="H206" s="26"/>
      <c r="I206" s="26"/>
      <c r="J206" s="26"/>
      <c r="K206" s="26"/>
      <c r="L206" s="26"/>
      <c r="M206" s="26"/>
      <c r="N206" s="26"/>
      <c r="O206" s="26"/>
      <c r="P206" s="26"/>
      <c r="Q206" s="26"/>
      <c r="R206" s="26"/>
      <c r="S206" s="26"/>
      <c r="T206" s="124">
        <v>33.33333333236321</v>
      </c>
      <c r="U206" s="124">
        <v>10.887516842021457</v>
      </c>
      <c r="V206" s="124">
        <v>9.6324721332724614E-2</v>
      </c>
      <c r="W206" s="124">
        <v>2.5992392240055531E-2</v>
      </c>
    </row>
    <row r="207" spans="1:23">
      <c r="A207" s="6"/>
      <c r="B207" s="6"/>
      <c r="C207" s="124"/>
      <c r="D207" s="124"/>
      <c r="E207" s="26"/>
      <c r="F207" s="26"/>
      <c r="G207" s="26"/>
      <c r="H207" s="26"/>
      <c r="I207" s="26"/>
      <c r="J207" s="26"/>
      <c r="K207" s="26"/>
      <c r="L207" s="26"/>
      <c r="M207" s="26"/>
      <c r="N207" s="26"/>
      <c r="O207" s="26"/>
      <c r="P207" s="26"/>
      <c r="Q207" s="26"/>
      <c r="R207" s="26"/>
      <c r="S207" s="26"/>
      <c r="T207" s="124">
        <v>33.499999999025022</v>
      </c>
      <c r="U207" s="124">
        <v>10.904304397242267</v>
      </c>
      <c r="V207" s="124">
        <v>0.10520770647510552</v>
      </c>
      <c r="W207" s="124">
        <v>2.7304270845882897E-2</v>
      </c>
    </row>
    <row r="208" spans="1:23">
      <c r="A208" s="6"/>
      <c r="B208" s="6"/>
      <c r="C208" s="124"/>
      <c r="D208" s="124"/>
      <c r="E208" s="26"/>
      <c r="F208" s="26"/>
      <c r="G208" s="26"/>
      <c r="H208" s="26"/>
      <c r="I208" s="26"/>
      <c r="J208" s="26"/>
      <c r="K208" s="26"/>
      <c r="L208" s="26"/>
      <c r="M208" s="26"/>
      <c r="N208" s="26"/>
      <c r="O208" s="26"/>
      <c r="P208" s="26"/>
      <c r="Q208" s="26"/>
      <c r="R208" s="26"/>
      <c r="S208" s="26"/>
      <c r="T208" s="124">
        <v>33.66666666568684</v>
      </c>
      <c r="U208" s="124">
        <v>10.922608854660952</v>
      </c>
      <c r="V208" s="124">
        <v>0.11452798500833059</v>
      </c>
      <c r="W208" s="124">
        <v>2.8616149451710263E-2</v>
      </c>
    </row>
    <row r="209" spans="1:23">
      <c r="A209" s="6"/>
      <c r="B209" s="6"/>
      <c r="C209" s="124"/>
      <c r="D209" s="124"/>
      <c r="E209" s="26"/>
      <c r="F209" s="26"/>
      <c r="G209" s="26"/>
      <c r="H209" s="26"/>
      <c r="I209" s="26"/>
      <c r="J209" s="26"/>
      <c r="K209" s="26"/>
      <c r="L209" s="26"/>
      <c r="M209" s="26"/>
      <c r="N209" s="26"/>
      <c r="O209" s="26"/>
      <c r="P209" s="26"/>
      <c r="Q209" s="26"/>
      <c r="R209" s="26"/>
      <c r="S209" s="26"/>
      <c r="T209" s="124">
        <v>33.833333332348658</v>
      </c>
      <c r="U209" s="124">
        <v>10.94250309650991</v>
      </c>
      <c r="V209" s="124">
        <v>0.12428555692174166</v>
      </c>
      <c r="W209" s="124">
        <v>2.9927996083114517E-2</v>
      </c>
    </row>
    <row r="210" spans="1:23">
      <c r="A210" s="6"/>
      <c r="B210" s="6"/>
      <c r="C210" s="124"/>
      <c r="D210" s="124"/>
      <c r="E210" s="26"/>
      <c r="F210" s="26"/>
      <c r="G210" s="26"/>
      <c r="H210" s="26"/>
      <c r="I210" s="26"/>
      <c r="J210" s="26"/>
      <c r="K210" s="26"/>
      <c r="L210" s="26"/>
      <c r="M210" s="26"/>
      <c r="N210" s="26"/>
      <c r="O210" s="26"/>
      <c r="P210" s="26"/>
      <c r="Q210" s="26"/>
      <c r="R210" s="26"/>
      <c r="S210" s="26"/>
      <c r="T210" s="124">
        <v>33.99999999901047</v>
      </c>
      <c r="U210" s="124">
        <v>10.964060005021533</v>
      </c>
      <c r="V210" s="124">
        <v>0.13448042224731316</v>
      </c>
      <c r="W210" s="124">
        <v>3.1239906663364993E-2</v>
      </c>
    </row>
    <row r="211" spans="1:23">
      <c r="A211" s="6"/>
      <c r="B211" s="6"/>
      <c r="C211" s="124"/>
      <c r="D211" s="124"/>
      <c r="E211" s="26"/>
      <c r="F211" s="26"/>
      <c r="G211" s="26"/>
      <c r="H211" s="26"/>
      <c r="I211" s="26"/>
      <c r="J211" s="26"/>
      <c r="K211" s="26"/>
      <c r="L211" s="26"/>
      <c r="M211" s="26"/>
      <c r="N211" s="26"/>
      <c r="O211" s="26"/>
      <c r="P211" s="26"/>
      <c r="Q211" s="26"/>
      <c r="R211" s="26"/>
      <c r="S211" s="26"/>
      <c r="T211" s="124">
        <v>34.166666665672288</v>
      </c>
      <c r="U211" s="124">
        <v>10.987352462428227</v>
      </c>
      <c r="V211" s="124">
        <v>0.14511258096372884</v>
      </c>
      <c r="W211" s="124">
        <v>3.2551785269150722E-2</v>
      </c>
    </row>
    <row r="212" spans="1:23">
      <c r="A212" s="6"/>
      <c r="B212" s="6"/>
      <c r="C212" s="124"/>
      <c r="D212" s="124"/>
      <c r="E212" s="26"/>
      <c r="F212" s="26"/>
      <c r="G212" s="26"/>
      <c r="H212" s="26"/>
      <c r="I212" s="26"/>
      <c r="J212" s="26"/>
      <c r="K212" s="26"/>
      <c r="L212" s="26"/>
      <c r="M212" s="26"/>
      <c r="N212" s="26"/>
      <c r="O212" s="26"/>
      <c r="P212" s="26"/>
      <c r="Q212" s="26"/>
      <c r="R212" s="26"/>
      <c r="S212" s="26"/>
      <c r="T212" s="124">
        <v>34.333333332334107</v>
      </c>
      <c r="U212" s="124">
        <v>11.012453350962383</v>
      </c>
      <c r="V212" s="124">
        <v>0.15618203307098866</v>
      </c>
      <c r="W212" s="124">
        <v>3.3863663875019726E-2</v>
      </c>
    </row>
    <row r="213" spans="1:23">
      <c r="A213" s="6"/>
      <c r="B213" s="6"/>
      <c r="C213" s="124"/>
      <c r="D213" s="124"/>
      <c r="E213" s="26"/>
      <c r="F213" s="26"/>
      <c r="G213" s="26"/>
      <c r="H213" s="26"/>
      <c r="I213" s="26"/>
      <c r="J213" s="26"/>
      <c r="K213" s="26"/>
      <c r="L213" s="26"/>
      <c r="M213" s="26"/>
      <c r="N213" s="26"/>
      <c r="O213" s="26"/>
      <c r="P213" s="26"/>
      <c r="Q213" s="26"/>
      <c r="R213" s="26"/>
      <c r="S213" s="26"/>
      <c r="T213" s="124">
        <v>34.499999998995918</v>
      </c>
      <c r="U213" s="124">
        <v>11.0394355528564</v>
      </c>
      <c r="V213" s="124">
        <v>0.16768877857975079</v>
      </c>
      <c r="W213" s="124">
        <v>3.5175574455311831E-2</v>
      </c>
    </row>
    <row r="214" spans="1:23">
      <c r="A214" s="6"/>
      <c r="B214" s="6"/>
      <c r="C214" s="124"/>
      <c r="D214" s="124"/>
      <c r="E214" s="26"/>
      <c r="F214" s="26"/>
      <c r="G214" s="26"/>
      <c r="H214" s="26"/>
      <c r="I214" s="26"/>
      <c r="J214" s="26"/>
      <c r="K214" s="26"/>
      <c r="L214" s="26"/>
      <c r="M214" s="26"/>
      <c r="N214" s="26"/>
      <c r="O214" s="26"/>
      <c r="P214" s="26"/>
      <c r="Q214" s="26"/>
      <c r="R214" s="26"/>
      <c r="S214" s="26"/>
      <c r="T214" s="124">
        <v>34.666666665657736</v>
      </c>
      <c r="U214" s="124">
        <v>11.068363726638612</v>
      </c>
      <c r="V214" s="124">
        <v>0.17928424304070023</v>
      </c>
      <c r="W214" s="124">
        <v>3.1585518202762446E-2</v>
      </c>
    </row>
    <row r="215" spans="1:23">
      <c r="A215" s="6"/>
      <c r="B215" s="6"/>
      <c r="C215" s="124"/>
      <c r="D215" s="124"/>
      <c r="E215" s="26"/>
      <c r="F215" s="26"/>
      <c r="G215" s="26"/>
      <c r="H215" s="26"/>
      <c r="I215" s="26"/>
      <c r="J215" s="26"/>
      <c r="K215" s="26"/>
      <c r="L215" s="26"/>
      <c r="M215" s="26"/>
      <c r="N215" s="26"/>
      <c r="O215" s="26"/>
      <c r="P215" s="26"/>
      <c r="Q215" s="26"/>
      <c r="R215" s="26"/>
      <c r="S215" s="26"/>
      <c r="T215" s="124">
        <v>34.833333332319555</v>
      </c>
      <c r="U215" s="124">
        <v>11.099026450400848</v>
      </c>
      <c r="V215" s="124">
        <v>0.18811037834091235</v>
      </c>
      <c r="W215" s="124">
        <v>2.1381520555291966E-2</v>
      </c>
    </row>
    <row r="216" spans="1:23">
      <c r="A216" s="6"/>
      <c r="B216" s="6"/>
      <c r="C216" s="124"/>
      <c r="D216" s="124"/>
      <c r="E216" s="26"/>
      <c r="F216" s="26"/>
      <c r="G216" s="26"/>
      <c r="H216" s="26"/>
      <c r="I216" s="26"/>
      <c r="J216" s="26"/>
      <c r="K216" s="26"/>
      <c r="L216" s="26"/>
      <c r="M216" s="26"/>
      <c r="N216" s="26"/>
      <c r="O216" s="26"/>
      <c r="P216" s="26"/>
      <c r="Q216" s="26"/>
      <c r="R216" s="26"/>
      <c r="S216" s="26"/>
      <c r="T216" s="124">
        <v>34.999999998981366</v>
      </c>
      <c r="U216" s="124">
        <v>11.130877034917948</v>
      </c>
      <c r="V216" s="124">
        <v>0.19353517076433999</v>
      </c>
      <c r="W216" s="124">
        <v>1.1177522907821492E-2</v>
      </c>
    </row>
    <row r="217" spans="1:23">
      <c r="A217" s="6"/>
      <c r="B217" s="6"/>
      <c r="C217" s="124"/>
      <c r="D217" s="124"/>
      <c r="E217" s="26"/>
      <c r="F217" s="26"/>
      <c r="G217" s="26"/>
      <c r="H217" s="26"/>
      <c r="I217" s="26"/>
      <c r="J217" s="26"/>
      <c r="K217" s="26"/>
      <c r="L217" s="26"/>
      <c r="M217" s="26"/>
      <c r="N217" s="26"/>
      <c r="O217" s="26"/>
      <c r="P217" s="26"/>
      <c r="Q217" s="26"/>
      <c r="R217" s="26"/>
      <c r="S217" s="26"/>
      <c r="T217" s="124">
        <v>35.166666665643184</v>
      </c>
      <c r="U217" s="124">
        <v>11.163348589710939</v>
      </c>
      <c r="V217" s="124">
        <v>0.19555862030032503</v>
      </c>
      <c r="W217" s="124">
        <v>9.7342933716495247E-4</v>
      </c>
    </row>
    <row r="218" spans="1:23">
      <c r="A218" s="6"/>
      <c r="B218" s="6"/>
      <c r="C218" s="124"/>
      <c r="D218" s="124"/>
      <c r="E218" s="26"/>
      <c r="F218" s="26"/>
      <c r="G218" s="26"/>
      <c r="H218" s="26"/>
      <c r="I218" s="26"/>
      <c r="J218" s="26"/>
      <c r="K218" s="26"/>
      <c r="L218" s="26"/>
      <c r="M218" s="26"/>
      <c r="N218" s="26"/>
      <c r="O218" s="26"/>
      <c r="P218" s="26"/>
      <c r="Q218" s="26"/>
      <c r="R218" s="26"/>
      <c r="S218" s="26"/>
      <c r="T218" s="124">
        <v>35.333333332305003</v>
      </c>
      <c r="U218" s="124">
        <v>11.195874224300837</v>
      </c>
      <c r="V218" s="124">
        <v>0.19418072699150002</v>
      </c>
      <c r="W218" s="124">
        <v>-9.2305363358824132E-3</v>
      </c>
    </row>
    <row r="219" spans="1:23">
      <c r="A219" s="6"/>
      <c r="B219" s="6"/>
      <c r="C219" s="124"/>
      <c r="D219" s="124"/>
      <c r="E219" s="26"/>
      <c r="F219" s="26"/>
      <c r="G219" s="26"/>
      <c r="H219" s="26"/>
      <c r="I219" s="26"/>
      <c r="J219" s="26"/>
      <c r="K219" s="26"/>
      <c r="L219" s="26"/>
      <c r="M219" s="26"/>
      <c r="N219" s="26"/>
      <c r="O219" s="26"/>
      <c r="P219" s="26"/>
      <c r="Q219" s="26"/>
      <c r="R219" s="26"/>
      <c r="S219" s="26"/>
      <c r="T219" s="124">
        <v>35.499999998966814</v>
      </c>
      <c r="U219" s="124">
        <v>11.22788704820867</v>
      </c>
      <c r="V219" s="124">
        <v>0.18940149078457427</v>
      </c>
      <c r="W219" s="124">
        <v>-1.9434597932115844E-2</v>
      </c>
    </row>
    <row r="220" spans="1:23">
      <c r="A220" s="6"/>
      <c r="B220" s="6"/>
      <c r="C220" s="124"/>
      <c r="D220" s="124"/>
      <c r="E220" s="26"/>
      <c r="F220" s="26"/>
      <c r="G220" s="26"/>
      <c r="H220" s="26"/>
      <c r="I220" s="26"/>
      <c r="J220" s="26"/>
      <c r="K220" s="26"/>
      <c r="L220" s="26"/>
      <c r="M220" s="26"/>
      <c r="N220" s="26"/>
      <c r="O220" s="26"/>
      <c r="P220" s="26"/>
      <c r="Q220" s="26"/>
      <c r="R220" s="26"/>
      <c r="S220" s="26"/>
      <c r="T220" s="124">
        <v>35.666666665628632</v>
      </c>
      <c r="U220" s="124">
        <v>11.258820170955458</v>
      </c>
      <c r="V220" s="124">
        <v>0.18122091171152219</v>
      </c>
      <c r="W220" s="124">
        <v>-2.963859557950305E-2</v>
      </c>
    </row>
    <row r="221" spans="1:23">
      <c r="A221" s="6"/>
      <c r="B221" s="6"/>
      <c r="C221" s="124"/>
      <c r="D221" s="124"/>
      <c r="E221" s="26"/>
      <c r="F221" s="26"/>
      <c r="G221" s="26"/>
      <c r="H221" s="26"/>
      <c r="I221" s="26"/>
      <c r="J221" s="26"/>
      <c r="K221" s="26"/>
      <c r="L221" s="26"/>
      <c r="M221" s="26"/>
      <c r="N221" s="26"/>
      <c r="O221" s="26"/>
      <c r="P221" s="26"/>
      <c r="Q221" s="26"/>
      <c r="R221" s="26"/>
      <c r="S221" s="26"/>
      <c r="T221" s="124">
        <v>35.833333332290451</v>
      </c>
      <c r="U221" s="124">
        <v>11.288106702062226</v>
      </c>
      <c r="V221" s="124">
        <v>0.16963898975102751</v>
      </c>
      <c r="W221" s="124">
        <v>-3.984268915024286E-2</v>
      </c>
    </row>
    <row r="222" spans="1:23">
      <c r="A222" s="6"/>
      <c r="B222" s="6"/>
      <c r="C222" s="124"/>
      <c r="D222" s="124"/>
      <c r="E222" s="26"/>
      <c r="F222" s="26"/>
      <c r="G222" s="26"/>
      <c r="H222" s="26"/>
      <c r="I222" s="26"/>
      <c r="J222" s="26"/>
      <c r="K222" s="26"/>
      <c r="L222" s="26"/>
      <c r="M222" s="26"/>
      <c r="N222" s="26"/>
      <c r="O222" s="26"/>
      <c r="P222" s="26"/>
      <c r="Q222" s="26"/>
      <c r="R222" s="26"/>
      <c r="S222" s="26"/>
      <c r="T222" s="124">
        <v>35.999999998952262</v>
      </c>
      <c r="U222" s="124">
        <v>11.315179751049993</v>
      </c>
      <c r="V222" s="124">
        <v>0.15465572493506463</v>
      </c>
      <c r="W222" s="124">
        <v>-5.0046686797630066E-2</v>
      </c>
    </row>
    <row r="223" spans="1:23">
      <c r="A223" s="6"/>
      <c r="B223" s="6"/>
      <c r="C223" s="124"/>
      <c r="D223" s="124"/>
      <c r="E223" s="26"/>
      <c r="F223" s="26"/>
      <c r="G223" s="26"/>
      <c r="H223" s="26"/>
      <c r="I223" s="26"/>
      <c r="J223" s="26"/>
      <c r="K223" s="26"/>
      <c r="L223" s="26"/>
      <c r="M223" s="26"/>
      <c r="N223" s="26"/>
      <c r="O223" s="26"/>
      <c r="P223" s="26"/>
      <c r="Q223" s="26"/>
      <c r="R223" s="26"/>
      <c r="S223" s="26"/>
      <c r="T223" s="124">
        <v>36.166666665614081</v>
      </c>
      <c r="U223" s="124">
        <v>11.339472427439784</v>
      </c>
      <c r="V223" s="124">
        <v>0.13627111724231727</v>
      </c>
      <c r="W223" s="124">
        <v>-6.0250716419523655E-2</v>
      </c>
    </row>
    <row r="224" spans="1:23">
      <c r="A224" s="6"/>
      <c r="B224" s="6"/>
      <c r="C224" s="124"/>
      <c r="D224" s="124"/>
      <c r="E224" s="26"/>
      <c r="F224" s="26"/>
      <c r="G224" s="26"/>
      <c r="H224" s="26"/>
      <c r="I224" s="26"/>
      <c r="J224" s="26"/>
      <c r="K224" s="26"/>
      <c r="L224" s="26"/>
      <c r="M224" s="26"/>
      <c r="N224" s="26"/>
      <c r="O224" s="26"/>
      <c r="P224" s="26"/>
      <c r="Q224" s="26"/>
      <c r="R224" s="26"/>
      <c r="S224" s="26"/>
      <c r="T224" s="124">
        <v>36.333333332275899</v>
      </c>
      <c r="U224" s="124">
        <v>11.360417840752621</v>
      </c>
      <c r="V224" s="124">
        <v>0.11448516666212732</v>
      </c>
      <c r="W224" s="124">
        <v>-7.0454778015798719E-2</v>
      </c>
    </row>
    <row r="225" spans="1:23">
      <c r="A225" s="6"/>
      <c r="B225" s="6"/>
      <c r="C225" s="124"/>
      <c r="D225" s="124"/>
      <c r="E225" s="26"/>
      <c r="F225" s="26"/>
      <c r="G225" s="26"/>
      <c r="H225" s="26"/>
      <c r="I225" s="26"/>
      <c r="J225" s="26"/>
      <c r="K225" s="26"/>
      <c r="L225" s="26"/>
      <c r="M225" s="26"/>
      <c r="N225" s="26"/>
      <c r="O225" s="26"/>
      <c r="P225" s="26"/>
      <c r="Q225" s="26"/>
      <c r="R225" s="26"/>
      <c r="S225" s="26"/>
      <c r="T225" s="124">
        <v>36.49999999893771</v>
      </c>
      <c r="U225" s="124">
        <v>11.377549463985339</v>
      </c>
      <c r="V225" s="124">
        <v>9.1433982713159251E-2</v>
      </c>
      <c r="W225" s="124">
        <v>-6.5539733644030068E-2</v>
      </c>
    </row>
    <row r="226" spans="1:23">
      <c r="A226" s="6"/>
      <c r="B226" s="6"/>
      <c r="C226" s="124"/>
      <c r="D226" s="124"/>
      <c r="E226" s="26"/>
      <c r="F226" s="26"/>
      <c r="G226" s="26"/>
      <c r="H226" s="26"/>
      <c r="I226" s="26"/>
      <c r="J226" s="26"/>
      <c r="K226" s="26"/>
      <c r="L226" s="26"/>
      <c r="M226" s="26"/>
      <c r="N226" s="26"/>
      <c r="O226" s="26"/>
      <c r="P226" s="26"/>
      <c r="Q226" s="26"/>
      <c r="R226" s="26"/>
      <c r="S226" s="26"/>
      <c r="T226" s="124">
        <v>36.666666665599529</v>
      </c>
      <c r="U226" s="124">
        <v>11.39104058575071</v>
      </c>
      <c r="V226" s="124">
        <v>7.0864023920266972E-2</v>
      </c>
      <c r="W226" s="124">
        <v>-5.788764667948585E-2</v>
      </c>
    </row>
    <row r="227" spans="1:23">
      <c r="A227" s="6"/>
      <c r="B227" s="6"/>
      <c r="C227" s="124"/>
      <c r="D227" s="124"/>
      <c r="E227" s="26"/>
      <c r="F227" s="26"/>
      <c r="G227" s="26"/>
      <c r="H227" s="26"/>
      <c r="I227" s="26"/>
      <c r="J227" s="26"/>
      <c r="K227" s="26"/>
      <c r="L227" s="26"/>
      <c r="M227" s="26"/>
      <c r="N227" s="26"/>
      <c r="O227" s="26"/>
      <c r="P227" s="26"/>
      <c r="Q227" s="26"/>
      <c r="R227" s="26"/>
      <c r="S227" s="26"/>
      <c r="T227" s="124">
        <v>36.833333332261347</v>
      </c>
      <c r="U227" s="124">
        <v>11.401315726403249</v>
      </c>
      <c r="V227" s="124">
        <v>5.2844760057385906E-2</v>
      </c>
      <c r="W227" s="124">
        <v>-5.0235559714983266E-2</v>
      </c>
    </row>
    <row r="228" spans="1:23">
      <c r="A228" s="6"/>
      <c r="B228" s="6"/>
      <c r="C228" s="124"/>
      <c r="D228" s="124"/>
      <c r="E228" s="26"/>
      <c r="F228" s="26"/>
      <c r="G228" s="26"/>
      <c r="H228" s="26"/>
      <c r="I228" s="26"/>
      <c r="J228" s="26"/>
      <c r="K228" s="26"/>
      <c r="L228" s="26"/>
      <c r="M228" s="26"/>
      <c r="N228" s="26"/>
      <c r="O228" s="26"/>
      <c r="P228" s="26"/>
      <c r="Q228" s="26"/>
      <c r="R228" s="26"/>
      <c r="S228" s="26"/>
      <c r="T228" s="124">
        <v>36.999999998923158</v>
      </c>
      <c r="U228" s="124">
        <v>11.408800001764881</v>
      </c>
      <c r="V228" s="124">
        <v>3.7376191124516053E-2</v>
      </c>
      <c r="W228" s="124">
        <v>-4.2583472750480682E-2</v>
      </c>
    </row>
    <row r="229" spans="1:23">
      <c r="A229" s="6"/>
      <c r="B229" s="6"/>
      <c r="C229" s="124"/>
      <c r="D229" s="124"/>
      <c r="E229" s="26"/>
      <c r="F229" s="26"/>
      <c r="G229" s="26"/>
      <c r="H229" s="26"/>
      <c r="I229" s="26"/>
      <c r="J229" s="26"/>
      <c r="K229" s="26"/>
      <c r="L229" s="26"/>
      <c r="M229" s="26"/>
      <c r="N229" s="26"/>
      <c r="O229" s="26"/>
      <c r="P229" s="26"/>
      <c r="Q229" s="26"/>
      <c r="R229" s="26"/>
      <c r="S229" s="26"/>
      <c r="T229" s="124">
        <v>37.166666665584977</v>
      </c>
      <c r="U229" s="124">
        <v>11.413918527657534</v>
      </c>
      <c r="V229" s="124">
        <v>2.4458317110999279E-2</v>
      </c>
      <c r="W229" s="124">
        <v>-3.493141776038039E-2</v>
      </c>
    </row>
    <row r="230" spans="1:23">
      <c r="A230" s="6"/>
      <c r="B230" s="6"/>
      <c r="C230" s="124"/>
      <c r="D230" s="124"/>
      <c r="E230" s="26"/>
      <c r="F230" s="26"/>
      <c r="G230" s="26"/>
      <c r="H230" s="26"/>
      <c r="I230" s="26"/>
      <c r="J230" s="26"/>
      <c r="K230" s="26"/>
      <c r="L230" s="26"/>
      <c r="M230" s="26"/>
      <c r="N230" s="26"/>
      <c r="O230" s="26"/>
      <c r="P230" s="26"/>
      <c r="Q230" s="26"/>
      <c r="R230" s="26"/>
      <c r="S230" s="26"/>
      <c r="T230" s="124">
        <v>37.333333332246795</v>
      </c>
      <c r="U230" s="124">
        <v>11.417096419903132</v>
      </c>
      <c r="V230" s="124">
        <v>1.4091138048810002E-2</v>
      </c>
      <c r="W230" s="124">
        <v>-2.7279330795862197E-2</v>
      </c>
    </row>
    <row r="231" spans="1:23">
      <c r="A231" s="6"/>
      <c r="B231" s="6"/>
      <c r="C231" s="124"/>
      <c r="D231" s="124"/>
      <c r="E231" s="26"/>
      <c r="F231" s="26"/>
      <c r="G231" s="26"/>
      <c r="H231" s="26"/>
      <c r="I231" s="26"/>
      <c r="J231" s="26"/>
      <c r="K231" s="26"/>
      <c r="L231" s="26"/>
      <c r="M231" s="26"/>
      <c r="N231" s="26"/>
      <c r="O231" s="26"/>
      <c r="P231" s="26"/>
      <c r="Q231" s="26"/>
      <c r="R231" s="26"/>
      <c r="S231" s="26"/>
      <c r="T231" s="124">
        <v>37.499999998908606</v>
      </c>
      <c r="U231" s="124">
        <v>11.418758794323601</v>
      </c>
      <c r="V231" s="124">
        <v>6.2746539059737993E-3</v>
      </c>
      <c r="W231" s="124">
        <v>-1.9627275805764507E-2</v>
      </c>
    </row>
    <row r="232" spans="1:23">
      <c r="A232" s="6"/>
      <c r="B232" s="6"/>
      <c r="C232" s="124"/>
      <c r="D232" s="124"/>
      <c r="E232" s="26"/>
      <c r="F232" s="26"/>
      <c r="G232" s="26"/>
      <c r="H232" s="26"/>
      <c r="I232" s="26"/>
      <c r="J232" s="26"/>
      <c r="K232" s="26"/>
      <c r="L232" s="26"/>
      <c r="M232" s="26"/>
      <c r="N232" s="26"/>
      <c r="O232" s="26"/>
      <c r="P232" s="26"/>
      <c r="Q232" s="26"/>
      <c r="R232" s="26"/>
      <c r="S232" s="26"/>
      <c r="T232" s="124">
        <v>37.666666665570425</v>
      </c>
      <c r="U232" s="124">
        <v>11.419330766740867</v>
      </c>
      <c r="V232" s="124">
        <v>1.0088647038069517E-3</v>
      </c>
      <c r="W232" s="124">
        <v>-1.1975156866825801E-2</v>
      </c>
    </row>
    <row r="233" spans="1:23">
      <c r="A233" s="6"/>
      <c r="B233" s="6"/>
      <c r="C233" s="124"/>
      <c r="D233" s="124"/>
      <c r="E233" s="26"/>
      <c r="F233" s="26"/>
      <c r="G233" s="26"/>
      <c r="H233" s="26"/>
      <c r="I233" s="26"/>
      <c r="J233" s="26"/>
      <c r="K233" s="26"/>
      <c r="L233" s="26"/>
      <c r="M233" s="26"/>
      <c r="N233" s="26"/>
      <c r="O233" s="26"/>
      <c r="P233" s="26"/>
      <c r="Q233" s="26"/>
      <c r="R233" s="26"/>
      <c r="S233" s="26"/>
      <c r="T233" s="124">
        <v>37.833333332232243</v>
      </c>
      <c r="U233" s="124">
        <v>11.419237452976855</v>
      </c>
      <c r="V233" s="124">
        <v>-1.70622956834868E-3</v>
      </c>
      <c r="W233" s="124">
        <v>-4.3230699023082547E-3</v>
      </c>
    </row>
    <row r="234" spans="1:23">
      <c r="A234" s="6"/>
      <c r="B234" s="6"/>
      <c r="C234" s="124"/>
      <c r="D234" s="124"/>
      <c r="E234" s="26"/>
      <c r="F234" s="26"/>
      <c r="G234" s="26"/>
      <c r="H234" s="26"/>
      <c r="I234" s="26"/>
      <c r="J234" s="26"/>
      <c r="K234" s="26"/>
      <c r="L234" s="26"/>
      <c r="M234" s="26"/>
      <c r="N234" s="26"/>
      <c r="O234" s="26"/>
      <c r="P234" s="26"/>
      <c r="Q234" s="26"/>
      <c r="R234" s="26"/>
      <c r="S234" s="26"/>
      <c r="T234" s="124">
        <v>37.999999998894054</v>
      </c>
      <c r="U234" s="124">
        <v>11.418903968853492</v>
      </c>
      <c r="V234" s="124">
        <v>-1.8706289104930963E-3</v>
      </c>
      <c r="W234" s="124">
        <v>3.329017062208642E-3</v>
      </c>
    </row>
    <row r="235" spans="1:23">
      <c r="A235" s="6"/>
      <c r="B235" s="6"/>
      <c r="C235" s="124"/>
      <c r="D235" s="124"/>
      <c r="E235" s="26"/>
      <c r="F235" s="26"/>
      <c r="G235" s="26"/>
      <c r="H235" s="26"/>
      <c r="I235" s="26"/>
      <c r="J235" s="26"/>
      <c r="K235" s="26"/>
      <c r="L235" s="26"/>
      <c r="M235" s="26"/>
      <c r="N235" s="26"/>
      <c r="O235" s="26"/>
      <c r="P235" s="26"/>
      <c r="Q235" s="26"/>
      <c r="R235" s="26"/>
      <c r="S235" s="26"/>
      <c r="T235" s="124">
        <v>38.166666665555873</v>
      </c>
      <c r="U235" s="124">
        <v>11.418755430192704</v>
      </c>
      <c r="V235" s="124">
        <v>5.1566667737370272E-4</v>
      </c>
      <c r="W235" s="124">
        <v>1.0981104026725863E-2</v>
      </c>
    </row>
    <row r="236" spans="1:23">
      <c r="A236" s="6"/>
      <c r="B236" s="6"/>
      <c r="C236" s="124"/>
      <c r="D236" s="124"/>
      <c r="E236" s="26"/>
      <c r="F236" s="26"/>
      <c r="G236" s="26"/>
      <c r="H236" s="26"/>
      <c r="I236" s="26"/>
      <c r="J236" s="26"/>
      <c r="K236" s="26"/>
      <c r="L236" s="26"/>
      <c r="M236" s="26"/>
      <c r="N236" s="26"/>
      <c r="O236" s="26"/>
      <c r="P236" s="26"/>
      <c r="Q236" s="26"/>
      <c r="R236" s="26"/>
      <c r="S236" s="26"/>
      <c r="T236" s="124">
        <v>38.333333332217691</v>
      </c>
      <c r="U236" s="124">
        <v>11.419216952816416</v>
      </c>
      <c r="V236" s="124">
        <v>5.4526571952517172E-3</v>
      </c>
      <c r="W236" s="124">
        <v>1.8633159016818675E-2</v>
      </c>
    </row>
    <row r="237" spans="1:23">
      <c r="A237" s="6"/>
      <c r="B237" s="6"/>
      <c r="C237" s="124"/>
      <c r="D237" s="124"/>
      <c r="E237" s="26"/>
      <c r="F237" s="26"/>
      <c r="G237" s="26"/>
      <c r="H237" s="26"/>
      <c r="I237" s="26"/>
      <c r="J237" s="26"/>
      <c r="K237" s="26"/>
      <c r="L237" s="26"/>
      <c r="M237" s="26"/>
      <c r="N237" s="26"/>
      <c r="O237" s="26"/>
      <c r="P237" s="26"/>
      <c r="Q237" s="26"/>
      <c r="R237" s="26"/>
      <c r="S237" s="26"/>
      <c r="T237" s="124">
        <v>38.499999998879503</v>
      </c>
      <c r="U237" s="124">
        <v>11.420713652546553</v>
      </c>
      <c r="V237" s="124">
        <v>1.2940342653799088E-2</v>
      </c>
      <c r="W237" s="124">
        <v>2.628530993018309E-2</v>
      </c>
    </row>
    <row r="238" spans="1:23">
      <c r="A238" s="6"/>
      <c r="B238" s="6"/>
      <c r="C238" s="124"/>
      <c r="D238" s="124"/>
      <c r="E238" s="26"/>
      <c r="F238" s="26"/>
      <c r="G238" s="26"/>
      <c r="H238" s="26"/>
      <c r="I238" s="26"/>
      <c r="J238" s="26"/>
      <c r="K238" s="26"/>
      <c r="L238" s="26"/>
      <c r="M238" s="26"/>
      <c r="N238" s="26"/>
      <c r="O238" s="26"/>
      <c r="P238" s="26"/>
      <c r="Q238" s="26"/>
      <c r="R238" s="26"/>
      <c r="S238" s="26"/>
      <c r="T238" s="124">
        <v>38.666666665541321</v>
      </c>
      <c r="U238" s="124">
        <v>11.423670626290276</v>
      </c>
      <c r="V238" s="124">
        <v>2.2972723787930929E-2</v>
      </c>
      <c r="W238" s="124">
        <v>3.3324639050197842E-2</v>
      </c>
    </row>
    <row r="239" spans="1:23">
      <c r="A239" s="6"/>
      <c r="B239" s="6"/>
      <c r="C239" s="124"/>
      <c r="D239" s="124"/>
      <c r="E239" s="26"/>
      <c r="F239" s="26"/>
      <c r="G239" s="26"/>
      <c r="H239" s="26"/>
      <c r="I239" s="26"/>
      <c r="J239" s="26"/>
      <c r="K239" s="26"/>
      <c r="L239" s="26"/>
      <c r="M239" s="26"/>
      <c r="N239" s="26"/>
      <c r="O239" s="26"/>
      <c r="P239" s="26"/>
      <c r="Q239" s="26"/>
      <c r="R239" s="26"/>
      <c r="S239" s="26"/>
      <c r="T239" s="124">
        <v>38.833333332203139</v>
      </c>
      <c r="U239" s="124">
        <v>11.428396765801413</v>
      </c>
      <c r="V239" s="124">
        <v>3.3587128141033221E-2</v>
      </c>
      <c r="W239" s="124">
        <v>3.0364766702798963E-2</v>
      </c>
    </row>
    <row r="240" spans="1:23">
      <c r="A240" s="6"/>
      <c r="B240" s="6"/>
      <c r="C240" s="124"/>
      <c r="D240" s="124"/>
      <c r="E240" s="26"/>
      <c r="F240" s="26"/>
      <c r="G240" s="26"/>
      <c r="H240" s="26"/>
      <c r="I240" s="26"/>
      <c r="J240" s="26"/>
      <c r="K240" s="26"/>
      <c r="L240" s="26"/>
      <c r="M240" s="26"/>
      <c r="N240" s="26"/>
      <c r="O240" s="26"/>
      <c r="P240" s="26"/>
      <c r="Q240" s="26"/>
      <c r="R240" s="26"/>
      <c r="S240" s="26"/>
      <c r="T240" s="124">
        <v>38.999999998864951</v>
      </c>
      <c r="U240" s="124">
        <v>11.43480983653296</v>
      </c>
      <c r="V240" s="124">
        <v>4.3214911810288525E-2</v>
      </c>
      <c r="W240" s="124">
        <v>2.7404894355431308E-2</v>
      </c>
    </row>
    <row r="241" spans="1:23">
      <c r="A241" s="6"/>
      <c r="B241" s="6"/>
      <c r="C241" s="124"/>
      <c r="D241" s="124"/>
      <c r="E241" s="26"/>
      <c r="F241" s="26"/>
      <c r="G241" s="26"/>
      <c r="H241" s="26"/>
      <c r="I241" s="26"/>
      <c r="J241" s="26"/>
      <c r="K241" s="26"/>
      <c r="L241" s="26"/>
      <c r="M241" s="26"/>
      <c r="N241" s="26"/>
      <c r="O241" s="26"/>
      <c r="P241" s="26"/>
      <c r="Q241" s="26"/>
      <c r="R241" s="26"/>
      <c r="S241" s="26"/>
      <c r="T241" s="124">
        <v>39.166666665526769</v>
      </c>
      <c r="U241" s="124">
        <v>11.442745401704318</v>
      </c>
      <c r="V241" s="124">
        <v>5.1856074795696837E-2</v>
      </c>
      <c r="W241" s="124">
        <v>2.4445022008022021E-2</v>
      </c>
    </row>
    <row r="242" spans="1:23">
      <c r="A242" s="6"/>
      <c r="B242" s="6"/>
      <c r="C242" s="124"/>
      <c r="D242" s="124"/>
      <c r="E242" s="26"/>
      <c r="F242" s="26"/>
      <c r="G242" s="26"/>
      <c r="H242" s="26"/>
      <c r="I242" s="26"/>
      <c r="J242" s="26"/>
      <c r="K242" s="26"/>
      <c r="L242" s="26"/>
      <c r="M242" s="26"/>
      <c r="N242" s="26"/>
      <c r="O242" s="26"/>
      <c r="P242" s="26"/>
      <c r="Q242" s="26"/>
      <c r="R242" s="26"/>
      <c r="S242" s="26"/>
      <c r="T242" s="124">
        <v>39.333333332188587</v>
      </c>
      <c r="U242" s="124">
        <v>11.452039024534887</v>
      </c>
      <c r="V242" s="124">
        <v>5.9510617097258169E-2</v>
      </c>
      <c r="W242" s="124">
        <v>2.1485181635056659E-2</v>
      </c>
    </row>
    <row r="243" spans="1:23">
      <c r="A243" s="6"/>
      <c r="B243" s="6"/>
      <c r="C243" s="124"/>
      <c r="D243" s="124"/>
      <c r="E243" s="26"/>
      <c r="F243" s="26"/>
      <c r="G243" s="26"/>
      <c r="H243" s="26"/>
      <c r="I243" s="26"/>
      <c r="J243" s="26"/>
      <c r="K243" s="26"/>
      <c r="L243" s="26"/>
      <c r="M243" s="26"/>
      <c r="N243" s="26"/>
      <c r="O243" s="26"/>
      <c r="P243" s="26"/>
      <c r="Q243" s="26"/>
      <c r="R243" s="26"/>
      <c r="S243" s="26"/>
      <c r="T243" s="124">
        <v>39.499999998850399</v>
      </c>
      <c r="U243" s="124">
        <v>11.462526268244066</v>
      </c>
      <c r="V243" s="124">
        <v>6.6178538714972507E-2</v>
      </c>
      <c r="W243" s="124">
        <v>1.8525309287668188E-2</v>
      </c>
    </row>
    <row r="244" spans="1:23">
      <c r="A244" s="6"/>
      <c r="B244" s="6"/>
      <c r="C244" s="124"/>
      <c r="D244" s="124"/>
      <c r="E244" s="26"/>
      <c r="F244" s="26"/>
      <c r="G244" s="26"/>
      <c r="H244" s="26"/>
      <c r="I244" s="26"/>
      <c r="J244" s="26"/>
      <c r="K244" s="26"/>
      <c r="L244" s="26"/>
      <c r="M244" s="26"/>
      <c r="N244" s="26"/>
      <c r="O244" s="26"/>
      <c r="P244" s="26"/>
      <c r="Q244" s="26"/>
      <c r="R244" s="26"/>
      <c r="S244" s="26"/>
      <c r="T244" s="124">
        <v>39.666666665512217</v>
      </c>
      <c r="U244" s="124">
        <v>11.474042696051253</v>
      </c>
      <c r="V244" s="124">
        <v>7.1859839659497993E-2</v>
      </c>
      <c r="W244" s="124">
        <v>1.5565468914702826E-2</v>
      </c>
    </row>
    <row r="245" spans="1:23">
      <c r="A245" s="6"/>
      <c r="B245" s="6"/>
      <c r="C245" s="124"/>
      <c r="D245" s="124"/>
      <c r="E245" s="26"/>
      <c r="F245" s="26"/>
      <c r="G245" s="26"/>
      <c r="H245" s="26"/>
      <c r="I245" s="26"/>
      <c r="J245" s="26"/>
      <c r="K245" s="26"/>
      <c r="L245" s="26"/>
      <c r="M245" s="26"/>
      <c r="N245" s="26"/>
      <c r="O245" s="26"/>
      <c r="P245" s="26"/>
      <c r="Q245" s="26"/>
      <c r="R245" s="26"/>
      <c r="S245" s="26"/>
      <c r="T245" s="124">
        <v>39.833333332174035</v>
      </c>
      <c r="U245" s="124">
        <v>11.48642387117585</v>
      </c>
      <c r="V245" s="124">
        <v>7.6554519909518365E-2</v>
      </c>
      <c r="W245" s="124">
        <v>1.2605596567314355E-2</v>
      </c>
    </row>
    <row r="246" spans="1:23">
      <c r="A246" s="6"/>
      <c r="B246" s="6"/>
      <c r="C246" s="124"/>
      <c r="D246" s="124"/>
      <c r="E246" s="26"/>
      <c r="F246" s="26"/>
      <c r="G246" s="26"/>
      <c r="H246" s="26"/>
      <c r="I246" s="26"/>
      <c r="J246" s="26"/>
      <c r="K246" s="26"/>
      <c r="L246" s="26"/>
      <c r="M246" s="26"/>
      <c r="N246" s="26"/>
      <c r="O246" s="26"/>
      <c r="P246" s="26"/>
      <c r="Q246" s="26"/>
      <c r="R246" s="26"/>
      <c r="S246" s="26"/>
      <c r="T246" s="124">
        <v>39.999999998835847</v>
      </c>
      <c r="U246" s="124">
        <v>11.499505356837256</v>
      </c>
      <c r="V246" s="124">
        <v>8.0262579475691737E-2</v>
      </c>
      <c r="W246" s="124">
        <v>9.6457242199258844E-3</v>
      </c>
    </row>
    <row r="247" spans="1:23">
      <c r="A247" s="6"/>
      <c r="B247" s="6"/>
      <c r="C247" s="124"/>
      <c r="D247" s="124"/>
      <c r="E247" s="26"/>
      <c r="F247" s="26"/>
      <c r="G247" s="26"/>
      <c r="H247" s="26"/>
      <c r="I247" s="26"/>
      <c r="J247" s="26"/>
      <c r="K247" s="26"/>
      <c r="L247" s="26"/>
      <c r="M247" s="26"/>
      <c r="N247" s="26"/>
      <c r="O247" s="26"/>
      <c r="P247" s="26"/>
      <c r="Q247" s="26"/>
      <c r="R247" s="26"/>
      <c r="S247" s="26"/>
      <c r="T247" s="124">
        <v>40.166666665497665</v>
      </c>
      <c r="U247" s="124">
        <v>11.513122716254868</v>
      </c>
      <c r="V247" s="124">
        <v>8.2984018368676263E-2</v>
      </c>
      <c r="W247" s="124">
        <v>6.6859158213419994E-3</v>
      </c>
    </row>
    <row r="248" spans="1:23">
      <c r="A248" s="6"/>
      <c r="B248" s="6"/>
      <c r="C248" s="124"/>
      <c r="D248" s="124"/>
      <c r="E248" s="26"/>
      <c r="F248" s="26"/>
      <c r="G248" s="26"/>
      <c r="H248" s="26"/>
      <c r="I248" s="26"/>
      <c r="J248" s="26"/>
      <c r="K248" s="26"/>
      <c r="L248" s="26"/>
      <c r="M248" s="26"/>
      <c r="N248" s="26"/>
      <c r="O248" s="26"/>
      <c r="P248" s="26"/>
      <c r="Q248" s="26"/>
      <c r="R248" s="26"/>
      <c r="S248" s="26"/>
      <c r="T248" s="124">
        <v>40.333333332159484</v>
      </c>
      <c r="U248" s="124">
        <v>11.527111512648089</v>
      </c>
      <c r="V248" s="124">
        <v>8.4718836567155675E-2</v>
      </c>
      <c r="W248" s="124">
        <v>3.7260114995720513E-3</v>
      </c>
    </row>
    <row r="249" spans="1:23">
      <c r="A249" s="6"/>
      <c r="B249" s="6"/>
      <c r="C249" s="124"/>
      <c r="D249" s="124"/>
      <c r="E249" s="26"/>
      <c r="F249" s="26"/>
      <c r="G249" s="26"/>
      <c r="H249" s="26"/>
      <c r="I249" s="26"/>
      <c r="J249" s="26"/>
      <c r="K249" s="26"/>
      <c r="L249" s="26"/>
      <c r="M249" s="26"/>
      <c r="N249" s="26"/>
      <c r="O249" s="26"/>
      <c r="P249" s="26"/>
      <c r="Q249" s="26"/>
      <c r="R249" s="26"/>
      <c r="S249" s="26"/>
      <c r="T249" s="124">
        <v>40.499999998821295</v>
      </c>
      <c r="U249" s="124">
        <v>11.541307309236316</v>
      </c>
      <c r="V249" s="124">
        <v>8.5467034081788087E-2</v>
      </c>
      <c r="W249" s="124">
        <v>7.6613915218358007E-4</v>
      </c>
    </row>
    <row r="250" spans="1:23">
      <c r="A250" s="6"/>
      <c r="B250" s="6"/>
      <c r="C250" s="124"/>
      <c r="D250" s="124"/>
      <c r="E250" s="26"/>
      <c r="F250" s="26"/>
      <c r="G250" s="26"/>
      <c r="H250" s="26"/>
      <c r="I250" s="26"/>
      <c r="J250" s="26"/>
      <c r="K250" s="26"/>
      <c r="L250" s="26"/>
      <c r="M250" s="26"/>
      <c r="N250" s="26"/>
      <c r="O250" s="26"/>
      <c r="P250" s="26"/>
      <c r="Q250" s="26"/>
      <c r="R250" s="26"/>
      <c r="S250" s="26"/>
      <c r="T250" s="124">
        <v>40.666666665483113</v>
      </c>
      <c r="U250" s="124">
        <v>11.555545669238949</v>
      </c>
      <c r="V250" s="124">
        <v>8.5228610923231654E-2</v>
      </c>
      <c r="W250" s="124">
        <v>-2.193669246358671E-3</v>
      </c>
    </row>
    <row r="251" spans="1:23">
      <c r="A251" s="6"/>
      <c r="B251" s="6"/>
      <c r="C251" s="124"/>
      <c r="D251" s="124"/>
      <c r="E251" s="26"/>
      <c r="F251" s="26"/>
      <c r="G251" s="26"/>
      <c r="H251" s="26"/>
      <c r="I251" s="26"/>
      <c r="J251" s="26"/>
      <c r="K251" s="26"/>
      <c r="L251" s="26"/>
      <c r="M251" s="26"/>
      <c r="N251" s="26"/>
      <c r="O251" s="26"/>
      <c r="P251" s="26"/>
      <c r="Q251" s="26"/>
      <c r="R251" s="26"/>
      <c r="S251" s="26"/>
      <c r="T251" s="124">
        <v>40.833333332144932</v>
      </c>
      <c r="U251" s="124">
        <v>11.569662155875388</v>
      </c>
      <c r="V251" s="124">
        <v>8.4003567070170079E-2</v>
      </c>
      <c r="W251" s="124">
        <v>-5.1535415937887753E-3</v>
      </c>
    </row>
    <row r="252" spans="1:23">
      <c r="A252" s="6"/>
      <c r="B252" s="6"/>
      <c r="C252" s="124"/>
      <c r="D252" s="124"/>
      <c r="E252" s="26"/>
      <c r="F252" s="26"/>
      <c r="G252" s="26"/>
      <c r="H252" s="26"/>
      <c r="I252" s="26"/>
      <c r="J252" s="26"/>
      <c r="K252" s="26"/>
      <c r="L252" s="26"/>
      <c r="M252" s="26"/>
      <c r="N252" s="26"/>
      <c r="O252" s="26"/>
      <c r="P252" s="26"/>
      <c r="Q252" s="26"/>
      <c r="R252" s="26"/>
      <c r="S252" s="26"/>
      <c r="T252" s="124">
        <v>40.999999998806743</v>
      </c>
      <c r="U252" s="124">
        <v>11.583492332365033</v>
      </c>
      <c r="V252" s="124">
        <v>8.1791902533261532E-2</v>
      </c>
      <c r="W252" s="124">
        <v>-8.1134459156003563E-3</v>
      </c>
    </row>
    <row r="253" spans="1:23">
      <c r="A253" s="6"/>
      <c r="B253" s="6"/>
      <c r="C253" s="124"/>
      <c r="D253" s="124"/>
      <c r="E253" s="26"/>
      <c r="F253" s="26"/>
      <c r="G253" s="26"/>
      <c r="H253" s="26"/>
      <c r="I253" s="26"/>
      <c r="J253" s="26"/>
      <c r="K253" s="26"/>
      <c r="L253" s="26"/>
      <c r="M253" s="26"/>
      <c r="N253" s="26"/>
      <c r="O253" s="26"/>
      <c r="P253" s="26"/>
      <c r="Q253" s="26"/>
      <c r="R253" s="26"/>
      <c r="S253" s="26"/>
      <c r="T253" s="124">
        <v>41.166666665468561</v>
      </c>
      <c r="U253" s="124">
        <v>11.596871761927281</v>
      </c>
      <c r="V253" s="124">
        <v>7.8593617323164139E-2</v>
      </c>
      <c r="W253" s="124">
        <v>-1.1073254314142609E-2</v>
      </c>
    </row>
    <row r="254" spans="1:23">
      <c r="A254" s="6"/>
      <c r="B254" s="6"/>
      <c r="C254" s="124"/>
      <c r="D254" s="124"/>
      <c r="E254" s="26"/>
      <c r="F254" s="26"/>
      <c r="G254" s="26"/>
      <c r="H254" s="26"/>
      <c r="I254" s="26"/>
      <c r="J254" s="26"/>
      <c r="K254" s="26"/>
      <c r="L254" s="26"/>
      <c r="M254" s="26"/>
      <c r="N254" s="26"/>
      <c r="O254" s="26"/>
      <c r="P254" s="26"/>
      <c r="Q254" s="26"/>
      <c r="R254" s="26"/>
      <c r="S254" s="26"/>
      <c r="T254" s="124">
        <v>41.33333333213038</v>
      </c>
      <c r="U254" s="124">
        <v>11.609636007781534</v>
      </c>
      <c r="V254" s="124">
        <v>7.4408711418561618E-2</v>
      </c>
      <c r="W254" s="124">
        <v>-1.4033158635954189E-2</v>
      </c>
    </row>
    <row r="255" spans="1:23">
      <c r="A255" s="6"/>
      <c r="B255" s="6"/>
      <c r="C255" s="124"/>
      <c r="D255" s="124"/>
      <c r="E255" s="26"/>
      <c r="F255" s="26"/>
      <c r="G255" s="26"/>
      <c r="H255" s="26"/>
      <c r="I255" s="26"/>
      <c r="J255" s="26"/>
      <c r="K255" s="26"/>
      <c r="L255" s="26"/>
      <c r="M255" s="26"/>
      <c r="N255" s="26"/>
      <c r="O255" s="26"/>
      <c r="P255" s="26"/>
      <c r="Q255" s="26"/>
      <c r="R255" s="26"/>
      <c r="S255" s="26"/>
      <c r="T255" s="124">
        <v>41.499999998792191</v>
      </c>
      <c r="U255" s="124">
        <v>11.62162063314719</v>
      </c>
      <c r="V255" s="124">
        <v>6.9237184840770238E-2</v>
      </c>
      <c r="W255" s="124">
        <v>-1.6992999008919551E-2</v>
      </c>
    </row>
    <row r="256" spans="1:23">
      <c r="A256" s="6"/>
      <c r="B256" s="6"/>
      <c r="C256" s="124"/>
      <c r="D256" s="124"/>
      <c r="E256" s="26"/>
      <c r="F256" s="26"/>
      <c r="G256" s="26"/>
      <c r="H256" s="26"/>
      <c r="I256" s="26"/>
      <c r="J256" s="26"/>
      <c r="K256" s="26"/>
      <c r="L256" s="26"/>
      <c r="M256" s="26"/>
      <c r="N256" s="26"/>
      <c r="O256" s="26"/>
      <c r="P256" s="26"/>
      <c r="Q256" s="26"/>
      <c r="R256" s="26"/>
      <c r="S256" s="26"/>
      <c r="T256" s="124">
        <v>41.666666665454009</v>
      </c>
      <c r="U256" s="124">
        <v>11.63266569070097</v>
      </c>
      <c r="V256" s="124">
        <v>6.3243520832820685E-2</v>
      </c>
      <c r="W256" s="124">
        <v>-1.7952263676646714E-2</v>
      </c>
    </row>
    <row r="257" spans="1:23">
      <c r="A257" s="6"/>
      <c r="B257" s="6"/>
      <c r="C257" s="124"/>
      <c r="D257" s="124"/>
      <c r="E257" s="26"/>
      <c r="F257" s="26"/>
      <c r="G257" s="26"/>
      <c r="H257" s="26"/>
      <c r="I257" s="26"/>
      <c r="J257" s="26"/>
      <c r="K257" s="26"/>
      <c r="L257" s="26"/>
      <c r="M257" s="26"/>
      <c r="N257" s="26"/>
      <c r="O257" s="26"/>
      <c r="P257" s="26"/>
      <c r="Q257" s="26"/>
      <c r="R257" s="26"/>
      <c r="S257" s="26"/>
      <c r="T257" s="124">
        <v>41.833333332115828</v>
      </c>
      <c r="U257" s="124">
        <v>11.642718324065822</v>
      </c>
      <c r="V257" s="124">
        <v>5.7443612449754426E-2</v>
      </c>
      <c r="W257" s="124">
        <v>-1.6848282769902263E-2</v>
      </c>
    </row>
    <row r="258" spans="1:23">
      <c r="A258" s="6"/>
      <c r="B258" s="6"/>
      <c r="C258" s="124"/>
      <c r="D258" s="124"/>
      <c r="E258" s="26"/>
      <c r="F258" s="26"/>
      <c r="G258" s="26"/>
      <c r="H258" s="26"/>
      <c r="I258" s="26"/>
      <c r="J258" s="26"/>
      <c r="K258" s="26"/>
      <c r="L258" s="26"/>
      <c r="M258" s="26"/>
      <c r="N258" s="26"/>
      <c r="O258" s="26"/>
      <c r="P258" s="26"/>
      <c r="Q258" s="26"/>
      <c r="R258" s="26"/>
      <c r="S258" s="26"/>
      <c r="T258" s="124">
        <v>41.999999998777639</v>
      </c>
      <c r="U258" s="124">
        <v>11.651834941804662</v>
      </c>
      <c r="V258" s="124">
        <v>5.2011701315372527E-2</v>
      </c>
      <c r="W258" s="124">
        <v>-1.5744301863157811E-2</v>
      </c>
    </row>
    <row r="259" spans="1:23">
      <c r="A259" s="6"/>
      <c r="B259" s="6"/>
      <c r="C259" s="124"/>
      <c r="D259" s="124"/>
      <c r="E259" s="26"/>
      <c r="F259" s="26"/>
      <c r="G259" s="26"/>
      <c r="H259" s="26"/>
      <c r="I259" s="26"/>
      <c r="J259" s="26"/>
      <c r="K259" s="26"/>
      <c r="L259" s="26"/>
      <c r="M259" s="26"/>
      <c r="N259" s="26"/>
      <c r="O259" s="26"/>
      <c r="P259" s="26"/>
      <c r="Q259" s="26"/>
      <c r="R259" s="26"/>
      <c r="S259" s="26"/>
      <c r="T259" s="124">
        <v>42.166666665439458</v>
      </c>
      <c r="U259" s="124">
        <v>11.660076876791532</v>
      </c>
      <c r="V259" s="124">
        <v>4.694778741901684E-2</v>
      </c>
      <c r="W259" s="124">
        <v>-1.4640320956413362E-2</v>
      </c>
    </row>
    <row r="260" spans="1:23">
      <c r="A260" s="6"/>
      <c r="B260" s="6"/>
      <c r="C260" s="124"/>
      <c r="D260" s="124"/>
      <c r="E260" s="26"/>
      <c r="F260" s="26"/>
      <c r="G260" s="26"/>
      <c r="H260" s="26"/>
      <c r="I260" s="26"/>
      <c r="J260" s="26"/>
      <c r="K260" s="26"/>
      <c r="L260" s="26"/>
      <c r="M260" s="26"/>
      <c r="N260" s="26"/>
      <c r="O260" s="26"/>
      <c r="P260" s="26"/>
      <c r="Q260" s="26"/>
      <c r="R260" s="26"/>
      <c r="S260" s="26"/>
      <c r="T260" s="124">
        <v>42.333333332101276</v>
      </c>
      <c r="U260" s="124">
        <v>11.667505461900467</v>
      </c>
      <c r="V260" s="124">
        <v>4.2251870782003653E-2</v>
      </c>
      <c r="W260" s="124">
        <v>-1.3536308075224985E-2</v>
      </c>
    </row>
    <row r="261" spans="1:23">
      <c r="A261" s="6"/>
      <c r="B261" s="6"/>
      <c r="C261" s="124"/>
      <c r="D261" s="124"/>
      <c r="E261" s="26"/>
      <c r="F261" s="26"/>
      <c r="G261" s="26"/>
      <c r="H261" s="26"/>
      <c r="I261" s="26"/>
      <c r="J261" s="26"/>
      <c r="K261" s="26"/>
      <c r="L261" s="26"/>
      <c r="M261" s="26"/>
      <c r="N261" s="26"/>
      <c r="O261" s="26"/>
      <c r="P261" s="26"/>
      <c r="Q261" s="26"/>
      <c r="R261" s="26"/>
      <c r="S261" s="26"/>
      <c r="T261" s="124">
        <v>42.499999998763087</v>
      </c>
      <c r="U261" s="124">
        <v>11.674182030005506</v>
      </c>
      <c r="V261" s="124">
        <v>3.7923951372358544E-2</v>
      </c>
      <c r="W261" s="124">
        <v>-1.2432327168459717E-2</v>
      </c>
    </row>
    <row r="262" spans="1:23">
      <c r="A262" s="6"/>
      <c r="B262" s="6"/>
      <c r="C262" s="124"/>
      <c r="D262" s="124"/>
      <c r="E262" s="26"/>
      <c r="F262" s="26"/>
      <c r="G262" s="26"/>
      <c r="H262" s="26"/>
      <c r="I262" s="26"/>
      <c r="J262" s="26"/>
      <c r="K262" s="26"/>
      <c r="L262" s="26"/>
      <c r="M262" s="26"/>
      <c r="N262" s="26"/>
      <c r="O262" s="26"/>
      <c r="P262" s="26"/>
      <c r="Q262" s="26"/>
      <c r="R262" s="26"/>
      <c r="S262" s="26"/>
      <c r="T262" s="124">
        <v>42.666666665424906</v>
      </c>
      <c r="U262" s="124">
        <v>11.680167913980688</v>
      </c>
      <c r="V262" s="124">
        <v>3.3964029222055929E-2</v>
      </c>
      <c r="W262" s="124">
        <v>-1.1328314287292156E-2</v>
      </c>
    </row>
    <row r="263" spans="1:23">
      <c r="A263" s="6"/>
      <c r="B263" s="6"/>
      <c r="C263" s="124"/>
      <c r="D263" s="124"/>
      <c r="E263" s="26"/>
      <c r="F263" s="26"/>
      <c r="G263" s="26"/>
      <c r="H263" s="26"/>
      <c r="I263" s="26"/>
      <c r="J263" s="26"/>
      <c r="K263" s="26"/>
      <c r="L263" s="26"/>
      <c r="M263" s="26"/>
      <c r="N263" s="26"/>
      <c r="O263" s="26"/>
      <c r="P263" s="26"/>
      <c r="Q263" s="26"/>
      <c r="R263" s="26"/>
      <c r="S263" s="26"/>
      <c r="T263" s="124">
        <v>42.833333332086724</v>
      </c>
      <c r="U263" s="124">
        <v>11.685524446700049</v>
      </c>
      <c r="V263" s="124">
        <v>3.0372104309779529E-2</v>
      </c>
      <c r="W263" s="124">
        <v>-1.0224301406103779E-2</v>
      </c>
    </row>
    <row r="264" spans="1:23">
      <c r="A264" s="6"/>
      <c r="B264" s="6"/>
      <c r="C264" s="124"/>
      <c r="D264" s="124"/>
      <c r="E264" s="26"/>
      <c r="F264" s="26"/>
      <c r="G264" s="26"/>
      <c r="H264" s="26"/>
      <c r="I264" s="26"/>
      <c r="J264" s="26"/>
      <c r="K264" s="26"/>
      <c r="L264" s="26"/>
      <c r="M264" s="26"/>
      <c r="N264" s="26"/>
      <c r="O264" s="26"/>
      <c r="P264" s="26"/>
      <c r="Q264" s="26"/>
      <c r="R264" s="26"/>
      <c r="S264" s="26"/>
      <c r="T264" s="124">
        <v>42.999999998748535</v>
      </c>
      <c r="U264" s="124">
        <v>11.69031296103763</v>
      </c>
      <c r="V264" s="124">
        <v>2.7148176635529341E-2</v>
      </c>
      <c r="W264" s="124">
        <v>-9.1203524737824369E-3</v>
      </c>
    </row>
    <row r="265" spans="1:23">
      <c r="A265" s="6"/>
      <c r="B265" s="6"/>
      <c r="C265" s="124"/>
      <c r="D265" s="124"/>
      <c r="E265" s="26"/>
      <c r="F265" s="26"/>
      <c r="G265" s="26"/>
      <c r="H265" s="26"/>
      <c r="I265" s="26"/>
      <c r="J265" s="26"/>
      <c r="K265" s="26"/>
      <c r="L265" s="26"/>
      <c r="M265" s="26"/>
      <c r="N265" s="26"/>
      <c r="O265" s="26"/>
      <c r="P265" s="26"/>
      <c r="Q265" s="26"/>
      <c r="R265" s="26"/>
      <c r="S265" s="26"/>
      <c r="T265" s="124">
        <v>43.166666665410354</v>
      </c>
      <c r="U265" s="124">
        <v>11.694594789867468</v>
      </c>
      <c r="V265" s="124">
        <v>2.4292246209963512E-2</v>
      </c>
      <c r="W265" s="124">
        <v>-8.016339592604468E-3</v>
      </c>
    </row>
    <row r="266" spans="1:23">
      <c r="A266" s="6"/>
      <c r="B266" s="6"/>
      <c r="C266" s="124"/>
      <c r="D266" s="124"/>
      <c r="E266" s="26"/>
      <c r="F266" s="26"/>
      <c r="G266" s="26"/>
      <c r="H266" s="26"/>
      <c r="I266" s="26"/>
      <c r="J266" s="26"/>
      <c r="K266" s="26"/>
      <c r="L266" s="26"/>
      <c r="M266" s="26"/>
      <c r="N266" s="26"/>
      <c r="O266" s="26"/>
      <c r="P266" s="26"/>
      <c r="Q266" s="26"/>
      <c r="R266" s="26"/>
      <c r="S266" s="26"/>
      <c r="T266" s="124">
        <v>43.333333332072172</v>
      </c>
      <c r="U266" s="124">
        <v>11.698431266063599</v>
      </c>
      <c r="V266" s="124">
        <v>2.1804313033082039E-2</v>
      </c>
      <c r="W266" s="124">
        <v>-6.9123267114160909E-3</v>
      </c>
    </row>
    <row r="267" spans="1:23">
      <c r="A267" s="6"/>
      <c r="B267" s="6"/>
      <c r="C267" s="124"/>
      <c r="D267" s="124"/>
      <c r="E267" s="26"/>
      <c r="F267" s="26"/>
      <c r="G267" s="26"/>
      <c r="H267" s="26"/>
      <c r="I267" s="26"/>
      <c r="J267" s="26"/>
      <c r="K267" s="26"/>
      <c r="L267" s="26"/>
      <c r="M267" s="26"/>
      <c r="N267" s="26"/>
      <c r="O267" s="26"/>
      <c r="P267" s="26"/>
      <c r="Q267" s="26"/>
      <c r="R267" s="26"/>
      <c r="S267" s="26"/>
      <c r="T267" s="124">
        <v>43.499999998733983</v>
      </c>
      <c r="U267" s="124">
        <v>11.701883722500066</v>
      </c>
      <c r="V267" s="124">
        <v>1.9684377083568641E-2</v>
      </c>
      <c r="W267" s="124">
        <v>-5.8083777790843422E-3</v>
      </c>
    </row>
    <row r="268" spans="1:23">
      <c r="A268" s="6"/>
      <c r="B268" s="6"/>
      <c r="C268" s="124"/>
      <c r="D268" s="124"/>
      <c r="E268" s="26"/>
      <c r="F268" s="26"/>
      <c r="G268" s="26"/>
      <c r="H268" s="26"/>
      <c r="I268" s="26"/>
      <c r="J268" s="26"/>
      <c r="K268" s="26"/>
      <c r="L268" s="26"/>
      <c r="M268" s="26"/>
      <c r="N268" s="26"/>
      <c r="O268" s="26"/>
      <c r="P268" s="26"/>
      <c r="Q268" s="26"/>
      <c r="R268" s="26"/>
      <c r="S268" s="26"/>
      <c r="T268" s="124">
        <v>43.666666665395802</v>
      </c>
      <c r="U268" s="124">
        <v>11.705013492050902</v>
      </c>
      <c r="V268" s="124">
        <v>1.793243839339774E-2</v>
      </c>
      <c r="W268" s="124">
        <v>-4.7043968723294834E-3</v>
      </c>
    </row>
    <row r="269" spans="1:23">
      <c r="A269" s="6"/>
      <c r="B269" s="6"/>
      <c r="C269" s="124"/>
      <c r="D269" s="124"/>
      <c r="E269" s="26"/>
      <c r="F269" s="26"/>
      <c r="G269" s="26"/>
      <c r="H269" s="26"/>
      <c r="I269" s="26"/>
      <c r="J269" s="26"/>
      <c r="K269" s="26"/>
      <c r="L269" s="26"/>
      <c r="M269" s="26"/>
      <c r="N269" s="26"/>
      <c r="O269" s="26"/>
      <c r="P269" s="26"/>
      <c r="Q269" s="26"/>
      <c r="R269" s="26"/>
      <c r="S269" s="26"/>
      <c r="T269" s="124">
        <v>43.83333333205762</v>
      </c>
      <c r="U269" s="124">
        <v>11.707881907590147</v>
      </c>
      <c r="V269" s="124">
        <v>1.6548496951911192E-2</v>
      </c>
      <c r="W269" s="124">
        <v>-3.6003520167284041E-3</v>
      </c>
    </row>
    <row r="270" spans="1:23">
      <c r="A270" s="6"/>
      <c r="B270" s="6"/>
      <c r="C270" s="124"/>
      <c r="D270" s="124"/>
      <c r="E270" s="26"/>
      <c r="F270" s="26"/>
      <c r="G270" s="26"/>
      <c r="H270" s="26"/>
      <c r="I270" s="26"/>
      <c r="J270" s="26"/>
      <c r="K270" s="26"/>
      <c r="L270" s="26"/>
      <c r="M270" s="26"/>
      <c r="N270" s="26"/>
      <c r="O270" s="26"/>
      <c r="P270" s="26"/>
      <c r="Q270" s="26"/>
      <c r="R270" s="26"/>
      <c r="S270" s="26"/>
      <c r="T270" s="124">
        <v>43.999999998719431</v>
      </c>
      <c r="U270" s="124">
        <v>11.710550301991841</v>
      </c>
      <c r="V270" s="124">
        <v>1.5532552748450862E-2</v>
      </c>
      <c r="W270" s="124">
        <v>-2.4963711099735449E-3</v>
      </c>
    </row>
    <row r="271" spans="1:23">
      <c r="A271" s="6"/>
      <c r="B271" s="6"/>
      <c r="C271" s="124"/>
      <c r="D271" s="124"/>
      <c r="E271" s="26"/>
      <c r="F271" s="26"/>
      <c r="G271" s="26"/>
      <c r="H271" s="26"/>
      <c r="I271" s="26"/>
      <c r="J271" s="26"/>
      <c r="K271" s="26"/>
      <c r="L271" s="26"/>
      <c r="M271" s="26"/>
      <c r="N271" s="26"/>
      <c r="O271" s="26"/>
      <c r="P271" s="26"/>
      <c r="Q271" s="26"/>
      <c r="R271" s="26"/>
      <c r="S271" s="26"/>
      <c r="T271" s="124">
        <v>44.16666666538125</v>
      </c>
      <c r="U271" s="124">
        <v>11.713080008130021</v>
      </c>
      <c r="V271" s="124">
        <v>1.4884605783016746E-2</v>
      </c>
      <c r="W271" s="124">
        <v>-1.3923902032186859E-3</v>
      </c>
    </row>
    <row r="272" spans="1:23">
      <c r="A272" s="6"/>
      <c r="B272" s="6"/>
      <c r="C272" s="124"/>
      <c r="D272" s="124"/>
      <c r="E272" s="26"/>
      <c r="F272" s="26"/>
      <c r="G272" s="26"/>
      <c r="H272" s="26"/>
      <c r="I272" s="26"/>
      <c r="J272" s="26"/>
      <c r="K272" s="26"/>
      <c r="L272" s="26"/>
      <c r="M272" s="26"/>
      <c r="N272" s="26"/>
      <c r="O272" s="26"/>
      <c r="P272" s="26"/>
      <c r="Q272" s="26"/>
      <c r="R272" s="26"/>
      <c r="S272" s="26"/>
      <c r="T272" s="124">
        <v>44.333333332043068</v>
      </c>
      <c r="U272" s="124">
        <v>11.715532358878724</v>
      </c>
      <c r="V272" s="124">
        <v>1.4604656066266986E-2</v>
      </c>
      <c r="W272" s="124">
        <v>-2.8840929646382679E-4</v>
      </c>
    </row>
    <row r="273" spans="1:23">
      <c r="A273" s="6"/>
      <c r="B273" s="6"/>
      <c r="C273" s="124"/>
      <c r="D273" s="124"/>
      <c r="E273" s="26"/>
      <c r="F273" s="26"/>
      <c r="G273" s="26"/>
      <c r="H273" s="26"/>
      <c r="I273" s="26"/>
      <c r="J273" s="26"/>
      <c r="K273" s="26"/>
      <c r="L273" s="26"/>
      <c r="M273" s="26"/>
      <c r="N273" s="26"/>
      <c r="O273" s="26"/>
      <c r="P273" s="26"/>
      <c r="Q273" s="26"/>
      <c r="R273" s="26"/>
      <c r="S273" s="26"/>
      <c r="T273" s="124">
        <v>44.49999999870488</v>
      </c>
      <c r="U273" s="124">
        <v>11.717968687111989</v>
      </c>
      <c r="V273" s="124">
        <v>1.4692703587543442E-2</v>
      </c>
      <c r="W273" s="124">
        <v>8.1557161029623636E-4</v>
      </c>
    </row>
    <row r="274" spans="1:23">
      <c r="A274" s="6"/>
      <c r="B274" s="6"/>
      <c r="C274" s="124"/>
      <c r="D274" s="124"/>
      <c r="E274" s="26"/>
      <c r="F274" s="26"/>
      <c r="G274" s="26"/>
      <c r="H274" s="26"/>
      <c r="I274" s="26"/>
      <c r="J274" s="26"/>
      <c r="K274" s="26"/>
      <c r="L274" s="26"/>
      <c r="M274" s="26"/>
      <c r="N274" s="26"/>
      <c r="O274" s="26"/>
      <c r="P274" s="26"/>
      <c r="Q274" s="26"/>
      <c r="R274" s="26"/>
      <c r="S274" s="26"/>
      <c r="T274" s="124">
        <v>44.666666665366698</v>
      </c>
      <c r="U274" s="124">
        <v>11.720450325703855</v>
      </c>
      <c r="V274" s="124">
        <v>1.5148748368162395E-2</v>
      </c>
      <c r="W274" s="124">
        <v>1.9195844914742055E-3</v>
      </c>
    </row>
    <row r="275" spans="1:23">
      <c r="A275" s="6"/>
      <c r="B275" s="6"/>
      <c r="C275" s="124"/>
      <c r="D275" s="124"/>
      <c r="E275" s="26"/>
      <c r="F275" s="26"/>
      <c r="G275" s="26"/>
      <c r="H275" s="26"/>
      <c r="I275" s="26"/>
      <c r="J275" s="26"/>
      <c r="K275" s="26"/>
      <c r="L275" s="26"/>
      <c r="M275" s="26"/>
      <c r="N275" s="26"/>
      <c r="O275" s="26"/>
      <c r="P275" s="26"/>
      <c r="Q275" s="26"/>
      <c r="R275" s="26"/>
      <c r="S275" s="26"/>
      <c r="T275" s="124">
        <v>44.833333332028516</v>
      </c>
      <c r="U275" s="124">
        <v>11.723038607528357</v>
      </c>
      <c r="V275" s="124">
        <v>1.5972790386807562E-2</v>
      </c>
      <c r="W275" s="124">
        <v>3.0235973726573787E-3</v>
      </c>
    </row>
    <row r="276" spans="1:23">
      <c r="A276" s="6"/>
      <c r="B276" s="6"/>
      <c r="C276" s="124"/>
      <c r="D276" s="124"/>
      <c r="E276" s="26"/>
      <c r="F276" s="26"/>
      <c r="G276" s="26"/>
      <c r="H276" s="26"/>
      <c r="I276" s="26"/>
      <c r="J276" s="26"/>
      <c r="K276" s="26"/>
      <c r="L276" s="26"/>
      <c r="M276" s="26"/>
      <c r="N276" s="26"/>
      <c r="O276" s="26"/>
      <c r="P276" s="26"/>
      <c r="Q276" s="26"/>
      <c r="R276" s="26"/>
      <c r="S276" s="26"/>
      <c r="T276" s="124">
        <v>44.999999998690328</v>
      </c>
      <c r="U276" s="124">
        <v>11.725794865459537</v>
      </c>
      <c r="V276" s="124">
        <v>1.7164829643478943E-2</v>
      </c>
      <c r="W276" s="124">
        <v>4.1275782794018296E-3</v>
      </c>
    </row>
    <row r="277" spans="1:23">
      <c r="A277" s="6"/>
      <c r="B277" s="6"/>
      <c r="C277" s="124"/>
      <c r="D277" s="124"/>
      <c r="E277" s="26"/>
      <c r="F277" s="26"/>
      <c r="G277" s="26"/>
      <c r="H277" s="26"/>
      <c r="I277" s="26"/>
      <c r="J277" s="26"/>
      <c r="K277" s="26"/>
      <c r="L277" s="26"/>
      <c r="M277" s="26"/>
      <c r="N277" s="26"/>
      <c r="O277" s="26"/>
      <c r="P277" s="26"/>
      <c r="Q277" s="26"/>
      <c r="R277" s="26"/>
      <c r="S277" s="26"/>
      <c r="T277" s="124">
        <v>45.166666665352146</v>
      </c>
      <c r="U277" s="124">
        <v>11.728780432371433</v>
      </c>
      <c r="V277" s="124">
        <v>1.8724866148834684E-2</v>
      </c>
      <c r="W277" s="124">
        <v>5.2315272117439866E-3</v>
      </c>
    </row>
    <row r="278" spans="1:23">
      <c r="A278" s="6"/>
      <c r="B278" s="6"/>
      <c r="C278" s="124"/>
      <c r="D278" s="124"/>
      <c r="E278" s="26"/>
      <c r="F278" s="26"/>
      <c r="G278" s="26"/>
      <c r="H278" s="26"/>
      <c r="I278" s="26"/>
      <c r="J278" s="26"/>
      <c r="K278" s="26"/>
      <c r="L278" s="26"/>
      <c r="M278" s="26"/>
      <c r="N278" s="26"/>
      <c r="O278" s="26"/>
      <c r="P278" s="26"/>
      <c r="Q278" s="26"/>
      <c r="R278" s="26"/>
      <c r="S278" s="26"/>
      <c r="T278" s="124">
        <v>45.333333332013964</v>
      </c>
      <c r="U278" s="124">
        <v>11.732056135470193</v>
      </c>
      <c r="V278" s="124">
        <v>2.0626547073621892E-2</v>
      </c>
      <c r="W278" s="124">
        <v>5.8803522055052562E-3</v>
      </c>
    </row>
    <row r="279" spans="1:23">
      <c r="A279" s="6"/>
      <c r="B279" s="6"/>
      <c r="C279" s="124"/>
      <c r="D279" s="124"/>
      <c r="E279" s="26"/>
      <c r="F279" s="26"/>
      <c r="G279" s="26"/>
      <c r="H279" s="26"/>
      <c r="I279" s="26"/>
      <c r="J279" s="26"/>
      <c r="K279" s="26"/>
      <c r="L279" s="26"/>
      <c r="M279" s="26"/>
      <c r="N279" s="26"/>
      <c r="O279" s="26"/>
      <c r="P279" s="26"/>
      <c r="Q279" s="26"/>
      <c r="R279" s="26"/>
      <c r="S279" s="26"/>
      <c r="T279" s="124">
        <v>45.499999998675776</v>
      </c>
      <c r="U279" s="124">
        <v>11.735655129517195</v>
      </c>
      <c r="V279" s="124">
        <v>2.2551639148761432E-2</v>
      </c>
      <c r="W279" s="124">
        <v>5.6703441945178887E-3</v>
      </c>
    </row>
    <row r="280" spans="1:23">
      <c r="A280" s="6"/>
      <c r="B280" s="6"/>
      <c r="C280" s="124"/>
      <c r="D280" s="124"/>
      <c r="E280" s="26"/>
      <c r="F280" s="26"/>
      <c r="G280" s="26"/>
      <c r="H280" s="26"/>
      <c r="I280" s="26"/>
      <c r="J280" s="26"/>
      <c r="K280" s="26"/>
      <c r="L280" s="26"/>
      <c r="M280" s="26"/>
      <c r="N280" s="26"/>
      <c r="O280" s="26"/>
      <c r="P280" s="26"/>
      <c r="Q280" s="26"/>
      <c r="R280" s="26"/>
      <c r="S280" s="26"/>
      <c r="T280" s="124">
        <v>45.666666665337594</v>
      </c>
      <c r="U280" s="124">
        <v>11.73956914435847</v>
      </c>
      <c r="V280" s="124">
        <v>2.4406726613790182E-2</v>
      </c>
      <c r="W280" s="124">
        <v>5.4604001323767422E-3</v>
      </c>
    </row>
    <row r="281" spans="1:23">
      <c r="A281" s="6"/>
      <c r="B281" s="6"/>
      <c r="C281" s="124"/>
      <c r="D281" s="124"/>
      <c r="E281" s="26"/>
      <c r="F281" s="26"/>
      <c r="G281" s="26"/>
      <c r="H281" s="26"/>
      <c r="I281" s="26"/>
      <c r="J281" s="26"/>
      <c r="K281" s="26"/>
      <c r="L281" s="26"/>
      <c r="M281" s="26"/>
      <c r="N281" s="26"/>
      <c r="O281" s="26"/>
      <c r="P281" s="26"/>
      <c r="Q281" s="26"/>
      <c r="R281" s="26"/>
      <c r="S281" s="26"/>
      <c r="T281" s="124">
        <v>45.833333331999413</v>
      </c>
      <c r="U281" s="124">
        <v>11.743786512557195</v>
      </c>
      <c r="V281" s="124">
        <v>2.6191809447391856E-2</v>
      </c>
      <c r="W281" s="124">
        <v>5.2503921213789663E-3</v>
      </c>
    </row>
    <row r="282" spans="1:23">
      <c r="A282" s="6"/>
      <c r="B282" s="6"/>
      <c r="C282" s="124"/>
      <c r="D282" s="124"/>
      <c r="E282" s="26"/>
      <c r="F282" s="26"/>
      <c r="G282" s="26"/>
      <c r="H282" s="26"/>
      <c r="I282" s="26"/>
      <c r="J282" s="26"/>
      <c r="K282" s="26"/>
      <c r="L282" s="26"/>
      <c r="M282" s="26"/>
      <c r="N282" s="26"/>
      <c r="O282" s="26"/>
      <c r="P282" s="26"/>
      <c r="Q282" s="26"/>
      <c r="R282" s="26"/>
      <c r="S282" s="26"/>
      <c r="T282" s="124">
        <v>45.999999998661224</v>
      </c>
      <c r="U282" s="124">
        <v>11.748295566676546</v>
      </c>
      <c r="V282" s="124">
        <v>2.7906887649566458E-2</v>
      </c>
      <c r="W282" s="124">
        <v>5.0403201615349703E-3</v>
      </c>
    </row>
    <row r="283" spans="1:23">
      <c r="A283" s="6"/>
      <c r="B283" s="6"/>
      <c r="C283" s="124"/>
      <c r="D283" s="124"/>
      <c r="E283" s="26"/>
      <c r="F283" s="26"/>
      <c r="G283" s="26"/>
      <c r="H283" s="26"/>
      <c r="I283" s="26"/>
      <c r="J283" s="26"/>
      <c r="K283" s="26"/>
      <c r="L283" s="26"/>
      <c r="M283" s="26"/>
      <c r="N283" s="26"/>
      <c r="O283" s="26"/>
      <c r="P283" s="26"/>
      <c r="Q283" s="26"/>
      <c r="R283" s="26"/>
      <c r="S283" s="26"/>
      <c r="T283" s="124">
        <v>46.166666665323042</v>
      </c>
      <c r="U283" s="124">
        <v>11.753084639279695</v>
      </c>
      <c r="V283" s="124">
        <v>2.9551961241630269E-2</v>
      </c>
      <c r="W283" s="124">
        <v>4.8303441249707138E-3</v>
      </c>
    </row>
    <row r="284" spans="1:23">
      <c r="A284" s="6"/>
      <c r="B284" s="6"/>
      <c r="C284" s="124"/>
      <c r="D284" s="124"/>
      <c r="E284" s="26"/>
      <c r="F284" s="26"/>
      <c r="G284" s="26"/>
      <c r="H284" s="26"/>
      <c r="I284" s="26"/>
      <c r="J284" s="26"/>
      <c r="K284" s="26"/>
      <c r="L284" s="26"/>
      <c r="M284" s="26"/>
      <c r="N284" s="26"/>
      <c r="O284" s="26"/>
      <c r="P284" s="26"/>
      <c r="Q284" s="26"/>
      <c r="R284" s="26"/>
      <c r="S284" s="26"/>
      <c r="T284" s="124">
        <v>46.333333331984861</v>
      </c>
      <c r="U284" s="124">
        <v>11.758142062929821</v>
      </c>
      <c r="V284" s="124">
        <v>3.1127030202267005E-2</v>
      </c>
      <c r="W284" s="124">
        <v>4.6202721651267178E-3</v>
      </c>
    </row>
    <row r="285" spans="1:23">
      <c r="A285" s="6"/>
      <c r="B285" s="6"/>
      <c r="C285" s="124"/>
      <c r="D285" s="124"/>
      <c r="E285" s="26"/>
      <c r="F285" s="26"/>
      <c r="G285" s="26"/>
      <c r="H285" s="26"/>
      <c r="I285" s="26"/>
      <c r="J285" s="26"/>
      <c r="K285" s="26"/>
      <c r="L285" s="26"/>
      <c r="M285" s="26"/>
      <c r="N285" s="26"/>
      <c r="O285" s="26"/>
      <c r="P285" s="26"/>
      <c r="Q285" s="26"/>
      <c r="R285" s="26"/>
      <c r="S285" s="26"/>
      <c r="T285" s="124">
        <v>46.499999998646672</v>
      </c>
      <c r="U285" s="124">
        <v>11.763456170190095</v>
      </c>
      <c r="V285" s="124">
        <v>3.2632094552792951E-2</v>
      </c>
      <c r="W285" s="124">
        <v>4.4102641541289419E-3</v>
      </c>
    </row>
    <row r="286" spans="1:23">
      <c r="A286" s="6"/>
      <c r="B286" s="6"/>
      <c r="C286" s="124"/>
      <c r="D286" s="124"/>
      <c r="E286" s="26"/>
      <c r="F286" s="26"/>
      <c r="G286" s="26"/>
      <c r="H286" s="26"/>
      <c r="I286" s="26"/>
      <c r="J286" s="26"/>
      <c r="K286" s="26"/>
      <c r="L286" s="26"/>
      <c r="M286" s="26"/>
      <c r="N286" s="26"/>
      <c r="O286" s="26"/>
      <c r="P286" s="26"/>
      <c r="Q286" s="26"/>
      <c r="R286" s="26"/>
      <c r="S286" s="26"/>
      <c r="T286" s="124">
        <v>46.66666666530849</v>
      </c>
      <c r="U286" s="124">
        <v>11.769015293623694</v>
      </c>
      <c r="V286" s="124">
        <v>3.4067154282549965E-2</v>
      </c>
      <c r="W286" s="124">
        <v>4.2002561431207586E-3</v>
      </c>
    </row>
    <row r="287" spans="1:23">
      <c r="A287" s="6"/>
      <c r="B287" s="6"/>
      <c r="C287" s="124"/>
      <c r="D287" s="124"/>
      <c r="E287" s="26"/>
      <c r="F287" s="26"/>
      <c r="G287" s="26"/>
      <c r="H287" s="26"/>
      <c r="I287" s="26"/>
      <c r="J287" s="26"/>
      <c r="K287" s="26"/>
      <c r="L287" s="26"/>
      <c r="M287" s="26"/>
      <c r="N287" s="26"/>
      <c r="O287" s="26"/>
      <c r="P287" s="26"/>
      <c r="Q287" s="26"/>
      <c r="R287" s="26"/>
      <c r="S287" s="26"/>
      <c r="T287" s="124">
        <v>46.833333331970309</v>
      </c>
      <c r="U287" s="124">
        <v>11.774807765793792</v>
      </c>
      <c r="V287" s="124">
        <v>3.5432209391538051E-2</v>
      </c>
      <c r="W287" s="124">
        <v>3.9902801065773178E-3</v>
      </c>
    </row>
    <row r="288" spans="1:23">
      <c r="A288" s="6"/>
      <c r="B288" s="6"/>
      <c r="C288" s="124"/>
      <c r="D288" s="124"/>
      <c r="E288" s="26"/>
      <c r="F288" s="26"/>
      <c r="G288" s="26"/>
      <c r="H288" s="26"/>
      <c r="I288" s="26"/>
      <c r="J288" s="26"/>
      <c r="K288" s="26"/>
      <c r="L288" s="26"/>
      <c r="M288" s="26"/>
      <c r="N288" s="26"/>
      <c r="O288" s="26"/>
      <c r="P288" s="26"/>
      <c r="Q288" s="26"/>
      <c r="R288" s="26"/>
      <c r="S288" s="26"/>
      <c r="T288" s="124">
        <v>46.99999999863212</v>
      </c>
      <c r="U288" s="124">
        <v>11.780821919263564</v>
      </c>
      <c r="V288" s="124">
        <v>3.6727259879757203E-2</v>
      </c>
      <c r="W288" s="124">
        <v>3.7802720955899508E-3</v>
      </c>
    </row>
    <row r="289" spans="1:23">
      <c r="A289" s="6"/>
      <c r="B289" s="6"/>
      <c r="C289" s="124"/>
      <c r="D289" s="124"/>
      <c r="E289" s="26"/>
      <c r="F289" s="26"/>
      <c r="G289" s="26"/>
      <c r="H289" s="26"/>
      <c r="I289" s="26"/>
      <c r="J289" s="26"/>
      <c r="K289" s="26"/>
      <c r="L289" s="26"/>
      <c r="M289" s="26"/>
      <c r="N289" s="26"/>
      <c r="O289" s="26"/>
      <c r="P289" s="26"/>
      <c r="Q289" s="26"/>
      <c r="R289" s="26"/>
      <c r="S289" s="26"/>
      <c r="T289" s="124">
        <v>47.166666665293938</v>
      </c>
      <c r="U289" s="124">
        <v>11.787046086596188</v>
      </c>
      <c r="V289" s="124">
        <v>3.7952305736549279E-2</v>
      </c>
      <c r="W289" s="124">
        <v>3.5702321101586565E-3</v>
      </c>
    </row>
    <row r="290" spans="1:23">
      <c r="A290" s="6"/>
      <c r="B290" s="6"/>
      <c r="C290" s="124"/>
      <c r="D290" s="124"/>
      <c r="E290" s="26"/>
      <c r="F290" s="26"/>
      <c r="G290" s="26"/>
      <c r="H290" s="26"/>
      <c r="I290" s="26"/>
      <c r="J290" s="26"/>
      <c r="K290" s="26"/>
      <c r="L290" s="26"/>
      <c r="M290" s="26"/>
      <c r="N290" s="26"/>
      <c r="O290" s="26"/>
      <c r="P290" s="26"/>
      <c r="Q290" s="26"/>
      <c r="R290" s="26"/>
      <c r="S290" s="26"/>
      <c r="T290" s="124">
        <v>47.333333331955757</v>
      </c>
      <c r="U290" s="124">
        <v>11.793468600354835</v>
      </c>
      <c r="V290" s="124">
        <v>3.9107346983230561E-2</v>
      </c>
      <c r="W290" s="124">
        <v>3.3602240991504728E-3</v>
      </c>
    </row>
    <row r="291" spans="1:23">
      <c r="A291" s="6"/>
      <c r="B291" s="6"/>
      <c r="C291" s="124"/>
      <c r="D291" s="124"/>
      <c r="E291" s="26"/>
      <c r="F291" s="26"/>
      <c r="G291" s="26"/>
      <c r="H291" s="26"/>
      <c r="I291" s="26"/>
      <c r="J291" s="26"/>
      <c r="K291" s="26"/>
      <c r="L291" s="26"/>
      <c r="M291" s="26"/>
      <c r="N291" s="26"/>
      <c r="O291" s="26"/>
      <c r="P291" s="26"/>
      <c r="Q291" s="26"/>
      <c r="R291" s="26"/>
      <c r="S291" s="26"/>
      <c r="T291" s="124">
        <v>47.499999998617568</v>
      </c>
      <c r="U291" s="124">
        <v>11.800077793102682</v>
      </c>
      <c r="V291" s="124">
        <v>4.0192383609142915E-2</v>
      </c>
      <c r="W291" s="124">
        <v>3.1502480625862157E-3</v>
      </c>
    </row>
    <row r="292" spans="1:23">
      <c r="A292" s="6"/>
      <c r="B292" s="6"/>
      <c r="C292" s="124"/>
      <c r="D292" s="124"/>
      <c r="E292" s="26"/>
      <c r="F292" s="26"/>
      <c r="G292" s="26"/>
      <c r="H292" s="26"/>
      <c r="I292" s="26"/>
      <c r="J292" s="26"/>
      <c r="K292" s="26"/>
      <c r="L292" s="26"/>
      <c r="M292" s="26"/>
      <c r="N292" s="26"/>
      <c r="O292" s="26"/>
      <c r="P292" s="26"/>
      <c r="Q292" s="26"/>
      <c r="R292" s="26"/>
      <c r="S292" s="26"/>
      <c r="T292" s="124">
        <v>47.666666665279386</v>
      </c>
      <c r="U292" s="124">
        <v>11.806861997402905</v>
      </c>
      <c r="V292" s="124">
        <v>4.1207415614286341E-2</v>
      </c>
      <c r="W292" s="124">
        <v>2.9402400515988482E-3</v>
      </c>
    </row>
    <row r="293" spans="1:23">
      <c r="A293" s="6"/>
      <c r="B293" s="6"/>
      <c r="C293" s="124"/>
      <c r="D293" s="124"/>
      <c r="E293" s="26"/>
      <c r="F293" s="26"/>
      <c r="G293" s="26"/>
      <c r="H293" s="26"/>
      <c r="I293" s="26"/>
      <c r="J293" s="26"/>
      <c r="K293" s="26"/>
      <c r="L293" s="26"/>
      <c r="M293" s="26"/>
      <c r="N293" s="26"/>
      <c r="O293" s="26"/>
      <c r="P293" s="26"/>
      <c r="Q293" s="26"/>
      <c r="R293" s="26"/>
      <c r="S293" s="26"/>
      <c r="T293" s="124">
        <v>47.833333331941205</v>
      </c>
      <c r="U293" s="124">
        <v>11.813809545818678</v>
      </c>
      <c r="V293" s="124">
        <v>4.2152442988002685E-2</v>
      </c>
      <c r="W293" s="124">
        <v>2.7301680917444443E-3</v>
      </c>
    </row>
    <row r="294" spans="1:23">
      <c r="A294" s="6"/>
      <c r="B294" s="6"/>
      <c r="C294" s="124"/>
      <c r="D294" s="124"/>
      <c r="E294" s="26"/>
      <c r="F294" s="26"/>
      <c r="G294" s="26"/>
      <c r="H294" s="26"/>
      <c r="I294" s="26"/>
      <c r="J294" s="26"/>
      <c r="K294" s="26"/>
      <c r="L294" s="26"/>
      <c r="M294" s="26"/>
      <c r="N294" s="26"/>
      <c r="O294" s="26"/>
      <c r="P294" s="26"/>
      <c r="Q294" s="26"/>
      <c r="R294" s="26"/>
      <c r="S294" s="26"/>
      <c r="T294" s="124">
        <v>47.999999998603016</v>
      </c>
      <c r="U294" s="124">
        <v>11.820908770913174</v>
      </c>
      <c r="V294" s="124">
        <v>4.3027465740950108E-2</v>
      </c>
      <c r="W294" s="124">
        <v>2.5201600807778935E-3</v>
      </c>
    </row>
    <row r="295" spans="1:23">
      <c r="A295" s="6"/>
      <c r="B295" s="6"/>
      <c r="C295" s="124"/>
      <c r="D295" s="124"/>
      <c r="E295" s="26"/>
      <c r="F295" s="26"/>
      <c r="G295" s="26"/>
      <c r="H295" s="26"/>
      <c r="I295" s="26"/>
      <c r="J295" s="26"/>
      <c r="K295" s="26"/>
      <c r="L295" s="26"/>
      <c r="M295" s="26"/>
      <c r="N295" s="26"/>
      <c r="O295" s="26"/>
      <c r="P295" s="26"/>
      <c r="Q295" s="26"/>
      <c r="R295" s="26"/>
      <c r="S295" s="26"/>
      <c r="T295" s="124">
        <v>48.166666665264835</v>
      </c>
      <c r="U295" s="124">
        <v>11.82814800524957</v>
      </c>
      <c r="V295" s="124">
        <v>4.3832483894444871E-2</v>
      </c>
      <c r="W295" s="124">
        <v>2.3101840441928198E-3</v>
      </c>
    </row>
    <row r="296" spans="1:23">
      <c r="A296" s="6"/>
      <c r="B296" s="6"/>
      <c r="C296" s="124"/>
      <c r="D296" s="124"/>
      <c r="E296" s="26"/>
      <c r="F296" s="26"/>
      <c r="G296" s="26"/>
      <c r="H296" s="26"/>
      <c r="I296" s="26"/>
      <c r="J296" s="26"/>
      <c r="K296" s="26"/>
      <c r="L296" s="26"/>
      <c r="M296" s="26"/>
      <c r="N296" s="26"/>
      <c r="O296" s="26"/>
      <c r="P296" s="26"/>
      <c r="Q296" s="26"/>
      <c r="R296" s="26"/>
      <c r="S296" s="26"/>
      <c r="T296" s="124">
        <v>48.333333331926653</v>
      </c>
      <c r="U296" s="124">
        <v>11.835515581391043</v>
      </c>
      <c r="V296" s="124">
        <v>4.4567497405854424E-2</v>
      </c>
      <c r="W296" s="124">
        <v>2.1001440587823427E-3</v>
      </c>
    </row>
    <row r="297" spans="1:23">
      <c r="A297" s="6"/>
      <c r="B297" s="6"/>
      <c r="C297" s="124"/>
      <c r="D297" s="124"/>
      <c r="E297" s="26"/>
      <c r="F297" s="26"/>
      <c r="G297" s="26"/>
      <c r="H297" s="26"/>
      <c r="I297" s="26"/>
      <c r="J297" s="26"/>
      <c r="K297" s="26"/>
      <c r="L297" s="26"/>
      <c r="M297" s="26"/>
      <c r="N297" s="26"/>
      <c r="O297" s="26"/>
      <c r="P297" s="26"/>
      <c r="Q297" s="26"/>
      <c r="R297" s="26"/>
      <c r="S297" s="26"/>
      <c r="T297" s="124">
        <v>48.499999998588464</v>
      </c>
      <c r="U297" s="124">
        <v>11.842999831900764</v>
      </c>
      <c r="V297" s="124">
        <v>4.5232506296495043E-2</v>
      </c>
      <c r="W297" s="124">
        <v>1.8901040733718651E-3</v>
      </c>
    </row>
    <row r="298" spans="1:23">
      <c r="A298" s="6"/>
      <c r="B298" s="6"/>
      <c r="C298" s="124"/>
      <c r="D298" s="124"/>
      <c r="E298" s="26"/>
      <c r="F298" s="26"/>
      <c r="G298" s="26"/>
      <c r="H298" s="26"/>
      <c r="I298" s="26"/>
      <c r="J298" s="26"/>
      <c r="K298" s="26"/>
      <c r="L298" s="26"/>
      <c r="M298" s="26"/>
      <c r="N298" s="26"/>
      <c r="O298" s="26"/>
      <c r="P298" s="26"/>
      <c r="Q298" s="26"/>
      <c r="R298" s="26"/>
      <c r="S298" s="26"/>
      <c r="T298" s="124">
        <v>48.666666665250283</v>
      </c>
      <c r="U298" s="124">
        <v>11.850589089341909</v>
      </c>
      <c r="V298" s="124">
        <v>4.5827510577024874E-2</v>
      </c>
      <c r="W298" s="124">
        <v>1.6801280368076081E-3</v>
      </c>
    </row>
    <row r="299" spans="1:23">
      <c r="A299" s="6"/>
      <c r="B299" s="6"/>
      <c r="C299" s="124"/>
      <c r="D299" s="124"/>
      <c r="E299" s="26"/>
      <c r="F299" s="26"/>
      <c r="G299" s="26"/>
      <c r="H299" s="26"/>
      <c r="I299" s="26"/>
      <c r="J299" s="26"/>
      <c r="K299" s="26"/>
      <c r="L299" s="26"/>
      <c r="M299" s="26"/>
      <c r="N299" s="26"/>
      <c r="O299" s="26"/>
      <c r="P299" s="26"/>
      <c r="Q299" s="26"/>
      <c r="R299" s="26"/>
      <c r="S299" s="26"/>
      <c r="T299" s="124">
        <v>48.833333331912101</v>
      </c>
      <c r="U299" s="124">
        <v>11.858271686277655</v>
      </c>
      <c r="V299" s="124">
        <v>4.6352510236785771E-2</v>
      </c>
      <c r="W299" s="124">
        <v>1.4701200257994241E-3</v>
      </c>
    </row>
    <row r="300" spans="1:23">
      <c r="A300" s="6"/>
      <c r="B300" s="6"/>
      <c r="C300" s="124"/>
      <c r="D300" s="124"/>
      <c r="E300" s="26"/>
      <c r="F300" s="26"/>
      <c r="G300" s="26"/>
      <c r="H300" s="26"/>
      <c r="I300" s="26"/>
      <c r="J300" s="26"/>
      <c r="K300" s="26"/>
      <c r="L300" s="26"/>
      <c r="M300" s="26"/>
      <c r="N300" s="26"/>
      <c r="O300" s="26"/>
      <c r="P300" s="26"/>
      <c r="Q300" s="26"/>
      <c r="R300" s="26"/>
      <c r="S300" s="26"/>
      <c r="T300" s="124">
        <v>48.999999998573912</v>
      </c>
      <c r="U300" s="124">
        <v>11.866035955271176</v>
      </c>
      <c r="V300" s="124">
        <v>4.6807505265119592E-2</v>
      </c>
      <c r="W300" s="124">
        <v>1.260112014812057E-3</v>
      </c>
    </row>
    <row r="301" spans="1:23">
      <c r="A301" s="6"/>
      <c r="B301" s="6"/>
      <c r="C301" s="124"/>
      <c r="D301" s="124"/>
      <c r="E301" s="26"/>
      <c r="F301" s="26"/>
      <c r="G301" s="26"/>
      <c r="H301" s="26"/>
      <c r="I301" s="26"/>
      <c r="J301" s="26"/>
      <c r="K301" s="26"/>
      <c r="L301" s="26"/>
      <c r="M301" s="26"/>
      <c r="N301" s="26"/>
      <c r="O301" s="26"/>
      <c r="P301" s="26"/>
      <c r="Q301" s="26"/>
      <c r="R301" s="26"/>
      <c r="S301" s="26"/>
      <c r="T301" s="124">
        <v>49.166666665235731</v>
      </c>
      <c r="U301" s="124">
        <v>11.873870228885648</v>
      </c>
      <c r="V301" s="124">
        <v>4.7192495672684485E-2</v>
      </c>
      <c r="W301" s="124">
        <v>1.0500400549784694E-3</v>
      </c>
    </row>
    <row r="302" spans="1:23">
      <c r="A302" s="6"/>
      <c r="B302" s="6"/>
      <c r="C302" s="124"/>
      <c r="D302" s="124"/>
      <c r="E302" s="26"/>
      <c r="F302" s="26"/>
      <c r="G302" s="26"/>
      <c r="H302" s="26"/>
      <c r="I302" s="26"/>
      <c r="J302" s="26"/>
      <c r="K302" s="26"/>
      <c r="L302" s="26"/>
      <c r="M302" s="26"/>
      <c r="N302" s="26"/>
      <c r="O302" s="26"/>
      <c r="P302" s="26"/>
      <c r="Q302" s="26"/>
      <c r="R302" s="26"/>
      <c r="S302" s="26"/>
      <c r="T302" s="124">
        <v>49.333333331897549</v>
      </c>
      <c r="U302" s="124">
        <v>11.881762839684244</v>
      </c>
      <c r="V302" s="124">
        <v>4.7507481470138585E-2</v>
      </c>
      <c r="W302" s="124">
        <v>8.4006401839339571E-4</v>
      </c>
    </row>
    <row r="303" spans="1:23">
      <c r="A303" s="6"/>
      <c r="B303" s="6"/>
      <c r="C303" s="124"/>
      <c r="D303" s="124"/>
      <c r="E303" s="26"/>
      <c r="F303" s="26"/>
      <c r="G303" s="26"/>
      <c r="H303" s="26"/>
      <c r="I303" s="26"/>
      <c r="J303" s="26"/>
      <c r="K303" s="26"/>
      <c r="L303" s="26"/>
      <c r="M303" s="26"/>
      <c r="N303" s="26"/>
      <c r="O303" s="26"/>
      <c r="P303" s="26"/>
      <c r="Q303" s="26"/>
      <c r="R303" s="26"/>
      <c r="S303" s="26"/>
      <c r="T303" s="124">
        <v>49.49999999855936</v>
      </c>
      <c r="U303" s="124">
        <v>11.889702120230139</v>
      </c>
      <c r="V303" s="124">
        <v>4.775246264682375E-2</v>
      </c>
      <c r="W303" s="124">
        <v>6.3008798180832191E-4</v>
      </c>
    </row>
    <row r="304" spans="1:23">
      <c r="A304" s="6"/>
      <c r="B304" s="6"/>
      <c r="C304" s="124"/>
      <c r="D304" s="124"/>
      <c r="E304" s="26"/>
      <c r="F304" s="26"/>
      <c r="G304" s="26"/>
      <c r="H304" s="26"/>
      <c r="I304" s="26"/>
      <c r="J304" s="26"/>
      <c r="K304" s="26"/>
      <c r="L304" s="26"/>
      <c r="M304" s="26"/>
      <c r="N304" s="26"/>
      <c r="O304" s="26"/>
      <c r="P304" s="26"/>
      <c r="Q304" s="26"/>
      <c r="R304" s="26"/>
      <c r="S304" s="26"/>
      <c r="T304" s="124">
        <v>49.666666665221179</v>
      </c>
      <c r="U304" s="124">
        <v>11.897676403086511</v>
      </c>
      <c r="V304" s="124">
        <v>4.7927439192081846E-2</v>
      </c>
      <c r="W304" s="124">
        <v>4.2001602197473442E-4</v>
      </c>
    </row>
    <row r="305" spans="1:23">
      <c r="A305" s="6"/>
      <c r="B305" s="6"/>
      <c r="C305" s="124"/>
      <c r="D305" s="124"/>
      <c r="E305" s="26"/>
      <c r="F305" s="26"/>
      <c r="G305" s="26"/>
      <c r="H305" s="26"/>
      <c r="I305" s="26"/>
      <c r="J305" s="26"/>
      <c r="K305" s="26"/>
      <c r="L305" s="26"/>
      <c r="M305" s="26"/>
      <c r="N305" s="26"/>
      <c r="O305" s="26"/>
      <c r="P305" s="26"/>
      <c r="Q305" s="26"/>
      <c r="R305" s="26"/>
      <c r="S305" s="26"/>
      <c r="T305" s="124">
        <v>49.833333331882997</v>
      </c>
      <c r="U305" s="124">
        <v>11.90567402081653</v>
      </c>
      <c r="V305" s="124">
        <v>4.8032411127229155E-2</v>
      </c>
      <c r="W305" s="124">
        <v>2.1003998543129405E-4</v>
      </c>
    </row>
    <row r="306" spans="1:23">
      <c r="A306" s="6"/>
      <c r="B306" s="6"/>
      <c r="C306" s="124"/>
      <c r="D306" s="124"/>
      <c r="E306" s="26"/>
      <c r="F306" s="26"/>
      <c r="G306" s="26"/>
      <c r="H306" s="26"/>
      <c r="I306" s="26"/>
      <c r="J306" s="26"/>
      <c r="K306" s="26"/>
      <c r="L306" s="26"/>
      <c r="M306" s="26"/>
      <c r="N306" s="26"/>
      <c r="O306" s="26"/>
      <c r="P306" s="26"/>
      <c r="Q306" s="26"/>
      <c r="R306" s="26"/>
      <c r="S306" s="26"/>
      <c r="T306" s="124">
        <v>49.999999998544808</v>
      </c>
      <c r="U306" s="124">
        <v>11.913683305983376</v>
      </c>
      <c r="V306" s="124">
        <v>4.8067378430949381E-2</v>
      </c>
      <c r="W306" s="124">
        <v>0</v>
      </c>
    </row>
  </sheetData>
  <phoneticPr fontId="0" type="noConversion"/>
  <pageMargins left="0.78740157499999996" right="0.78740157499999996" top="0.984251969" bottom="0.984251969" header="0.49212598499999999" footer="0.49212598499999999"/>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7443" r:id="rId4" name="Button 35">
              <controlPr defaultSize="0" print="0" autoFill="0" autoPict="0" macro="[0]!Splinter">
                <anchor moveWithCells="1" sizeWithCells="1">
                  <from>
                    <xdr:col>3</xdr:col>
                    <xdr:colOff>581025</xdr:colOff>
                    <xdr:row>2</xdr:row>
                    <xdr:rowOff>57150</xdr:rowOff>
                  </from>
                  <to>
                    <xdr:col>5</xdr:col>
                    <xdr:colOff>561975</xdr:colOff>
                    <xdr:row>3</xdr:row>
                    <xdr:rowOff>276225</xdr:rowOff>
                  </to>
                </anchor>
              </controlPr>
            </control>
          </mc:Choice>
        </mc:AlternateContent>
        <mc:AlternateContent xmlns:mc="http://schemas.openxmlformats.org/markup-compatibility/2006">
          <mc:Choice Requires="x14">
            <control shapeId="17453" r:id="rId5" name="Button 45">
              <controlPr defaultSize="0" print="0" autoFill="0" autoPict="0" macro="[0]!Eval_Clear_Data">
                <anchor moveWithCells="1" sizeWithCells="1">
                  <from>
                    <xdr:col>0</xdr:col>
                    <xdr:colOff>66675</xdr:colOff>
                    <xdr:row>2</xdr:row>
                    <xdr:rowOff>57150</xdr:rowOff>
                  </from>
                  <to>
                    <xdr:col>1</xdr:col>
                    <xdr:colOff>495300</xdr:colOff>
                    <xdr:row>2</xdr:row>
                    <xdr:rowOff>304800</xdr:rowOff>
                  </to>
                </anchor>
              </controlPr>
            </control>
          </mc:Choice>
        </mc:AlternateContent>
        <mc:AlternateContent xmlns:mc="http://schemas.openxmlformats.org/markup-compatibility/2006">
          <mc:Choice Requires="x14">
            <control shapeId="17454" r:id="rId6" name="Button 46">
              <controlPr defaultSize="0" print="0" autoFill="0" autoPict="0" macro="[0]!Eval_dados_Tit">
                <anchor moveWithCells="1" sizeWithCells="1">
                  <from>
                    <xdr:col>2</xdr:col>
                    <xdr:colOff>47625</xdr:colOff>
                    <xdr:row>2</xdr:row>
                    <xdr:rowOff>57150</xdr:rowOff>
                  </from>
                  <to>
                    <xdr:col>3</xdr:col>
                    <xdr:colOff>504825</xdr:colOff>
                    <xdr:row>2</xdr:row>
                    <xdr:rowOff>295275</xdr:rowOff>
                  </to>
                </anchor>
              </controlPr>
            </control>
          </mc:Choice>
        </mc:AlternateContent>
        <mc:AlternateContent xmlns:mc="http://schemas.openxmlformats.org/markup-compatibility/2006">
          <mc:Choice Requires="x14">
            <control shapeId="17455" r:id="rId7" name="Button 47">
              <controlPr defaultSize="0" print="0" autoFill="0" autoPict="0" macro="[0]!Eval_dados_Sim_Disp">
                <anchor moveWithCells="1" sizeWithCells="1">
                  <from>
                    <xdr:col>1</xdr:col>
                    <xdr:colOff>561975</xdr:colOff>
                    <xdr:row>3</xdr:row>
                    <xdr:rowOff>38100</xdr:rowOff>
                  </from>
                  <to>
                    <xdr:col>3</xdr:col>
                    <xdr:colOff>504825</xdr:colOff>
                    <xdr:row>3</xdr:row>
                    <xdr:rowOff>266700</xdr:rowOff>
                  </to>
                </anchor>
              </controlPr>
            </control>
          </mc:Choice>
        </mc:AlternateContent>
        <mc:AlternateContent xmlns:mc="http://schemas.openxmlformats.org/markup-compatibility/2006">
          <mc:Choice Requires="x14">
            <control shapeId="18403" r:id="rId8" name="Button 995">
              <controlPr defaultSize="0" print="0" autoFill="0" autoPict="0" macro="[0]!Eval_Copia_volumes">
                <anchor moveWithCells="1" sizeWithCells="1">
                  <from>
                    <xdr:col>14</xdr:col>
                    <xdr:colOff>295275</xdr:colOff>
                    <xdr:row>20</xdr:row>
                    <xdr:rowOff>57150</xdr:rowOff>
                  </from>
                  <to>
                    <xdr:col>15</xdr:col>
                    <xdr:colOff>781050</xdr:colOff>
                    <xdr:row>21</xdr:row>
                    <xdr:rowOff>142875</xdr:rowOff>
                  </to>
                </anchor>
              </controlPr>
            </control>
          </mc:Choice>
        </mc:AlternateContent>
        <mc:AlternateContent xmlns:mc="http://schemas.openxmlformats.org/markup-compatibility/2006">
          <mc:Choice Requires="x14">
            <control shapeId="5525507" r:id="rId9" name="Button 1027">
              <controlPr defaultSize="0" print="0" autoFill="0" autoPict="0" macro="[0]!Eval_dados_Sim">
                <anchor moveWithCells="1" sizeWithCells="1">
                  <from>
                    <xdr:col>0</xdr:col>
                    <xdr:colOff>66675</xdr:colOff>
                    <xdr:row>3</xdr:row>
                    <xdr:rowOff>28575</xdr:rowOff>
                  </from>
                  <to>
                    <xdr:col>1</xdr:col>
                    <xdr:colOff>504825</xdr:colOff>
                    <xdr:row>3</xdr:row>
                    <xdr:rowOff>266700</xdr:rowOff>
                  </to>
                </anchor>
              </controlPr>
            </control>
          </mc:Choice>
        </mc:AlternateContent>
        <mc:AlternateContent xmlns:mc="http://schemas.openxmlformats.org/markup-compatibility/2006">
          <mc:Choice Requires="x14">
            <control shapeId="5525512" r:id="rId10" name="Button 1032">
              <controlPr defaultSize="0" print="0" autoFill="0" autoPict="0" macro="[0]!Result_Evaluation">
                <anchor moveWithCells="1" sizeWithCells="1">
                  <from>
                    <xdr:col>15</xdr:col>
                    <xdr:colOff>571500</xdr:colOff>
                    <xdr:row>18</xdr:row>
                    <xdr:rowOff>47625</xdr:rowOff>
                  </from>
                  <to>
                    <xdr:col>17</xdr:col>
                    <xdr:colOff>704850</xdr:colOff>
                    <xdr:row>19</xdr:row>
                    <xdr:rowOff>133350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ilha3"/>
  <dimension ref="A1:AQ4"/>
  <sheetViews>
    <sheetView zoomScale="85" zoomScaleNormal="85" workbookViewId="0"/>
  </sheetViews>
  <sheetFormatPr defaultRowHeight="12.75"/>
  <cols>
    <col min="1" max="1" width="16.7109375" customWidth="1"/>
    <col min="2" max="3" width="7.28515625" customWidth="1"/>
    <col min="4" max="4" width="13.28515625" customWidth="1"/>
    <col min="5" max="5" width="9.5703125" bestFit="1" customWidth="1"/>
    <col min="6" max="7" width="10" customWidth="1"/>
    <col min="8" max="8" width="12" customWidth="1"/>
    <col min="9" max="9" width="10.28515625" customWidth="1"/>
    <col min="10" max="10" width="15.140625" customWidth="1"/>
    <col min="11" max="11" width="11.7109375" customWidth="1"/>
    <col min="12" max="12" width="12.28515625" customWidth="1"/>
    <col min="13" max="13" width="10" customWidth="1"/>
  </cols>
  <sheetData>
    <row r="1" spans="1:43" ht="24" customHeight="1">
      <c r="A1" s="1368"/>
      <c r="B1" s="1368" t="s">
        <v>547</v>
      </c>
      <c r="C1" s="1369" t="s">
        <v>1158</v>
      </c>
      <c r="D1" s="361"/>
      <c r="E1" s="361"/>
      <c r="F1" s="361"/>
      <c r="G1" s="1370"/>
      <c r="H1" s="361"/>
      <c r="I1" s="361"/>
      <c r="J1" s="361"/>
      <c r="K1" s="361"/>
      <c r="L1" s="361"/>
      <c r="M1" s="361"/>
      <c r="N1" s="361"/>
      <c r="O1" s="361"/>
      <c r="P1" s="361"/>
      <c r="Q1" s="361"/>
      <c r="R1" s="361"/>
      <c r="S1" s="361"/>
      <c r="T1" s="361"/>
      <c r="U1" s="26"/>
      <c r="V1" s="26"/>
      <c r="W1" s="26"/>
      <c r="X1" s="26"/>
      <c r="Y1" s="26"/>
      <c r="Z1" s="26"/>
      <c r="AA1" s="26"/>
      <c r="AB1" s="26"/>
      <c r="AC1" s="26"/>
      <c r="AD1" s="26"/>
      <c r="AE1" s="26"/>
      <c r="AF1" s="26"/>
      <c r="AG1" s="26"/>
      <c r="AH1" s="26"/>
      <c r="AI1" s="26"/>
      <c r="AJ1" s="26"/>
      <c r="AK1" s="26"/>
      <c r="AL1" s="26"/>
      <c r="AM1" s="26"/>
      <c r="AN1" s="26"/>
      <c r="AO1" s="26"/>
      <c r="AP1" s="26"/>
      <c r="AQ1" s="26"/>
    </row>
    <row r="2" spans="1:43" ht="20.100000000000001" customHeight="1">
      <c r="A2" s="26"/>
      <c r="B2" s="26"/>
      <c r="C2" s="26"/>
      <c r="D2" s="26"/>
      <c r="E2" s="26"/>
      <c r="F2" s="26"/>
      <c r="G2" s="26"/>
      <c r="H2" s="26"/>
      <c r="I2" s="26"/>
      <c r="J2" s="26"/>
      <c r="K2" s="26"/>
      <c r="L2" s="26"/>
      <c r="M2" s="26"/>
      <c r="N2" s="26"/>
      <c r="O2" s="26"/>
      <c r="P2" s="26"/>
      <c r="Q2" s="26"/>
      <c r="R2" s="26"/>
      <c r="S2" s="26"/>
      <c r="T2" s="26"/>
      <c r="U2" s="26"/>
      <c r="V2" s="26"/>
      <c r="W2" s="26"/>
      <c r="X2" s="26"/>
      <c r="Y2" s="26"/>
      <c r="Z2" s="26"/>
      <c r="AA2" s="26"/>
      <c r="AB2" s="26"/>
      <c r="AC2" s="26"/>
      <c r="AD2" s="26"/>
      <c r="AE2" s="26"/>
      <c r="AF2" s="26"/>
      <c r="AG2" s="26"/>
      <c r="AH2" s="26"/>
      <c r="AI2" s="26"/>
      <c r="AJ2" s="26"/>
      <c r="AK2" s="26"/>
      <c r="AL2" s="26"/>
      <c r="AM2" s="26"/>
      <c r="AN2" s="26"/>
      <c r="AO2" s="26"/>
      <c r="AP2" s="26"/>
      <c r="AQ2" s="26"/>
    </row>
    <row r="3" spans="1:43" ht="20.100000000000001" customHeight="1">
      <c r="A3" s="26"/>
      <c r="B3" s="26"/>
      <c r="C3" s="26"/>
      <c r="D3" s="26"/>
      <c r="E3" s="26"/>
      <c r="F3" s="26"/>
      <c r="G3" s="26"/>
      <c r="H3" s="26"/>
      <c r="I3" s="26"/>
      <c r="J3" s="26"/>
      <c r="K3" s="26"/>
      <c r="L3" s="26"/>
      <c r="M3" s="26"/>
      <c r="N3" s="26"/>
      <c r="O3" s="26"/>
      <c r="P3" s="26"/>
      <c r="Q3" s="26"/>
      <c r="R3" s="26"/>
      <c r="S3" s="26"/>
      <c r="T3" s="26"/>
      <c r="U3" s="26"/>
      <c r="V3" s="26"/>
      <c r="W3" s="26"/>
      <c r="X3" s="26"/>
      <c r="Y3" s="26"/>
      <c r="Z3" s="26"/>
      <c r="AA3" s="26"/>
      <c r="AB3" s="26"/>
      <c r="AC3" s="26"/>
      <c r="AD3" s="26"/>
      <c r="AE3" s="26"/>
      <c r="AF3" s="26"/>
      <c r="AG3" s="26"/>
      <c r="AH3" s="26"/>
      <c r="AI3" s="26"/>
      <c r="AJ3" s="26"/>
      <c r="AK3" s="26"/>
      <c r="AL3" s="26"/>
      <c r="AM3" s="26"/>
      <c r="AN3" s="26"/>
      <c r="AO3" s="26"/>
      <c r="AP3" s="26"/>
      <c r="AQ3" s="26"/>
    </row>
    <row r="4" spans="1:43" ht="20.100000000000001" customHeight="1">
      <c r="A4" s="94"/>
      <c r="B4" s="1371" t="s">
        <v>1156</v>
      </c>
      <c r="C4" s="26"/>
      <c r="D4" s="26"/>
      <c r="E4" s="26"/>
      <c r="F4" s="26"/>
      <c r="G4" s="26"/>
      <c r="H4" s="26"/>
      <c r="I4" s="26"/>
      <c r="J4" s="26"/>
      <c r="K4" s="26"/>
      <c r="L4" s="26"/>
      <c r="M4" s="26"/>
      <c r="N4" s="26"/>
      <c r="O4" s="26"/>
      <c r="P4" s="26"/>
      <c r="Q4" s="26"/>
      <c r="R4" s="26"/>
      <c r="S4" s="26"/>
      <c r="T4" s="26"/>
      <c r="U4" s="26"/>
      <c r="V4" s="26"/>
      <c r="W4" s="26"/>
      <c r="X4" s="26"/>
      <c r="Y4" s="26"/>
      <c r="Z4" s="26"/>
      <c r="AA4" s="26"/>
      <c r="AB4" s="26"/>
      <c r="AC4" s="26"/>
      <c r="AD4" s="26"/>
      <c r="AE4" s="26"/>
      <c r="AF4" s="26"/>
      <c r="AG4" s="26"/>
      <c r="AH4" s="26"/>
      <c r="AI4" s="26"/>
      <c r="AJ4" s="26"/>
      <c r="AK4" s="26"/>
      <c r="AL4" s="26"/>
      <c r="AM4" s="26"/>
      <c r="AN4" s="26"/>
      <c r="AO4" s="26"/>
      <c r="AP4" s="26"/>
      <c r="AQ4" s="26"/>
    </row>
  </sheetData>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5541889" r:id="rId3" name="Button 1">
              <controlPr defaultSize="0" print="0" autoFill="0" autoPict="0" macro="[0]!Result_Evaluation">
                <anchor moveWithCells="1" sizeWithCells="1">
                  <from>
                    <xdr:col>2</xdr:col>
                    <xdr:colOff>238125</xdr:colOff>
                    <xdr:row>1</xdr:row>
                    <xdr:rowOff>76200</xdr:rowOff>
                  </from>
                  <to>
                    <xdr:col>6</xdr:col>
                    <xdr:colOff>676275</xdr:colOff>
                    <xdr:row>2</xdr:row>
                    <xdr:rowOff>190500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3"/>
  <dimension ref="A1:BA202"/>
  <sheetViews>
    <sheetView zoomScale="85" zoomScaleNormal="85" workbookViewId="0"/>
  </sheetViews>
  <sheetFormatPr defaultRowHeight="12.75"/>
  <cols>
    <col min="1" max="1" width="13.7109375" style="5" customWidth="1"/>
    <col min="2" max="2" width="14.7109375" style="5" customWidth="1"/>
    <col min="3" max="7" width="14.7109375" customWidth="1"/>
    <col min="8" max="8" width="19.85546875" customWidth="1"/>
    <col min="9" max="9" width="15.28515625" customWidth="1"/>
    <col min="10" max="12" width="15.85546875" customWidth="1"/>
    <col min="13" max="13" width="16.5703125" customWidth="1"/>
    <col min="14" max="16" width="15.7109375" customWidth="1"/>
    <col min="17" max="17" width="16" customWidth="1"/>
    <col min="18" max="18" width="16.85546875" customWidth="1"/>
    <col min="19" max="19" width="14" customWidth="1"/>
    <col min="20" max="20" width="14.28515625" customWidth="1"/>
    <col min="21" max="21" width="14.7109375" customWidth="1"/>
    <col min="22" max="22" width="12.7109375" style="1" customWidth="1"/>
    <col min="23" max="25" width="12.7109375" customWidth="1"/>
    <col min="26" max="26" width="12.7109375" style="1" customWidth="1"/>
    <col min="27" max="31" width="12.7109375" customWidth="1"/>
    <col min="32" max="32" width="18.42578125" customWidth="1"/>
    <col min="33" max="37" width="12.7109375" customWidth="1"/>
    <col min="38" max="38" width="12.7109375" style="10" customWidth="1"/>
    <col min="39" max="39" width="10.85546875" customWidth="1"/>
    <col min="40" max="40" width="10.140625" customWidth="1"/>
    <col min="41" max="41" width="10.28515625" customWidth="1"/>
    <col min="42" max="51" width="10.7109375" customWidth="1"/>
  </cols>
  <sheetData>
    <row r="1" spans="1:51" ht="24" customHeight="1">
      <c r="A1" s="125"/>
      <c r="B1" s="88" t="s">
        <v>606</v>
      </c>
      <c r="C1" s="408"/>
      <c r="D1" s="408"/>
      <c r="E1" s="408"/>
      <c r="F1" s="409"/>
      <c r="G1" s="555" t="s">
        <v>747</v>
      </c>
      <c r="H1" s="410"/>
      <c r="I1" s="410"/>
      <c r="J1" s="319"/>
      <c r="K1" s="353" t="s">
        <v>0</v>
      </c>
      <c r="L1" s="213"/>
      <c r="M1" s="213"/>
      <c r="N1" s="400" t="s">
        <v>641</v>
      </c>
      <c r="O1" s="400"/>
      <c r="P1" s="400"/>
      <c r="Q1" s="213"/>
      <c r="R1" s="213"/>
      <c r="S1" s="213"/>
      <c r="T1" s="213"/>
      <c r="U1" s="323" t="s">
        <v>1</v>
      </c>
      <c r="V1" s="392"/>
      <c r="W1" s="215"/>
      <c r="X1" s="215"/>
      <c r="Y1" s="215"/>
      <c r="Z1" s="101"/>
      <c r="AA1" s="101"/>
      <c r="AB1" s="312"/>
      <c r="AC1" s="303"/>
      <c r="AD1" s="302"/>
      <c r="AE1" s="304"/>
      <c r="AF1" s="319" t="s">
        <v>684</v>
      </c>
      <c r="AG1" s="213"/>
      <c r="AH1" s="213"/>
      <c r="AI1" s="213"/>
      <c r="AJ1" s="213"/>
      <c r="AK1" s="213"/>
      <c r="AL1" s="213"/>
      <c r="AM1" s="216"/>
      <c r="AN1" s="57"/>
      <c r="AO1" s="57"/>
      <c r="AP1" s="1109" t="s">
        <v>1053</v>
      </c>
      <c r="AQ1" s="1110"/>
      <c r="AR1" s="1110"/>
      <c r="AS1" s="1110"/>
      <c r="AT1" s="1110"/>
      <c r="AU1" s="1110"/>
      <c r="AV1" s="1110"/>
      <c r="AW1" s="1110"/>
      <c r="AX1" s="1110"/>
      <c r="AY1" s="1110"/>
    </row>
    <row r="2" spans="1:51" s="15" customFormat="1" ht="18" customHeight="1" thickBot="1">
      <c r="A2" s="1048" t="s">
        <v>1022</v>
      </c>
      <c r="B2" s="1021"/>
      <c r="C2" s="1022"/>
      <c r="D2" s="1022"/>
      <c r="E2" s="1022"/>
      <c r="F2" s="1022"/>
      <c r="G2" s="1022"/>
      <c r="H2" s="1022"/>
      <c r="I2" s="1023"/>
      <c r="J2" s="27"/>
      <c r="K2" s="355">
        <v>62</v>
      </c>
      <c r="L2" s="354">
        <v>103</v>
      </c>
      <c r="M2" s="354">
        <v>31</v>
      </c>
      <c r="N2" s="354">
        <v>1</v>
      </c>
      <c r="O2" s="354">
        <v>2</v>
      </c>
      <c r="P2" s="354">
        <v>3</v>
      </c>
      <c r="Q2" s="354">
        <v>6</v>
      </c>
      <c r="R2" s="356"/>
      <c r="S2" s="197" t="s">
        <v>605</v>
      </c>
      <c r="T2" s="198"/>
      <c r="U2" s="308"/>
      <c r="V2" s="195" t="s">
        <v>602</v>
      </c>
      <c r="W2" s="199"/>
      <c r="X2" s="49"/>
      <c r="Y2" s="49"/>
      <c r="Z2" s="196"/>
      <c r="AA2" s="197"/>
      <c r="AB2" s="198"/>
      <c r="AC2" s="195" t="s">
        <v>605</v>
      </c>
      <c r="AD2" s="198"/>
      <c r="AE2" s="200"/>
      <c r="AF2" s="205"/>
      <c r="AG2" s="239" t="s">
        <v>603</v>
      </c>
      <c r="AH2" s="301" t="s">
        <v>685</v>
      </c>
      <c r="AI2" s="49"/>
      <c r="AJ2" s="49"/>
      <c r="AK2" s="196"/>
      <c r="AL2" s="197"/>
      <c r="AM2" s="200"/>
      <c r="AN2" s="26"/>
      <c r="AO2" s="26"/>
      <c r="AP2" s="1109" t="s">
        <v>1054</v>
      </c>
      <c r="AQ2" s="1110"/>
      <c r="AR2" s="1110"/>
      <c r="AS2" s="1110"/>
      <c r="AT2" s="1110"/>
      <c r="AU2" s="1110"/>
      <c r="AV2" s="1110"/>
      <c r="AW2" s="1110"/>
      <c r="AX2" s="1110"/>
      <c r="AY2" s="1110"/>
    </row>
    <row r="3" spans="1:51" s="138" customFormat="1" ht="30.75" customHeight="1" thickTop="1">
      <c r="A3" s="1020" t="s">
        <v>1019</v>
      </c>
      <c r="B3" s="823" t="str">
        <f>K3</f>
        <v>Citric acid</v>
      </c>
      <c r="C3" s="823" t="str">
        <f t="shared" ref="C3:H3" si="0">L3</f>
        <v>Glycine</v>
      </c>
      <c r="D3" s="823" t="str">
        <f t="shared" si="0"/>
        <v xml:space="preserve">Ascorbic acid </v>
      </c>
      <c r="E3" s="823" t="str">
        <f t="shared" si="0"/>
        <v>Acetic acid</v>
      </c>
      <c r="F3" s="823" t="str">
        <f t="shared" si="0"/>
        <v>Ammonia</v>
      </c>
      <c r="G3" s="823" t="str">
        <f t="shared" si="0"/>
        <v>Carbonic acid</v>
      </c>
      <c r="H3" s="824" t="str">
        <f t="shared" si="0"/>
        <v>HCl</v>
      </c>
      <c r="I3" s="560"/>
      <c r="J3" s="362" t="s">
        <v>593</v>
      </c>
      <c r="K3" s="261" t="s">
        <v>134</v>
      </c>
      <c r="L3" s="261" t="s">
        <v>185</v>
      </c>
      <c r="M3" s="261" t="s">
        <v>42</v>
      </c>
      <c r="N3" s="261" t="s">
        <v>127</v>
      </c>
      <c r="O3" s="261" t="s">
        <v>128</v>
      </c>
      <c r="P3" s="261" t="s">
        <v>159</v>
      </c>
      <c r="Q3" s="261" t="s">
        <v>326</v>
      </c>
      <c r="R3" s="267" t="s">
        <v>637</v>
      </c>
      <c r="S3" s="268" t="s">
        <v>638</v>
      </c>
      <c r="T3" s="305" t="s">
        <v>607</v>
      </c>
      <c r="U3" s="30" t="s">
        <v>593</v>
      </c>
      <c r="V3" s="210" t="str">
        <f t="shared" ref="V3:AE3" si="1">K3</f>
        <v>Citric acid</v>
      </c>
      <c r="W3" s="210" t="str">
        <f t="shared" si="1"/>
        <v>Glycine</v>
      </c>
      <c r="X3" s="210" t="str">
        <f t="shared" si="1"/>
        <v xml:space="preserve">Ascorbic acid </v>
      </c>
      <c r="Y3" s="210" t="str">
        <f t="shared" si="1"/>
        <v>Acetic acid</v>
      </c>
      <c r="Z3" s="210" t="str">
        <f t="shared" si="1"/>
        <v>Ammonia</v>
      </c>
      <c r="AA3" s="210" t="str">
        <f t="shared" si="1"/>
        <v>Carbonic acid</v>
      </c>
      <c r="AB3" s="210" t="str">
        <f t="shared" si="1"/>
        <v>HCl</v>
      </c>
      <c r="AC3" s="1200" t="str">
        <f t="shared" si="1"/>
        <v>Strong ACID</v>
      </c>
      <c r="AD3" s="1201" t="str">
        <f t="shared" si="1"/>
        <v>Strong BASE</v>
      </c>
      <c r="AE3" s="1202" t="str">
        <f t="shared" si="1"/>
        <v>Carbonic ac.</v>
      </c>
      <c r="AF3" s="30" t="s">
        <v>593</v>
      </c>
      <c r="AG3" s="210" t="str">
        <f>IF(VLOOKUP(K$2,Database!$B$22:$N$301,2)="","",VLOOKUP(K$2,Database!$B$22:$N$301,2))</f>
        <v>Citric acid</v>
      </c>
      <c r="AH3" s="210" t="str">
        <f>IF(VLOOKUP(L$2,Database!$B$22:$N$301,2)="","",VLOOKUP(L$2,Database!$B$22:$N$301,2))</f>
        <v>Glycine</v>
      </c>
      <c r="AI3" s="210" t="str">
        <f>IF(VLOOKUP(M$2,Database!$B$22:$N$301,2)="","",VLOOKUP(M$2,Database!$B$22:$N$301,2))</f>
        <v xml:space="preserve">Ascorbic acid </v>
      </c>
      <c r="AJ3" s="210" t="str">
        <f>IF(VLOOKUP(N$2,Database!$B$22:$N$301,2)="","",VLOOKUP(N$2,Database!$B$22:$N$301,2))</f>
        <v>Acetic acid</v>
      </c>
      <c r="AK3" s="210" t="str">
        <f>IF(VLOOKUP(O$2,Database!$B$22:$N$301,2)="","",VLOOKUP(O$2,Database!$B$22:$N$301,2))</f>
        <v>Ammonia</v>
      </c>
      <c r="AL3" s="210" t="str">
        <f>IF(VLOOKUP(P$2,Database!$B$22:$N$301,2)="","",VLOOKUP(P$2,Database!$B$22:$N$301,2))</f>
        <v>Carbonic acid</v>
      </c>
      <c r="AM3" s="231" t="str">
        <f>IF(VLOOKUP(Q$2,Database!$B$22:$N$301,2)="","",VLOOKUP(Q$2,Database!$B$22:$N$301,2))</f>
        <v>HCl</v>
      </c>
      <c r="AN3" s="26"/>
      <c r="AO3" s="26"/>
      <c r="AP3" s="1109" t="s">
        <v>1055</v>
      </c>
      <c r="AQ3" s="1110"/>
      <c r="AR3" s="1110"/>
      <c r="AS3" s="1110"/>
      <c r="AT3" s="1110"/>
      <c r="AU3" s="1110"/>
      <c r="AV3" s="1110"/>
      <c r="AW3" s="1110"/>
      <c r="AX3" s="1110"/>
      <c r="AY3" s="1110"/>
    </row>
    <row r="4" spans="1:51" ht="15" customHeight="1">
      <c r="A4" s="857" t="s">
        <v>332</v>
      </c>
      <c r="B4" s="795">
        <f t="shared" ref="B4" si="2">IF(K5="",0,(B$11)/M$41)</f>
        <v>1.2099340361412354E-7</v>
      </c>
      <c r="C4" s="795">
        <f t="shared" ref="C4" si="3">IF(L5="",0,(C$11)/N$41)</f>
        <v>4.2775185398549572E-9</v>
      </c>
      <c r="D4" s="795">
        <f t="shared" ref="D4" si="4">IF(M5="",0,(D$11)/O$41)</f>
        <v>0</v>
      </c>
      <c r="E4" s="795">
        <f t="shared" ref="E4" si="5">IF(N5="",0,(E$11)/P$41)</f>
        <v>0</v>
      </c>
      <c r="F4" s="795">
        <f t="shared" ref="F4" si="6">IF(O5="",0,(F$11)/Q$41)</f>
        <v>0</v>
      </c>
      <c r="G4" s="795">
        <f t="shared" ref="G4" si="7">IF(P5="",0,(G$11)/R$41)</f>
        <v>0</v>
      </c>
      <c r="H4" s="795">
        <f t="shared" ref="H4" si="8">IF(Q5="",0,(H$11)/S$41)</f>
        <v>0</v>
      </c>
      <c r="I4" s="560"/>
      <c r="J4" s="220" t="s">
        <v>594</v>
      </c>
      <c r="K4" s="255">
        <v>-3</v>
      </c>
      <c r="L4" s="255">
        <v>-1</v>
      </c>
      <c r="M4" s="255">
        <v>-2</v>
      </c>
      <c r="N4" s="255">
        <v>-1</v>
      </c>
      <c r="O4" s="255">
        <v>0</v>
      </c>
      <c r="P4" s="255">
        <v>-2</v>
      </c>
      <c r="Q4" s="255">
        <v>-1</v>
      </c>
      <c r="R4" s="270">
        <v>-1</v>
      </c>
      <c r="S4" s="271">
        <v>-1</v>
      </c>
      <c r="T4" s="306">
        <v>-2</v>
      </c>
      <c r="U4" s="220" t="s">
        <v>594</v>
      </c>
      <c r="V4" s="233">
        <f>IF(K4="","",K4)</f>
        <v>-3</v>
      </c>
      <c r="W4" s="233">
        <f t="shared" ref="W4:AE4" si="9">IF(L4="","",L4)</f>
        <v>-1</v>
      </c>
      <c r="X4" s="233">
        <f t="shared" si="9"/>
        <v>-2</v>
      </c>
      <c r="Y4" s="233">
        <f t="shared" si="9"/>
        <v>-1</v>
      </c>
      <c r="Z4" s="233">
        <f t="shared" si="9"/>
        <v>0</v>
      </c>
      <c r="AA4" s="233">
        <f t="shared" si="9"/>
        <v>-2</v>
      </c>
      <c r="AB4" s="233">
        <f t="shared" si="9"/>
        <v>-1</v>
      </c>
      <c r="AC4" s="233">
        <f t="shared" si="9"/>
        <v>-1</v>
      </c>
      <c r="AD4" s="233">
        <f t="shared" si="9"/>
        <v>-1</v>
      </c>
      <c r="AE4" s="233">
        <f t="shared" si="9"/>
        <v>-2</v>
      </c>
      <c r="AF4" s="220" t="s">
        <v>604</v>
      </c>
      <c r="AG4" s="233">
        <f>IF(VLOOKUP(K$2,Database!$B$22:$N$301,3)="","",VLOOKUP(K$2,Database!$B$22:$N$301,3))</f>
        <v>-3</v>
      </c>
      <c r="AH4" s="233">
        <f>IF(VLOOKUP(L$2,Database!$B$22:$N$301,3)="","",VLOOKUP(L$2,Database!$B$22:$N$301,3))</f>
        <v>-1</v>
      </c>
      <c r="AI4" s="233">
        <f>IF(VLOOKUP(M$2,Database!$B$22:$N$301,3)="","",VLOOKUP(M$2,Database!$B$22:$N$301,3))</f>
        <v>-2</v>
      </c>
      <c r="AJ4" s="233">
        <f>IF(VLOOKUP(N$2,Database!$B$22:$N$301,3)="","",VLOOKUP(N$2,Database!$B$22:$N$301,3))</f>
        <v>-1</v>
      </c>
      <c r="AK4" s="233">
        <f>IF(VLOOKUP(O$2,Database!$B$22:$N$301,3)="","",VLOOKUP(O$2,Database!$B$22:$N$301,3))</f>
        <v>0</v>
      </c>
      <c r="AL4" s="233">
        <f>IF(VLOOKUP(P$2,Database!$B$22:$N$301,3)="","",VLOOKUP(P$2,Database!$B$22:$N$301,3))</f>
        <v>-2</v>
      </c>
      <c r="AM4" s="240">
        <f>IF(VLOOKUP(Q$2,Database!$B$22:$N$301,3)="","",VLOOKUP(Q$2,Database!$B$22:$N$301,3))</f>
        <v>-1</v>
      </c>
      <c r="AN4" s="26"/>
      <c r="AO4" s="26"/>
      <c r="AP4" s="1109" t="s">
        <v>1042</v>
      </c>
      <c r="AQ4" s="1110"/>
      <c r="AR4" s="1110"/>
      <c r="AS4" s="1110"/>
      <c r="AT4" s="1110"/>
      <c r="AU4" s="1110"/>
      <c r="AV4" s="1110"/>
      <c r="AW4" s="1110"/>
      <c r="AX4" s="1110"/>
      <c r="AY4" s="1110"/>
    </row>
    <row r="5" spans="1:51" ht="15" customHeight="1">
      <c r="A5" s="858" t="s">
        <v>333</v>
      </c>
      <c r="B5" s="799">
        <f>IF(K5="",0,(B$11*(V$5*$AU41^(-2*V$4))*$D41)/M$41)</f>
        <v>2.0778132559422889E-4</v>
      </c>
      <c r="C5" s="799">
        <f t="shared" ref="C5:H5" si="10">IF(L5="",0,(C$11*(W$5*$AU41^(-2*W$4))*$D41)/N$41)</f>
        <v>2.7137463866598537E-2</v>
      </c>
      <c r="D5" s="799">
        <f t="shared" si="10"/>
        <v>0</v>
      </c>
      <c r="E5" s="799">
        <f t="shared" si="10"/>
        <v>0</v>
      </c>
      <c r="F5" s="799">
        <f t="shared" si="10"/>
        <v>0</v>
      </c>
      <c r="G5" s="799">
        <f t="shared" si="10"/>
        <v>0</v>
      </c>
      <c r="H5" s="799">
        <f t="shared" si="10"/>
        <v>0</v>
      </c>
      <c r="I5" s="560"/>
      <c r="J5" s="189" t="s">
        <v>631</v>
      </c>
      <c r="K5" s="256">
        <v>3.1280000000000001</v>
      </c>
      <c r="L5" s="256">
        <v>2.35</v>
      </c>
      <c r="M5" s="256">
        <v>4.0999999999999996</v>
      </c>
      <c r="N5" s="256">
        <v>4.7569999999999997</v>
      </c>
      <c r="O5" s="256">
        <v>9.2439999999999998</v>
      </c>
      <c r="P5" s="256">
        <v>6.3520000000000003</v>
      </c>
      <c r="Q5" s="256">
        <v>-7</v>
      </c>
      <c r="R5" s="265">
        <v>-7</v>
      </c>
      <c r="S5" s="266">
        <v>15.744999999999999</v>
      </c>
      <c r="T5" s="307">
        <v>6.3520000000000003</v>
      </c>
      <c r="U5" s="309" t="s">
        <v>487</v>
      </c>
      <c r="V5" s="102">
        <f t="shared" ref="V5:AB5" si="11">IF(K5="","1E-10",IF(K6="",10^K5,(IF(K7="",10^K6,(IF(K8="",10^K7,(IF(K9="",10^K8,(IF(K10="",10^K9,10^K10))))))))))</f>
        <v>2488857.3182823951</v>
      </c>
      <c r="W5" s="102">
        <f t="shared" si="11"/>
        <v>5997910762.5551224</v>
      </c>
      <c r="X5" s="102">
        <f t="shared" si="11"/>
        <v>616595001861.48279</v>
      </c>
      <c r="Y5" s="102">
        <f t="shared" si="11"/>
        <v>57147.863667186728</v>
      </c>
      <c r="Z5" s="102">
        <f t="shared" si="11"/>
        <v>1753880501.8417609</v>
      </c>
      <c r="AA5" s="102">
        <f t="shared" si="11"/>
        <v>21330449131.465843</v>
      </c>
      <c r="AB5" s="102">
        <f t="shared" si="11"/>
        <v>9.9999999999999995E-8</v>
      </c>
      <c r="AC5" s="1203">
        <f>IF(R5="","1E-10",IF(R6="",10^R5,(IF(R7="",10^R6))))</f>
        <v>9.9999999999999995E-8</v>
      </c>
      <c r="AD5" s="1191">
        <f>IF(S5="","1E-10",IF(S6="",10^S5,(IF(S7="",10^S6))))</f>
        <v>5559042572704029</v>
      </c>
      <c r="AE5" s="109">
        <f>IF(T5="","1E-10",IF(T6="",10^T5,(IF(T7="",10^T6))))</f>
        <v>21330449131.465843</v>
      </c>
      <c r="AF5" s="189" t="s">
        <v>581</v>
      </c>
      <c r="AG5" s="241">
        <f>IF(VLOOKUP(K$2,Database!$B$22:$N$301,4)="","",VLOOKUP(K$2,Database!$B$22:$N$301,4))</f>
        <v>3.1280000000000001</v>
      </c>
      <c r="AH5" s="363">
        <f>IF(VLOOKUP(L$2,Database!$B$22:$N$301,4)="","",VLOOKUP(L$2,Database!$B$22:$N$301,4))</f>
        <v>2.35</v>
      </c>
      <c r="AI5" s="363">
        <f>IF(VLOOKUP(M$2,Database!$B$22:$N$301,4)="","",VLOOKUP(M$2,Database!$B$22:$N$301,4))</f>
        <v>4.0999999999999996</v>
      </c>
      <c r="AJ5" s="363">
        <f>IF(VLOOKUP(N$2,Database!$B$22:$N$301,4)="","",VLOOKUP(N$2,Database!$B$22:$N$301,4))</f>
        <v>4.7569999999999997</v>
      </c>
      <c r="AK5" s="363">
        <f>IF(VLOOKUP(O$2,Database!$B$22:$N$301,4)="","",VLOOKUP(O$2,Database!$B$22:$N$301,4))</f>
        <v>9.2439999999999998</v>
      </c>
      <c r="AL5" s="363">
        <f>IF(VLOOKUP(P$2,Database!$B$22:$N$301,4)="","",VLOOKUP(P$2,Database!$B$22:$N$301,4))</f>
        <v>6.3520000000000003</v>
      </c>
      <c r="AM5" s="364">
        <f>IF(VLOOKUP(Q$2,Database!$B$22:$N$301,4)="","",VLOOKUP(Q$2,Database!$B$22:$N$301,4))</f>
        <v>-7</v>
      </c>
      <c r="AN5" s="26"/>
      <c r="AO5" s="26"/>
      <c r="AP5" s="1109"/>
      <c r="AQ5" s="1110"/>
      <c r="AR5" s="1110"/>
      <c r="AS5" s="1110"/>
      <c r="AT5" s="1110"/>
      <c r="AU5" s="1110"/>
      <c r="AV5" s="1110"/>
      <c r="AW5" s="1110"/>
      <c r="AX5" s="1110"/>
      <c r="AY5" s="1110"/>
    </row>
    <row r="6" spans="1:51" ht="15" customHeight="1">
      <c r="A6" s="858" t="s">
        <v>886</v>
      </c>
      <c r="B6" s="799">
        <f>IF(K6="",0,(B$11*(V$6*$AU41^(-4*V$4-2))*$D41^2)/M$41)</f>
        <v>1.0238058360395919E-2</v>
      </c>
      <c r="C6" s="799">
        <f t="shared" ref="C6:H6" si="12">IF(L6="",0,(C$11*(W$6*$AU41^(-4*W$4-2))*$D41^2)/N$41)</f>
        <v>7.9563317856966558E-3</v>
      </c>
      <c r="D6" s="799">
        <f t="shared" si="12"/>
        <v>0</v>
      </c>
      <c r="E6" s="799">
        <f t="shared" si="12"/>
        <v>0</v>
      </c>
      <c r="F6" s="799">
        <f t="shared" si="12"/>
        <v>0</v>
      </c>
      <c r="G6" s="799">
        <f t="shared" si="12"/>
        <v>0</v>
      </c>
      <c r="H6" s="799">
        <f t="shared" si="12"/>
        <v>0</v>
      </c>
      <c r="I6" s="560"/>
      <c r="J6" s="190" t="s">
        <v>632</v>
      </c>
      <c r="K6" s="256">
        <v>4.7610000000000001</v>
      </c>
      <c r="L6" s="256">
        <v>9.7780000000000005</v>
      </c>
      <c r="M6" s="256">
        <v>11.79</v>
      </c>
      <c r="N6" s="256" t="s">
        <v>588</v>
      </c>
      <c r="O6" s="256" t="s">
        <v>588</v>
      </c>
      <c r="P6" s="256">
        <v>10.329000000000001</v>
      </c>
      <c r="Q6" s="256" t="s">
        <v>588</v>
      </c>
      <c r="R6" s="1134"/>
      <c r="S6" s="1135"/>
      <c r="T6" s="1136">
        <v>10.329000000000001</v>
      </c>
      <c r="U6" s="310" t="s">
        <v>489</v>
      </c>
      <c r="V6" s="105">
        <f>IF(K6="","10E-10",IF(K7="",V5*10^K5,(IF(K8="",V5*10^K6,(IF(K9="",V5*10^K7,(IF(K10="",V5*10^K8,V5*10^K9))))))))</f>
        <v>143548943335.36603</v>
      </c>
      <c r="W6" s="105">
        <f t="shared" ref="W6:AB6" si="13">IF(L6="","1E-10",IF(L7="",W5*10^L5,(IF(L8="",W5*10^L6,(IF(L9="",W5*10^L7,(IF(L10="",W5*10^L8,W5*10^L9))))))))</f>
        <v>1342764961137.8711</v>
      </c>
      <c r="X6" s="105">
        <f t="shared" si="13"/>
        <v>7762471166286925</v>
      </c>
      <c r="Y6" s="105" t="str">
        <f t="shared" si="13"/>
        <v>1E-10</v>
      </c>
      <c r="Z6" s="105" t="str">
        <f t="shared" si="13"/>
        <v>1E-10</v>
      </c>
      <c r="AA6" s="105">
        <f t="shared" si="13"/>
        <v>4.7973344863669224E+16</v>
      </c>
      <c r="AB6" s="105" t="str">
        <f t="shared" si="13"/>
        <v>1E-10</v>
      </c>
      <c r="AC6" s="1203" t="str">
        <f>IF(R6="","1E-10",IF(R7="",AC5*10^R5))</f>
        <v>1E-10</v>
      </c>
      <c r="AD6" s="70" t="str">
        <f>IF(S6="","1E-10",IF(S7="",AD5*10^S5))</f>
        <v>1E-10</v>
      </c>
      <c r="AE6" s="109">
        <f>IF(T6="","1E-10",IF(T7="",AE5*10^T5))</f>
        <v>4.7973344863669224E+16</v>
      </c>
      <c r="AF6" s="190" t="s">
        <v>582</v>
      </c>
      <c r="AG6" s="234">
        <f>IF(VLOOKUP(K$2,Database!$B$22:$N$301,5)="","",VLOOKUP(K$2,Database!$B$22:$N$301,5))</f>
        <v>4.7610000000000001</v>
      </c>
      <c r="AH6" s="235">
        <f>IF(VLOOKUP(L$2,Database!$B$22:$N$301,5)="","",VLOOKUP(L$2,Database!$B$22:$N$301,5))</f>
        <v>9.7780000000000005</v>
      </c>
      <c r="AI6" s="235">
        <f>IF(VLOOKUP(M$2,Database!$B$22:$N$301,5)="","",VLOOKUP(M$2,Database!$B$22:$N$301,5))</f>
        <v>11.79</v>
      </c>
      <c r="AJ6" s="235" t="str">
        <f>IF(VLOOKUP(N$2,Database!$B$22:$N$301,5)="","",VLOOKUP(N$2,Database!$B$22:$N$301,5))</f>
        <v/>
      </c>
      <c r="AK6" s="235" t="str">
        <f>IF(VLOOKUP(O$2,Database!$B$22:$N$301,5)="","",VLOOKUP(O$2,Database!$B$22:$N$301,5))</f>
        <v/>
      </c>
      <c r="AL6" s="235">
        <f>IF(VLOOKUP(P$2,Database!$B$22:$N$301,5)="","",VLOOKUP(P$2,Database!$B$22:$N$301,5))</f>
        <v>10.329000000000001</v>
      </c>
      <c r="AM6" s="236" t="str">
        <f>IF(VLOOKUP(Q$2,Database!$B$22:$N$301,5)="","",VLOOKUP(Q$2,Database!$B$22:$N$301,5))</f>
        <v/>
      </c>
      <c r="AN6" s="26"/>
      <c r="AO6" s="26"/>
      <c r="AP6" s="1109" t="s">
        <v>1056</v>
      </c>
      <c r="AQ6" s="1110"/>
      <c r="AR6" s="1110"/>
      <c r="AS6" s="1110"/>
      <c r="AT6" s="1110"/>
      <c r="AU6" s="1110"/>
      <c r="AV6" s="1110"/>
      <c r="AW6" s="1110"/>
      <c r="AX6" s="1110"/>
      <c r="AY6" s="1110"/>
    </row>
    <row r="7" spans="1:51" ht="15" customHeight="1">
      <c r="A7" s="858" t="s">
        <v>887</v>
      </c>
      <c r="B7" s="799">
        <f>IF(K7="",0,(B$11*(V$7*$AU41^(-6*V$4-6))*$D41^3)/M$41)</f>
        <v>1.4541022903172647E-2</v>
      </c>
      <c r="C7" s="799">
        <f t="shared" ref="C7:H7" si="14">IF(L7="",0,(C$11*(W$7*$AU41^(-6*W$4-6))*$D41^3)/N$41)</f>
        <v>0</v>
      </c>
      <c r="D7" s="799">
        <f t="shared" si="14"/>
        <v>0</v>
      </c>
      <c r="E7" s="799">
        <f t="shared" si="14"/>
        <v>0</v>
      </c>
      <c r="F7" s="799">
        <f t="shared" si="14"/>
        <v>0</v>
      </c>
      <c r="G7" s="799">
        <f t="shared" si="14"/>
        <v>0</v>
      </c>
      <c r="H7" s="799">
        <f t="shared" si="14"/>
        <v>0</v>
      </c>
      <c r="I7" s="560"/>
      <c r="J7" s="190" t="s">
        <v>633</v>
      </c>
      <c r="K7" s="256">
        <v>6.3959999999999999</v>
      </c>
      <c r="L7" s="256" t="s">
        <v>588</v>
      </c>
      <c r="M7" s="256" t="s">
        <v>588</v>
      </c>
      <c r="N7" s="256" t="s">
        <v>588</v>
      </c>
      <c r="O7" s="256" t="s">
        <v>588</v>
      </c>
      <c r="P7" s="483" t="s">
        <v>588</v>
      </c>
      <c r="Q7" s="258" t="s">
        <v>588</v>
      </c>
      <c r="R7" s="1194"/>
      <c r="S7" s="1194"/>
      <c r="T7" s="1195"/>
      <c r="U7" s="309" t="s">
        <v>491</v>
      </c>
      <c r="V7" s="105">
        <f t="shared" ref="V7:AB7" si="15">IF(K7="","1E-10",IF(K8="",V6*10^K5,(IF(K9="",V6*10^K6,(IF(K10="",V6*10^K7,V6*10^K8))))))</f>
        <v>192752491319094.31</v>
      </c>
      <c r="W7" s="105" t="str">
        <f t="shared" si="15"/>
        <v>1E-10</v>
      </c>
      <c r="X7" s="105" t="str">
        <f t="shared" si="15"/>
        <v>1E-10</v>
      </c>
      <c r="Y7" s="105" t="str">
        <f t="shared" si="15"/>
        <v>1E-10</v>
      </c>
      <c r="Z7" s="105" t="str">
        <f t="shared" si="15"/>
        <v>1E-10</v>
      </c>
      <c r="AA7" s="105" t="str">
        <f t="shared" si="15"/>
        <v>1E-10</v>
      </c>
      <c r="AB7" s="105" t="str">
        <f t="shared" si="15"/>
        <v>1E-10</v>
      </c>
      <c r="AC7" s="1204"/>
      <c r="AD7" s="1205"/>
      <c r="AE7" s="1206"/>
      <c r="AF7" s="190" t="s">
        <v>583</v>
      </c>
      <c r="AG7" s="234">
        <f>IF(VLOOKUP(K$2,Database!$B$22:$N$301,6)="","",VLOOKUP(K$2,Database!$B$22:$N$301,6))</f>
        <v>6.3959999999999999</v>
      </c>
      <c r="AH7" s="235" t="str">
        <f>IF(VLOOKUP(L$2,Database!$B$22:$N$301,6)="","",VLOOKUP(L$2,Database!$B$22:$N$301,6))</f>
        <v/>
      </c>
      <c r="AI7" s="235" t="str">
        <f>IF(VLOOKUP(M$2,Database!$B$22:$N$301,6)="","",VLOOKUP(M$2,Database!$B$22:$N$301,6))</f>
        <v/>
      </c>
      <c r="AJ7" s="235" t="str">
        <f>IF(VLOOKUP(N$2,Database!$B$22:$N$301,6)="","",VLOOKUP(N$2,Database!$B$22:$N$301,6))</f>
        <v/>
      </c>
      <c r="AK7" s="235" t="str">
        <f>IF(VLOOKUP(O$2,Database!$B$22:$N$301,6)="","",VLOOKUP(O$2,Database!$B$22:$N$301,6))</f>
        <v/>
      </c>
      <c r="AL7" s="235" t="str">
        <f>IF(VLOOKUP(P$2,Database!$B$22:$N$301,6)="","",VLOOKUP(P$2,Database!$B$22:$N$301,6))</f>
        <v/>
      </c>
      <c r="AM7" s="236" t="str">
        <f>IF(VLOOKUP(Q$2,Database!$B$22:$N$301,6)="","",VLOOKUP(Q$2,Database!$B$22:$N$301,6))</f>
        <v/>
      </c>
      <c r="AN7" s="26"/>
      <c r="AO7" s="26"/>
      <c r="AP7" s="1109"/>
      <c r="AQ7" s="1110"/>
      <c r="AR7" s="1110"/>
      <c r="AS7" s="1110"/>
      <c r="AT7" s="1110"/>
      <c r="AU7" s="1110"/>
      <c r="AV7" s="1110"/>
      <c r="AW7" s="1110"/>
      <c r="AX7" s="1110"/>
      <c r="AY7" s="1110"/>
    </row>
    <row r="8" spans="1:51" ht="15" customHeight="1">
      <c r="A8" s="858" t="s">
        <v>896</v>
      </c>
      <c r="B8" s="799">
        <f>IF(K8="",0,(B$11*(V$8*$AU41^(-8*V$4-12))*$D41^4)/M$41)</f>
        <v>0</v>
      </c>
      <c r="C8" s="799">
        <f t="shared" ref="C8:H8" si="16">IF(L8="",0,(C$11*(W$8*$AU41^(-8*W$4-12))*$D41^4)/N$41)</f>
        <v>0</v>
      </c>
      <c r="D8" s="799">
        <f t="shared" si="16"/>
        <v>0</v>
      </c>
      <c r="E8" s="799">
        <f t="shared" si="16"/>
        <v>0</v>
      </c>
      <c r="F8" s="799">
        <f t="shared" si="16"/>
        <v>0</v>
      </c>
      <c r="G8" s="799">
        <f t="shared" si="16"/>
        <v>0</v>
      </c>
      <c r="H8" s="799">
        <f t="shared" si="16"/>
        <v>0</v>
      </c>
      <c r="I8" s="560"/>
      <c r="J8" s="190" t="s">
        <v>634</v>
      </c>
      <c r="K8" s="256" t="s">
        <v>588</v>
      </c>
      <c r="L8" s="256" t="s">
        <v>588</v>
      </c>
      <c r="M8" s="256" t="s">
        <v>588</v>
      </c>
      <c r="N8" s="256" t="s">
        <v>588</v>
      </c>
      <c r="O8" s="256" t="s">
        <v>588</v>
      </c>
      <c r="P8" s="484" t="s">
        <v>588</v>
      </c>
      <c r="Q8" s="258" t="s">
        <v>588</v>
      </c>
      <c r="R8" s="1196" t="s">
        <v>335</v>
      </c>
      <c r="S8" s="1194"/>
      <c r="T8" s="1195"/>
      <c r="U8" s="309" t="s">
        <v>493</v>
      </c>
      <c r="V8" s="105" t="str">
        <f t="shared" ref="V8:AB8" si="17">IF(K8="","1E-10",IF(K9="",V7*10^K5,(IF(K10="",V7*10^K6,V7*10^K7))))</f>
        <v>1E-10</v>
      </c>
      <c r="W8" s="105" t="str">
        <f t="shared" si="17"/>
        <v>1E-10</v>
      </c>
      <c r="X8" s="105" t="str">
        <f t="shared" si="17"/>
        <v>1E-10</v>
      </c>
      <c r="Y8" s="105" t="str">
        <f t="shared" si="17"/>
        <v>1E-10</v>
      </c>
      <c r="Z8" s="105" t="str">
        <f t="shared" si="17"/>
        <v>1E-10</v>
      </c>
      <c r="AA8" s="105" t="str">
        <f t="shared" si="17"/>
        <v>1E-10</v>
      </c>
      <c r="AB8" s="105" t="str">
        <f t="shared" si="17"/>
        <v>1E-10</v>
      </c>
      <c r="AC8" s="1207" t="s">
        <v>336</v>
      </c>
      <c r="AD8" s="1208"/>
      <c r="AE8" s="1209"/>
      <c r="AF8" s="190" t="s">
        <v>584</v>
      </c>
      <c r="AG8" s="234" t="str">
        <f>IF(VLOOKUP(K$2,Database!$B$22:$N$301,7)="","",VLOOKUP(K$2,Database!$B$22:$N$301,7))</f>
        <v/>
      </c>
      <c r="AH8" s="235" t="str">
        <f>IF(VLOOKUP(L$2,Database!$B$22:$N$301,7)="","",VLOOKUP(L$2,Database!$B$22:$N$301,7))</f>
        <v/>
      </c>
      <c r="AI8" s="235" t="str">
        <f>IF(VLOOKUP(M$2,Database!$B$22:$N$301,7)="","",VLOOKUP(M$2,Database!$B$22:$N$301,7))</f>
        <v/>
      </c>
      <c r="AJ8" s="235" t="str">
        <f>IF(VLOOKUP(N$2,Database!$B$22:$N$301,7)="","",VLOOKUP(N$2,Database!$B$22:$N$301,7))</f>
        <v/>
      </c>
      <c r="AK8" s="235" t="str">
        <f>IF(VLOOKUP(O$2,Database!$B$22:$N$301,7)="","",VLOOKUP(O$2,Database!$B$22:$N$301,7))</f>
        <v/>
      </c>
      <c r="AL8" s="235" t="str">
        <f>IF(VLOOKUP(P$2,Database!$B$22:$N$301,7)="","",VLOOKUP(P$2,Database!$B$22:$N$301,7))</f>
        <v/>
      </c>
      <c r="AM8" s="236" t="str">
        <f>IF(VLOOKUP(Q$2,Database!$B$22:$N$301,7)="","",VLOOKUP(Q$2,Database!$B$22:$N$301,7))</f>
        <v/>
      </c>
      <c r="AN8" s="26"/>
      <c r="AO8" s="26"/>
      <c r="AP8" s="1109" t="s">
        <v>1057</v>
      </c>
      <c r="AQ8" s="1110"/>
      <c r="AR8" s="1110"/>
      <c r="AS8" s="1110"/>
      <c r="AT8" s="1109" t="s">
        <v>1094</v>
      </c>
      <c r="AU8" s="1110"/>
      <c r="AV8" s="1110"/>
      <c r="AW8" s="1110"/>
      <c r="AX8" s="1110"/>
      <c r="AY8" s="1110"/>
    </row>
    <row r="9" spans="1:51" ht="15" customHeight="1">
      <c r="A9" s="858" t="s">
        <v>897</v>
      </c>
      <c r="B9" s="799">
        <f>IF(K9="",0,(B$11*(V$9*$AU41^(-10*V$4-20))*$D41^5)/M$41)</f>
        <v>0</v>
      </c>
      <c r="C9" s="799">
        <f t="shared" ref="C9:H9" si="18">IF(L9="",0,(C$11*(W$9*$AU41^(-10*W$4-20))*$D41^5)/N$41)</f>
        <v>0</v>
      </c>
      <c r="D9" s="799">
        <f t="shared" si="18"/>
        <v>0</v>
      </c>
      <c r="E9" s="799">
        <f t="shared" si="18"/>
        <v>0</v>
      </c>
      <c r="F9" s="799">
        <f t="shared" si="18"/>
        <v>0</v>
      </c>
      <c r="G9" s="799">
        <f t="shared" si="18"/>
        <v>0</v>
      </c>
      <c r="H9" s="799">
        <f t="shared" si="18"/>
        <v>0</v>
      </c>
      <c r="I9" s="1157" t="s">
        <v>348</v>
      </c>
      <c r="J9" s="190" t="s">
        <v>635</v>
      </c>
      <c r="K9" s="256" t="s">
        <v>588</v>
      </c>
      <c r="L9" s="256" t="s">
        <v>588</v>
      </c>
      <c r="M9" s="256" t="s">
        <v>588</v>
      </c>
      <c r="N9" s="256" t="s">
        <v>588</v>
      </c>
      <c r="O9" s="256" t="s">
        <v>588</v>
      </c>
      <c r="P9" s="256" t="s">
        <v>588</v>
      </c>
      <c r="Q9" s="258" t="s">
        <v>588</v>
      </c>
      <c r="R9" s="1224">
        <v>13.997</v>
      </c>
      <c r="S9" s="1194"/>
      <c r="T9" s="1195"/>
      <c r="U9" s="309" t="s">
        <v>495</v>
      </c>
      <c r="V9" s="105" t="str">
        <f t="shared" ref="V9:AB9" si="19">IF(K9="","1E-10",IF(K10="",V8*10^K5,V8*10^K6))</f>
        <v>1E-10</v>
      </c>
      <c r="W9" s="105" t="str">
        <f t="shared" si="19"/>
        <v>1E-10</v>
      </c>
      <c r="X9" s="105" t="str">
        <f t="shared" si="19"/>
        <v>1E-10</v>
      </c>
      <c r="Y9" s="105" t="str">
        <f t="shared" si="19"/>
        <v>1E-10</v>
      </c>
      <c r="Z9" s="105" t="str">
        <f t="shared" si="19"/>
        <v>1E-10</v>
      </c>
      <c r="AA9" s="105" t="str">
        <f t="shared" si="19"/>
        <v>1E-10</v>
      </c>
      <c r="AB9" s="105" t="str">
        <f t="shared" si="19"/>
        <v>1E-10</v>
      </c>
      <c r="AC9" s="1210">
        <f>10^-R9</f>
        <v>1.0069316688518014E-14</v>
      </c>
      <c r="AD9" s="1208"/>
      <c r="AE9" s="1209"/>
      <c r="AF9" s="190" t="s">
        <v>585</v>
      </c>
      <c r="AG9" s="234" t="str">
        <f>IF(VLOOKUP(K$2,Database!$B$22:$N$301,8)="","",VLOOKUP(K$2,Database!$B$22:$N$301,8))</f>
        <v/>
      </c>
      <c r="AH9" s="235" t="str">
        <f>IF(VLOOKUP(L$2,Database!$B$22:$N$301,8)="","",VLOOKUP(L$2,Database!$B$22:$N$301,8))</f>
        <v/>
      </c>
      <c r="AI9" s="235" t="str">
        <f>IF(VLOOKUP(M$2,Database!$B$22:$N$301,8)="","",VLOOKUP(M$2,Database!$B$22:$N$301,8))</f>
        <v/>
      </c>
      <c r="AJ9" s="235" t="str">
        <f>IF(VLOOKUP(N$2,Database!$B$22:$N$301,8)="","",VLOOKUP(N$2,Database!$B$22:$N$301,8))</f>
        <v/>
      </c>
      <c r="AK9" s="235" t="str">
        <f>IF(VLOOKUP(O$2,Database!$B$22:$N$301,8)="","",VLOOKUP(O$2,Database!$B$22:$N$301,8))</f>
        <v/>
      </c>
      <c r="AL9" s="235" t="str">
        <f>IF(VLOOKUP(P$2,Database!$B$22:$N$301,8)="","",VLOOKUP(P$2,Database!$B$22:$N$301,8))</f>
        <v/>
      </c>
      <c r="AM9" s="236" t="str">
        <f>IF(VLOOKUP(Q$2,Database!$B$22:$N$301,8)="","",VLOOKUP(Q$2,Database!$B$22:$N$301,8))</f>
        <v/>
      </c>
      <c r="AN9" s="26"/>
      <c r="AO9" s="26"/>
      <c r="AP9" s="1109"/>
      <c r="AQ9" s="1110"/>
      <c r="AR9" s="1110"/>
      <c r="AS9" s="1110"/>
      <c r="AT9" s="1110"/>
      <c r="AU9" s="1110"/>
      <c r="AV9" s="1110"/>
      <c r="AW9" s="1110"/>
      <c r="AX9" s="1110"/>
      <c r="AY9" s="1110"/>
    </row>
    <row r="10" spans="1:51" ht="15" customHeight="1" thickBot="1">
      <c r="A10" s="858" t="s">
        <v>898</v>
      </c>
      <c r="B10" s="859">
        <f>IF(K10="",0,(B$11*(V$10*$AU41^(-12*V$4-30))*$D41^6)/M$41)</f>
        <v>0</v>
      </c>
      <c r="C10" s="859">
        <f t="shared" ref="C10:H10" si="20">IF(L10="",0,(C$11*(W$10*$AU41^(-12*W$4-30))*$D41^6)/N$41)</f>
        <v>0</v>
      </c>
      <c r="D10" s="859">
        <f t="shared" si="20"/>
        <v>0</v>
      </c>
      <c r="E10" s="859">
        <f t="shared" si="20"/>
        <v>0</v>
      </c>
      <c r="F10" s="859">
        <f t="shared" si="20"/>
        <v>0</v>
      </c>
      <c r="G10" s="859">
        <f t="shared" si="20"/>
        <v>0</v>
      </c>
      <c r="H10" s="859">
        <f t="shared" si="20"/>
        <v>0</v>
      </c>
      <c r="I10" s="1145" t="s">
        <v>345</v>
      </c>
      <c r="J10" s="211" t="s">
        <v>636</v>
      </c>
      <c r="K10" s="262" t="s">
        <v>588</v>
      </c>
      <c r="L10" s="263" t="s">
        <v>588</v>
      </c>
      <c r="M10" s="263" t="s">
        <v>588</v>
      </c>
      <c r="N10" s="263" t="s">
        <v>588</v>
      </c>
      <c r="O10" s="263" t="s">
        <v>588</v>
      </c>
      <c r="P10" s="263" t="s">
        <v>588</v>
      </c>
      <c r="Q10" s="264" t="s">
        <v>588</v>
      </c>
      <c r="R10" s="1197"/>
      <c r="S10" s="1198"/>
      <c r="T10" s="1199"/>
      <c r="U10" s="311" t="s">
        <v>497</v>
      </c>
      <c r="V10" s="243" t="str">
        <f t="shared" ref="V10:AB10" si="21">IF(K10="","1E-10",V9*10^K5)</f>
        <v>1E-10</v>
      </c>
      <c r="W10" s="243" t="str">
        <f t="shared" si="21"/>
        <v>1E-10</v>
      </c>
      <c r="X10" s="243" t="str">
        <f t="shared" si="21"/>
        <v>1E-10</v>
      </c>
      <c r="Y10" s="243" t="str">
        <f t="shared" si="21"/>
        <v>1E-10</v>
      </c>
      <c r="Z10" s="243" t="str">
        <f t="shared" si="21"/>
        <v>1E-10</v>
      </c>
      <c r="AA10" s="243" t="str">
        <f t="shared" si="21"/>
        <v>1E-10</v>
      </c>
      <c r="AB10" s="243" t="str">
        <f t="shared" si="21"/>
        <v>1E-10</v>
      </c>
      <c r="AC10" s="1211"/>
      <c r="AD10" s="1212"/>
      <c r="AE10" s="1213"/>
      <c r="AF10" s="211" t="s">
        <v>586</v>
      </c>
      <c r="AG10" s="244" t="str">
        <f>IF(VLOOKUP(K$2,Database!$B$22:$N$301,9)="","",VLOOKUP(K$2,Database!$B$22:$N$301,9))</f>
        <v/>
      </c>
      <c r="AH10" s="237" t="str">
        <f>IF(VLOOKUP(L$2,Database!$B$22:$N$301,9)="","",VLOOKUP(L$2,Database!$B$22:$N$301,9))</f>
        <v/>
      </c>
      <c r="AI10" s="237" t="str">
        <f>IF(VLOOKUP(M$2,Database!$B$22:$N$301,9)="","",VLOOKUP(M$2,Database!$B$22:$N$301,9))</f>
        <v/>
      </c>
      <c r="AJ10" s="237" t="str">
        <f>IF(VLOOKUP(N$2,Database!$B$22:$N$301,9)="","",VLOOKUP(N$2,Database!$B$22:$N$301,9))</f>
        <v/>
      </c>
      <c r="AK10" s="237" t="str">
        <f>IF(VLOOKUP(O$2,Database!$B$22:$N$301,9)="","",VLOOKUP(O$2,Database!$B$22:$N$301,9))</f>
        <v/>
      </c>
      <c r="AL10" s="237" t="str">
        <f>IF(VLOOKUP(P$2,Database!$B$22:$N$301,9)="","",VLOOKUP(P$2,Database!$B$22:$N$301,9))</f>
        <v/>
      </c>
      <c r="AM10" s="238" t="str">
        <f>IF(VLOOKUP(Q$2,Database!$B$22:$N$301,9)="","",VLOOKUP(Q$2,Database!$B$22:$N$301,9))</f>
        <v/>
      </c>
      <c r="AN10" s="26"/>
      <c r="AO10" s="26"/>
      <c r="AP10" s="1109" t="s">
        <v>1058</v>
      </c>
      <c r="AQ10" s="1110"/>
      <c r="AR10" s="1110"/>
      <c r="AS10" s="1110"/>
      <c r="AT10" s="1110"/>
      <c r="AU10" s="1110"/>
      <c r="AV10" s="1110"/>
      <c r="AW10" s="1110"/>
      <c r="AX10" s="1110"/>
      <c r="AY10" s="1110"/>
    </row>
    <row r="11" spans="1:51" ht="16.5" customHeight="1" thickTop="1">
      <c r="A11" s="860" t="s">
        <v>899</v>
      </c>
      <c r="B11" s="879">
        <v>2.4986983582566409E-2</v>
      </c>
      <c r="C11" s="880">
        <v>3.5093799929813735E-2</v>
      </c>
      <c r="D11" s="881">
        <v>0</v>
      </c>
      <c r="E11" s="880">
        <v>0</v>
      </c>
      <c r="F11" s="880">
        <v>0</v>
      </c>
      <c r="G11" s="880">
        <v>0</v>
      </c>
      <c r="H11" s="1024">
        <v>0</v>
      </c>
      <c r="I11" s="219">
        <f>SUM(B11:H11)</f>
        <v>6.0080783512380144E-2</v>
      </c>
      <c r="J11" s="396" t="s">
        <v>347</v>
      </c>
      <c r="K11" s="394" t="s">
        <v>588</v>
      </c>
      <c r="L11" s="394" t="s">
        <v>588</v>
      </c>
      <c r="M11" s="425" t="s">
        <v>588</v>
      </c>
      <c r="N11" s="426" t="s">
        <v>691</v>
      </c>
      <c r="O11" s="427"/>
      <c r="P11" s="428"/>
      <c r="Q11" s="466" t="s">
        <v>732</v>
      </c>
      <c r="R11" s="467"/>
      <c r="S11" s="468" t="s">
        <v>983</v>
      </c>
      <c r="T11" s="469" t="s">
        <v>716</v>
      </c>
      <c r="U11" s="446"/>
      <c r="V11" s="353"/>
      <c r="W11" s="353"/>
      <c r="X11" s="353"/>
      <c r="Y11" s="421" t="s">
        <v>1084</v>
      </c>
      <c r="Z11" s="512">
        <f>AT41</f>
        <v>1.086213258459855E-2</v>
      </c>
      <c r="AA11" s="441" t="s">
        <v>714</v>
      </c>
      <c r="AB11" s="440">
        <f>S23</f>
        <v>0.89870439443519512</v>
      </c>
      <c r="AC11" s="1214" t="s">
        <v>1100</v>
      </c>
      <c r="AD11" s="441" t="s">
        <v>1101</v>
      </c>
      <c r="AE11" s="1215">
        <v>0.78159398185987139</v>
      </c>
      <c r="AF11" s="26"/>
      <c r="AG11" s="26"/>
      <c r="AH11" s="26"/>
      <c r="AI11" s="26"/>
      <c r="AJ11" s="26"/>
      <c r="AK11" s="26"/>
      <c r="AL11" s="26"/>
      <c r="AM11" s="26"/>
      <c r="AN11" s="26"/>
      <c r="AO11" s="26"/>
      <c r="AP11" s="1109"/>
      <c r="AQ11" s="1110"/>
      <c r="AR11" s="1110"/>
      <c r="AS11" s="1110"/>
      <c r="AT11" s="1110"/>
      <c r="AU11" s="1110"/>
      <c r="AV11" s="1110"/>
      <c r="AW11" s="1110"/>
      <c r="AX11" s="1110"/>
      <c r="AY11" s="1110"/>
    </row>
    <row r="12" spans="1:51" ht="15" customHeight="1">
      <c r="A12" s="861" t="s">
        <v>900</v>
      </c>
      <c r="B12" s="795">
        <f t="shared" ref="B12:H12" si="22">B5+2*B6+3*B7+4*B8+5*B9+6*B10</f>
        <v>6.4306966755903999E-2</v>
      </c>
      <c r="C12" s="796">
        <f t="shared" si="22"/>
        <v>4.3050127437991845E-2</v>
      </c>
      <c r="D12" s="796">
        <f t="shared" si="22"/>
        <v>0</v>
      </c>
      <c r="E12" s="796">
        <f t="shared" si="22"/>
        <v>0</v>
      </c>
      <c r="F12" s="796">
        <f t="shared" si="22"/>
        <v>0</v>
      </c>
      <c r="G12" s="796">
        <f t="shared" si="22"/>
        <v>0</v>
      </c>
      <c r="H12" s="796">
        <f t="shared" si="22"/>
        <v>0</v>
      </c>
      <c r="I12" s="224">
        <f>SUM(B12:H12)</f>
        <v>0.10735709419389584</v>
      </c>
      <c r="J12" s="397" t="s">
        <v>1007</v>
      </c>
      <c r="K12" s="126"/>
      <c r="L12" s="126"/>
      <c r="M12" s="393"/>
      <c r="N12" s="515" t="s">
        <v>734</v>
      </c>
      <c r="O12" s="223"/>
      <c r="P12" s="420">
        <v>7</v>
      </c>
      <c r="Q12" s="452" t="s">
        <v>726</v>
      </c>
      <c r="R12" s="450" t="s">
        <v>720</v>
      </c>
      <c r="S12" s="479">
        <v>0</v>
      </c>
      <c r="T12" s="480">
        <v>0</v>
      </c>
      <c r="U12" s="445" t="s">
        <v>487</v>
      </c>
      <c r="V12" s="423">
        <f t="shared" ref="V12:AB12" si="23">IF(K5="","",(V5*$AB$11^(-2*V$4)))</f>
        <v>1311297.3746547299</v>
      </c>
      <c r="W12" s="423">
        <f t="shared" si="23"/>
        <v>4844330117.9152403</v>
      </c>
      <c r="X12" s="423">
        <f t="shared" si="23"/>
        <v>402223518878.47589</v>
      </c>
      <c r="Y12" s="423">
        <f t="shared" si="23"/>
        <v>46156.591536138665</v>
      </c>
      <c r="Z12" s="423">
        <f t="shared" si="23"/>
        <v>1753880501.8417609</v>
      </c>
      <c r="AA12" s="423">
        <f t="shared" si="23"/>
        <v>13914495386.785374</v>
      </c>
      <c r="AB12" s="423">
        <f t="shared" si="23"/>
        <v>8.0766958857713071E-8</v>
      </c>
      <c r="AC12" s="1216">
        <v>6.1088915247956886E-8</v>
      </c>
      <c r="AD12" s="1217">
        <v>3395958805837007</v>
      </c>
      <c r="AE12" s="1218">
        <v>7960215532.0210819</v>
      </c>
      <c r="AF12" s="26"/>
      <c r="AG12" s="26"/>
      <c r="AH12" s="26"/>
      <c r="AI12" s="26"/>
      <c r="AJ12" s="26"/>
      <c r="AK12" s="26"/>
      <c r="AL12" s="26"/>
      <c r="AM12" s="26"/>
      <c r="AN12" s="26"/>
      <c r="AO12" s="26"/>
      <c r="AP12" s="1109" t="s">
        <v>1059</v>
      </c>
      <c r="AQ12" s="1110"/>
      <c r="AR12" s="1110"/>
      <c r="AS12" s="1110"/>
      <c r="AT12" s="1109" t="s">
        <v>1095</v>
      </c>
      <c r="AU12" s="1110"/>
      <c r="AV12" s="1110"/>
      <c r="AW12" s="1110"/>
      <c r="AX12" s="1110"/>
      <c r="AY12" s="1110"/>
    </row>
    <row r="13" spans="1:51" ht="15" customHeight="1" thickBot="1">
      <c r="A13" s="862" t="s">
        <v>687</v>
      </c>
      <c r="B13" s="799">
        <f>IF(K4="","0",(-K4*B11)-B12)</f>
        <v>1.0653983991795235E-2</v>
      </c>
      <c r="C13" s="800">
        <f t="shared" ref="C13:H13" si="24">IF(L4="","0",(-L4*C11)-C12)</f>
        <v>-7.9563275081781099E-3</v>
      </c>
      <c r="D13" s="800">
        <f t="shared" si="24"/>
        <v>0</v>
      </c>
      <c r="E13" s="800">
        <f t="shared" si="24"/>
        <v>0</v>
      </c>
      <c r="F13" s="800">
        <f t="shared" si="24"/>
        <v>0</v>
      </c>
      <c r="G13" s="800">
        <f t="shared" si="24"/>
        <v>0</v>
      </c>
      <c r="H13" s="863">
        <f t="shared" si="24"/>
        <v>0</v>
      </c>
      <c r="I13" s="1193">
        <f>SUM(B13:H13)</f>
        <v>2.6976564836171252E-3</v>
      </c>
      <c r="J13" s="398" t="s">
        <v>1085</v>
      </c>
      <c r="K13" s="928" t="s">
        <v>936</v>
      </c>
      <c r="L13" s="126"/>
      <c r="M13" s="393"/>
      <c r="N13" s="516" t="s">
        <v>731</v>
      </c>
      <c r="O13" s="223"/>
      <c r="P13" s="520">
        <v>1</v>
      </c>
      <c r="Q13" s="452" t="s">
        <v>580</v>
      </c>
      <c r="R13" s="450" t="s">
        <v>721</v>
      </c>
      <c r="S13" s="481">
        <v>0</v>
      </c>
      <c r="T13" s="480">
        <v>0</v>
      </c>
      <c r="U13" s="310" t="s">
        <v>489</v>
      </c>
      <c r="V13" s="422">
        <f>IF(K6="","",(V6*$AB$11^(-4*V$4-2)))</f>
        <v>49336535904.802795</v>
      </c>
      <c r="W13" s="422">
        <f t="shared" ref="W13:AB13" si="25">IF(L6="","",(W6*$AB$11^(-4*W$4-2)))</f>
        <v>1084510423718.0114</v>
      </c>
      <c r="X13" s="422">
        <f t="shared" si="25"/>
        <v>4089791723460359</v>
      </c>
      <c r="Y13" s="422" t="str">
        <f t="shared" si="25"/>
        <v/>
      </c>
      <c r="Z13" s="422" t="str">
        <f t="shared" si="25"/>
        <v/>
      </c>
      <c r="AA13" s="422">
        <f t="shared" si="25"/>
        <v>2.5275583582488724E+16</v>
      </c>
      <c r="AB13" s="422" t="str">
        <f t="shared" si="25"/>
        <v/>
      </c>
      <c r="AC13" s="496"/>
      <c r="AD13" s="422"/>
      <c r="AE13" s="447">
        <v>1.0936723698247162E+16</v>
      </c>
      <c r="AF13" s="26"/>
      <c r="AG13" s="26"/>
      <c r="AH13" s="26"/>
      <c r="AI13" s="26"/>
      <c r="AJ13" s="26"/>
      <c r="AK13" s="26"/>
      <c r="AL13" s="26"/>
      <c r="AM13" s="26"/>
      <c r="AN13" s="26"/>
      <c r="AO13" s="26"/>
      <c r="AP13" s="1109"/>
      <c r="AQ13" s="1110"/>
      <c r="AR13" s="1110"/>
      <c r="AS13" s="1110"/>
      <c r="AT13" s="1110"/>
      <c r="AU13" s="1110"/>
      <c r="AV13" s="1110"/>
      <c r="AW13" s="1110"/>
      <c r="AX13" s="1110"/>
      <c r="AY13" s="1110"/>
    </row>
    <row r="14" spans="1:51" ht="21.75" customHeight="1" thickTop="1">
      <c r="A14" s="844" t="s">
        <v>1015</v>
      </c>
      <c r="B14" s="1032" t="str">
        <f>R3</f>
        <v>Strong ACID</v>
      </c>
      <c r="C14" s="1002" t="str">
        <f>S3</f>
        <v>Strong BASE</v>
      </c>
      <c r="D14" s="1033" t="str">
        <f>T3</f>
        <v>Carbonic ac.</v>
      </c>
      <c r="E14" s="1043"/>
      <c r="F14" s="1041" t="s">
        <v>1020</v>
      </c>
      <c r="G14" s="1044"/>
      <c r="H14" s="661" t="s">
        <v>640</v>
      </c>
      <c r="I14" s="225">
        <f>I18-(I12+I13)</f>
        <v>1.4363439565651115E-5</v>
      </c>
      <c r="J14" s="995" t="s">
        <v>1011</v>
      </c>
      <c r="K14" s="132"/>
      <c r="L14" s="132"/>
      <c r="M14" s="996">
        <f>S15</f>
        <v>1.3880415343291712E-3</v>
      </c>
      <c r="N14" s="2"/>
      <c r="O14" s="294" t="s">
        <v>596</v>
      </c>
      <c r="P14" s="295"/>
      <c r="Q14" s="111" t="s">
        <v>722</v>
      </c>
      <c r="R14" s="451" t="s">
        <v>728</v>
      </c>
      <c r="S14" s="458">
        <f>0.5*(S12+S13*4)</f>
        <v>0</v>
      </c>
      <c r="T14" s="459">
        <f>0.5*(T12+T13*4)</f>
        <v>0</v>
      </c>
      <c r="U14" s="448" t="s">
        <v>491</v>
      </c>
      <c r="V14" s="422">
        <f>IF(K7="","",(V7*$AB$11^(-6*V$4-6)))</f>
        <v>53505987458896.305</v>
      </c>
      <c r="W14" s="422" t="str">
        <f t="shared" ref="W14:AB14" si="26">IF(L7="","",(W7*$AB$11^(-6*W$4-6)))</f>
        <v/>
      </c>
      <c r="X14" s="422" t="str">
        <f t="shared" si="26"/>
        <v/>
      </c>
      <c r="Y14" s="422" t="str">
        <f t="shared" si="26"/>
        <v/>
      </c>
      <c r="Z14" s="422" t="str">
        <f t="shared" si="26"/>
        <v/>
      </c>
      <c r="AA14" s="422" t="str">
        <f t="shared" si="26"/>
        <v/>
      </c>
      <c r="AB14" s="422" t="str">
        <f t="shared" si="26"/>
        <v/>
      </c>
      <c r="AC14" s="1219"/>
      <c r="AD14" s="1220"/>
      <c r="AE14" s="1221"/>
      <c r="AF14" s="26"/>
      <c r="AG14" s="26"/>
      <c r="AH14" s="26"/>
      <c r="AI14" s="26"/>
      <c r="AJ14" s="26"/>
      <c r="AK14" s="26"/>
      <c r="AL14" s="26"/>
      <c r="AM14" s="26"/>
      <c r="AN14" s="26"/>
      <c r="AO14" s="26"/>
      <c r="AP14" s="1109" t="s">
        <v>1086</v>
      </c>
      <c r="AQ14" s="1110"/>
      <c r="AR14" s="1110"/>
      <c r="AS14" s="1110"/>
      <c r="AT14" s="1110"/>
      <c r="AU14" s="1110"/>
      <c r="AV14" s="1110"/>
      <c r="AW14" s="1110"/>
      <c r="AX14" s="1110"/>
      <c r="AY14" s="1110"/>
    </row>
    <row r="15" spans="1:51" ht="18" customHeight="1">
      <c r="A15" s="845" t="s">
        <v>332</v>
      </c>
      <c r="B15" s="1045"/>
      <c r="C15" s="1046">
        <v>0.1</v>
      </c>
      <c r="D15" s="1047"/>
      <c r="E15" s="1035" t="s">
        <v>1018</v>
      </c>
      <c r="F15" s="1036" t="s">
        <v>608</v>
      </c>
      <c r="G15" s="1037" t="s">
        <v>348</v>
      </c>
      <c r="H15" s="661" t="s">
        <v>1003</v>
      </c>
      <c r="I15" s="226">
        <f>D41</f>
        <v>1.3096149588076179E-3</v>
      </c>
      <c r="J15" s="227">
        <f>IF(C41="",B41,C41)</f>
        <v>2.8861632347106934</v>
      </c>
      <c r="K15" s="1016" t="s">
        <v>1001</v>
      </c>
      <c r="L15" s="126"/>
      <c r="M15" s="395"/>
      <c r="N15" s="2"/>
      <c r="O15" s="296" t="s">
        <v>597</v>
      </c>
      <c r="P15" s="297"/>
      <c r="Q15" s="455" t="s">
        <v>652</v>
      </c>
      <c r="R15" s="453" t="s">
        <v>719</v>
      </c>
      <c r="S15" s="460">
        <f>-(S18/S17) - (G16/E16)*(S24- $AC$9/AU41^2/S24)</f>
        <v>1.3880415343291712E-3</v>
      </c>
      <c r="T15" s="460">
        <f>-T18/T17 - (T24- $AC$9/AE11^2/T24)</f>
        <v>9.9999989519874585E-2</v>
      </c>
      <c r="U15" s="310" t="s">
        <v>493</v>
      </c>
      <c r="V15" s="422" t="str">
        <f>IF(K8="","",(V8*$AB$11^(-8*V$4-12)))</f>
        <v/>
      </c>
      <c r="W15" s="422" t="str">
        <f t="shared" ref="W15:AB15" si="27">IF(L8="","",(W8*$AB$11^(-8*W$4-12)))</f>
        <v/>
      </c>
      <c r="X15" s="422" t="str">
        <f t="shared" si="27"/>
        <v/>
      </c>
      <c r="Y15" s="422" t="str">
        <f t="shared" si="27"/>
        <v/>
      </c>
      <c r="Z15" s="422" t="str">
        <f t="shared" si="27"/>
        <v/>
      </c>
      <c r="AA15" s="422" t="str">
        <f t="shared" si="27"/>
        <v/>
      </c>
      <c r="AB15" s="422" t="str">
        <f t="shared" si="27"/>
        <v/>
      </c>
      <c r="AC15" s="1222"/>
      <c r="AD15" s="746"/>
      <c r="AE15" s="753"/>
      <c r="AF15" s="26"/>
      <c r="AG15" s="26"/>
      <c r="AH15" s="26"/>
      <c r="AI15" s="26"/>
      <c r="AJ15" s="26"/>
      <c r="AK15" s="26"/>
      <c r="AL15" s="26"/>
      <c r="AM15" s="26"/>
      <c r="AN15" s="26"/>
      <c r="AO15" s="26"/>
      <c r="AP15" s="1109"/>
      <c r="AQ15" s="1110"/>
      <c r="AR15" s="1110"/>
      <c r="AS15" s="1110"/>
      <c r="AT15" s="1110"/>
      <c r="AU15" s="1110"/>
      <c r="AV15" s="1110"/>
      <c r="AW15" s="1110"/>
      <c r="AX15" s="1110"/>
      <c r="AY15" s="1110"/>
    </row>
    <row r="16" spans="1:51" ht="19.5" customHeight="1" thickBot="1">
      <c r="A16" s="847" t="s">
        <v>333</v>
      </c>
      <c r="B16" s="846"/>
      <c r="C16" s="774"/>
      <c r="D16" s="775"/>
      <c r="E16" s="1038">
        <v>20</v>
      </c>
      <c r="F16" s="1039">
        <v>0</v>
      </c>
      <c r="G16" s="1040">
        <f>E16+F16</f>
        <v>20</v>
      </c>
      <c r="H16" s="1017" t="s">
        <v>1004</v>
      </c>
      <c r="I16" s="226">
        <f>AB21/I15</f>
        <v>9.5196864083425799E-12</v>
      </c>
      <c r="J16" s="228">
        <f>-LOG(AB21)-J15</f>
        <v>11.018070495859396</v>
      </c>
      <c r="K16" s="997" t="s">
        <v>1002</v>
      </c>
      <c r="L16" s="126"/>
      <c r="M16" s="519">
        <f>AT41</f>
        <v>1.086213258459855E-2</v>
      </c>
      <c r="N16" s="2"/>
      <c r="O16" s="292" t="s">
        <v>506</v>
      </c>
      <c r="P16" s="293">
        <v>0.50900000000000001</v>
      </c>
      <c r="Q16" s="1359" t="s">
        <v>1143</v>
      </c>
      <c r="R16" s="450" t="s">
        <v>727</v>
      </c>
      <c r="S16" s="461">
        <f>0.5*S17^2*ABS(S15)</f>
        <v>6.940207671645856E-4</v>
      </c>
      <c r="T16" s="462">
        <f>0.5*T17^2*ABS(T15)</f>
        <v>4.9999994759937293E-2</v>
      </c>
      <c r="U16" s="310" t="s">
        <v>495</v>
      </c>
      <c r="V16" s="422" t="str">
        <f>IF(K9="","",(V9*$AB$11^(-10*V$4-20)))</f>
        <v/>
      </c>
      <c r="W16" s="422" t="str">
        <f t="shared" ref="W16:AB16" si="28">IF(L9="","",(W9*$AB$11^(-10*W$4-20)))</f>
        <v/>
      </c>
      <c r="X16" s="422" t="str">
        <f t="shared" si="28"/>
        <v/>
      </c>
      <c r="Y16" s="422" t="str">
        <f t="shared" si="28"/>
        <v/>
      </c>
      <c r="Z16" s="422" t="str">
        <f t="shared" si="28"/>
        <v/>
      </c>
      <c r="AA16" s="422" t="str">
        <f t="shared" si="28"/>
        <v/>
      </c>
      <c r="AB16" s="422" t="str">
        <f t="shared" si="28"/>
        <v/>
      </c>
      <c r="AC16" s="1222"/>
      <c r="AD16" s="746"/>
      <c r="AE16" s="753"/>
      <c r="AF16" s="26"/>
      <c r="AG16" s="26"/>
      <c r="AH16" s="26"/>
      <c r="AI16" s="26"/>
      <c r="AJ16" s="26"/>
      <c r="AK16" s="26"/>
      <c r="AL16" s="26"/>
      <c r="AM16" s="26"/>
      <c r="AN16" s="26"/>
      <c r="AO16" s="26"/>
      <c r="AP16" s="1109" t="s">
        <v>1060</v>
      </c>
      <c r="AQ16" s="1110"/>
      <c r="AR16" s="1110"/>
      <c r="AS16" s="1110"/>
      <c r="AT16" s="1110"/>
      <c r="AU16" s="1110"/>
      <c r="AV16" s="1110"/>
      <c r="AW16" s="1110"/>
      <c r="AX16" s="1110"/>
      <c r="AY16" s="1110"/>
    </row>
    <row r="17" spans="1:51" ht="18" customHeight="1" thickTop="1" thickBot="1">
      <c r="A17" s="847" t="s">
        <v>869</v>
      </c>
      <c r="B17" s="777"/>
      <c r="C17" s="777"/>
      <c r="D17" s="778"/>
      <c r="E17" s="848" t="s">
        <v>345</v>
      </c>
      <c r="F17" s="849"/>
      <c r="G17" s="850"/>
      <c r="H17" s="661" t="s">
        <v>1005</v>
      </c>
      <c r="I17" s="226">
        <f>I12+ (G16/E16)*(I15-I16)</f>
        <v>0.10866670914318377</v>
      </c>
      <c r="J17" s="436"/>
      <c r="K17" s="434"/>
      <c r="L17" s="126"/>
      <c r="M17" s="395"/>
      <c r="N17" s="2"/>
      <c r="O17" s="53" t="s">
        <v>507</v>
      </c>
      <c r="P17" s="54">
        <v>0.3</v>
      </c>
      <c r="Q17" s="456" t="s">
        <v>725</v>
      </c>
      <c r="R17" s="454" t="s">
        <v>713</v>
      </c>
      <c r="S17" s="463">
        <v>1</v>
      </c>
      <c r="T17" s="464">
        <v>1</v>
      </c>
      <c r="U17" s="449" t="s">
        <v>497</v>
      </c>
      <c r="V17" s="424" t="str">
        <f>IF(K10="","",(V10*$AB$11^(-12*V$4-30)))</f>
        <v/>
      </c>
      <c r="W17" s="424" t="str">
        <f t="shared" ref="W17:AB17" si="29">IF(L10="","",(W10*$AB$11^(-12*W$4-30)))</f>
        <v/>
      </c>
      <c r="X17" s="424" t="str">
        <f t="shared" si="29"/>
        <v/>
      </c>
      <c r="Y17" s="424" t="str">
        <f t="shared" si="29"/>
        <v/>
      </c>
      <c r="Z17" s="424" t="str">
        <f t="shared" si="29"/>
        <v/>
      </c>
      <c r="AA17" s="424" t="str">
        <f t="shared" si="29"/>
        <v/>
      </c>
      <c r="AB17" s="424" t="str">
        <f t="shared" si="29"/>
        <v/>
      </c>
      <c r="AC17" s="1223"/>
      <c r="AD17" s="747"/>
      <c r="AE17" s="754"/>
      <c r="AF17" s="26"/>
      <c r="AG17" s="26"/>
      <c r="AH17" s="26"/>
      <c r="AI17" s="26"/>
      <c r="AJ17" s="26"/>
      <c r="AK17" s="26"/>
      <c r="AL17" s="26"/>
      <c r="AM17" s="26"/>
      <c r="AN17" s="26"/>
      <c r="AO17" s="26"/>
      <c r="AP17" s="1109"/>
      <c r="AQ17" s="1110"/>
      <c r="AR17" s="1110"/>
      <c r="AS17" s="1110"/>
      <c r="AT17" s="1110"/>
      <c r="AU17" s="1110"/>
      <c r="AV17" s="1110"/>
      <c r="AW17" s="1110"/>
      <c r="AX17" s="1110"/>
      <c r="AY17" s="1110"/>
    </row>
    <row r="18" spans="1:51" ht="20.25" customHeight="1" thickTop="1">
      <c r="A18" s="851" t="s">
        <v>870</v>
      </c>
      <c r="B18" s="735">
        <f>B15+B16+B17</f>
        <v>0</v>
      </c>
      <c r="C18" s="735">
        <f>C15+C16+C17</f>
        <v>0.1</v>
      </c>
      <c r="D18" s="735">
        <f>D15+D16+D17</f>
        <v>0</v>
      </c>
      <c r="E18" s="735">
        <f>SUM(B18:D18)</f>
        <v>0.1</v>
      </c>
      <c r="F18" s="852" t="s">
        <v>1006</v>
      </c>
      <c r="G18" s="853"/>
      <c r="H18" s="661" t="s">
        <v>1129</v>
      </c>
      <c r="I18" s="1030">
        <v>0.11006911411707862</v>
      </c>
      <c r="J18" s="1025" t="s">
        <v>1017</v>
      </c>
      <c r="K18" s="1025"/>
      <c r="L18" s="1025"/>
      <c r="M18" s="1026"/>
      <c r="N18" s="2"/>
      <c r="O18" s="142"/>
      <c r="P18" s="439"/>
      <c r="Q18" s="457" t="s">
        <v>717</v>
      </c>
      <c r="R18" s="470" t="s">
        <v>718</v>
      </c>
      <c r="S18" s="465">
        <f>SUM(V18:AB18)</f>
        <v>-2.6976564836171026E-3</v>
      </c>
      <c r="T18" s="474">
        <f>SUM(AC18:AE18)</f>
        <v>-1.7801316650853212E-4</v>
      </c>
      <c r="U18" s="476" t="s">
        <v>576</v>
      </c>
      <c r="V18" s="490">
        <f t="shared" ref="V18:AB18" si="30">K4*B4+(K4+1)*B5+(K4+2)*B6+(K4+3)*B7+(K4+4)*B8+(K4+5)*B9+(K4+6)*B10</f>
        <v>-1.0653983991795219E-2</v>
      </c>
      <c r="W18" s="491">
        <f t="shared" si="30"/>
        <v>7.9563275081781168E-3</v>
      </c>
      <c r="X18" s="491">
        <f t="shared" si="30"/>
        <v>0</v>
      </c>
      <c r="Y18" s="491">
        <f t="shared" si="30"/>
        <v>0</v>
      </c>
      <c r="Z18" s="491">
        <f t="shared" si="30"/>
        <v>0</v>
      </c>
      <c r="AA18" s="491">
        <f t="shared" si="30"/>
        <v>0</v>
      </c>
      <c r="AB18" s="492">
        <f t="shared" si="30"/>
        <v>0</v>
      </c>
      <c r="AC18" s="497">
        <v>0</v>
      </c>
      <c r="AD18" s="491">
        <v>-1.7801316650853212E-4</v>
      </c>
      <c r="AE18" s="498">
        <v>0</v>
      </c>
      <c r="AF18" s="26"/>
      <c r="AG18" s="26"/>
      <c r="AH18" s="26"/>
      <c r="AI18" s="26"/>
      <c r="AJ18" s="26"/>
      <c r="AK18" s="26"/>
      <c r="AL18" s="26"/>
      <c r="AM18" s="26"/>
      <c r="AN18" s="26"/>
      <c r="AO18" s="26"/>
      <c r="AP18" s="1109" t="s">
        <v>1066</v>
      </c>
      <c r="AQ18" s="1110"/>
      <c r="AR18" s="1110"/>
      <c r="AS18" s="1110"/>
      <c r="AT18" s="1110"/>
      <c r="AU18" s="1110"/>
      <c r="AV18" s="1110"/>
      <c r="AW18" s="1110"/>
      <c r="AX18" s="1110"/>
      <c r="AY18" s="1110"/>
    </row>
    <row r="19" spans="1:51" ht="20.25" customHeight="1" thickBot="1">
      <c r="A19" s="854" t="s">
        <v>868</v>
      </c>
      <c r="B19" s="738">
        <f>B16+2*B17</f>
        <v>0</v>
      </c>
      <c r="C19" s="738">
        <f>C16+2*C17</f>
        <v>0</v>
      </c>
      <c r="D19" s="738">
        <f>D16+2*D17</f>
        <v>0</v>
      </c>
      <c r="E19" s="738">
        <f>SUM(B19:D19)</f>
        <v>0</v>
      </c>
      <c r="F19" s="855" t="s">
        <v>895</v>
      </c>
      <c r="G19" s="856">
        <v>12.889207370986353</v>
      </c>
      <c r="H19" s="1350" t="s">
        <v>1140</v>
      </c>
      <c r="I19" s="1031">
        <f>SUM($G$41:$G$201)</f>
        <v>1.0070398441015401E-5</v>
      </c>
      <c r="J19" s="1027" t="s">
        <v>1016</v>
      </c>
      <c r="K19" s="1028"/>
      <c r="L19" s="1028"/>
      <c r="M19" s="1029"/>
      <c r="N19" s="2"/>
      <c r="O19" s="142"/>
      <c r="P19" s="439"/>
      <c r="Q19" s="456" t="s">
        <v>729</v>
      </c>
      <c r="R19" s="451" t="s">
        <v>730</v>
      </c>
      <c r="S19" s="465">
        <f>0.5*SUM(V19:AB19)</f>
        <v>9.5133043333102789E-3</v>
      </c>
      <c r="T19" s="474">
        <f>0.5*(SUM(AC19:AE19))</f>
        <v>8.9006583254266059E-5</v>
      </c>
      <c r="U19" s="475" t="s">
        <v>715</v>
      </c>
      <c r="V19" s="493">
        <f t="shared" ref="V19:AB19" si="31">V4^2*B4+(V4+1)^2*B5+(V4+2)^2*B6+(V4+3)^2*B7+(V4+4)^2*B8+(V4+5)^2*B9+(V4+6)^2*B10</f>
        <v>1.1070272603405361E-2</v>
      </c>
      <c r="W19" s="494">
        <f t="shared" si="31"/>
        <v>7.9563360632151948E-3</v>
      </c>
      <c r="X19" s="494">
        <f t="shared" si="31"/>
        <v>0</v>
      </c>
      <c r="Y19" s="494">
        <f t="shared" si="31"/>
        <v>0</v>
      </c>
      <c r="Z19" s="494">
        <f t="shared" si="31"/>
        <v>0</v>
      </c>
      <c r="AA19" s="494">
        <f t="shared" si="31"/>
        <v>0</v>
      </c>
      <c r="AB19" s="495">
        <f t="shared" si="31"/>
        <v>0</v>
      </c>
      <c r="AC19" s="499">
        <v>0</v>
      </c>
      <c r="AD19" s="494">
        <v>1.7801316650853212E-4</v>
      </c>
      <c r="AE19" s="477">
        <v>0</v>
      </c>
      <c r="AF19" s="26"/>
      <c r="AG19" s="26"/>
      <c r="AH19" s="26"/>
      <c r="AI19" s="26"/>
      <c r="AJ19" s="26"/>
      <c r="AK19" s="26"/>
      <c r="AL19" s="26"/>
      <c r="AM19" s="26"/>
      <c r="AN19" s="26"/>
      <c r="AO19" s="26"/>
      <c r="AP19" s="1109"/>
      <c r="AQ19" s="1110"/>
      <c r="AR19" s="1110"/>
      <c r="AS19" s="1110"/>
      <c r="AT19" s="1110"/>
      <c r="AU19" s="1110"/>
      <c r="AV19" s="1110"/>
      <c r="AW19" s="1110"/>
      <c r="AX19" s="1110"/>
      <c r="AY19" s="1110"/>
    </row>
    <row r="20" spans="1:51" ht="21" customHeight="1" thickTop="1" thickBot="1">
      <c r="A20" s="60"/>
      <c r="B20" s="60"/>
      <c r="C20" s="26"/>
      <c r="D20" s="26"/>
      <c r="E20" s="9"/>
      <c r="F20" s="117"/>
      <c r="G20" s="117"/>
      <c r="H20" s="1012" t="s">
        <v>1008</v>
      </c>
      <c r="I20" s="264">
        <v>2</v>
      </c>
      <c r="J20" s="1013" t="s">
        <v>1010</v>
      </c>
      <c r="K20" s="485">
        <v>0</v>
      </c>
      <c r="L20" s="1013" t="s">
        <v>1009</v>
      </c>
      <c r="M20" s="485">
        <v>0</v>
      </c>
      <c r="N20" s="2"/>
      <c r="O20" s="142"/>
      <c r="P20" s="439"/>
      <c r="Q20" s="502" t="s">
        <v>723</v>
      </c>
      <c r="R20" s="1057" t="s">
        <v>997</v>
      </c>
      <c r="S20" s="460">
        <f>S19+S16+S14+0.5*S24/L41+0.5*S25/L41</f>
        <v>1.0862132584638516E-2</v>
      </c>
      <c r="T20" s="503">
        <f>T19+T16+T14+0.5*T24+0.5*T25</f>
        <v>9.9999989520039703E-2</v>
      </c>
      <c r="U20" s="471"/>
      <c r="V20" s="471"/>
      <c r="W20" s="471"/>
      <c r="X20" s="471"/>
      <c r="Y20" s="471"/>
      <c r="Z20" s="471"/>
      <c r="AA20" s="471"/>
      <c r="AB20" s="486" t="s">
        <v>336</v>
      </c>
      <c r="AC20" s="487" t="s">
        <v>336</v>
      </c>
      <c r="AD20" s="26"/>
      <c r="AE20" s="26"/>
      <c r="AF20" s="26"/>
      <c r="AG20" s="26"/>
      <c r="AH20" s="26"/>
      <c r="AI20" s="26"/>
      <c r="AJ20" s="26"/>
      <c r="AK20" s="26"/>
      <c r="AL20" s="26"/>
      <c r="AM20" s="26"/>
      <c r="AN20" s="26"/>
      <c r="AO20" s="26"/>
      <c r="AP20" s="1109" t="s">
        <v>1061</v>
      </c>
      <c r="AQ20" s="1110"/>
      <c r="AR20" s="1110"/>
      <c r="AS20" s="1110"/>
      <c r="AT20" s="1110"/>
      <c r="AU20" s="1110"/>
      <c r="AV20" s="1110"/>
      <c r="AW20" s="1110"/>
      <c r="AX20" s="1110"/>
      <c r="AY20" s="1110"/>
    </row>
    <row r="21" spans="1:51" ht="20.100000000000001" customHeight="1" thickTop="1" thickBot="1">
      <c r="A21" s="60"/>
      <c r="B21" s="60"/>
      <c r="C21" s="26"/>
      <c r="D21" s="26"/>
      <c r="E21" s="26"/>
      <c r="F21" s="26"/>
      <c r="G21" s="26"/>
      <c r="H21" s="26"/>
      <c r="I21" s="26"/>
      <c r="J21" s="26"/>
      <c r="K21" s="26"/>
      <c r="L21" s="26"/>
      <c r="M21" s="26"/>
      <c r="N21" s="2"/>
      <c r="O21" s="142"/>
      <c r="P21" s="439"/>
      <c r="Q21" s="1006" t="s">
        <v>996</v>
      </c>
      <c r="R21" s="1005" t="s">
        <v>994</v>
      </c>
      <c r="S21" s="468" t="s">
        <v>602</v>
      </c>
      <c r="T21" s="469" t="s">
        <v>605</v>
      </c>
      <c r="U21" s="472"/>
      <c r="V21" s="472"/>
      <c r="W21" s="472"/>
      <c r="X21" s="472"/>
      <c r="Y21" s="472"/>
      <c r="Z21" s="472"/>
      <c r="AA21" s="472"/>
      <c r="AB21" s="489">
        <f>AC9/S23^2</f>
        <v>1.2467123723523007E-14</v>
      </c>
      <c r="AC21" s="488">
        <f>AC9/T23^2</f>
        <v>1.6483050398991624E-14</v>
      </c>
      <c r="AD21" s="57"/>
      <c r="AE21" s="57"/>
      <c r="AF21" s="26"/>
      <c r="AG21" s="26"/>
      <c r="AH21" s="26"/>
      <c r="AI21" s="26"/>
      <c r="AJ21" s="26"/>
      <c r="AK21" s="26"/>
      <c r="AL21" s="26"/>
      <c r="AM21" s="26"/>
      <c r="AN21" s="26"/>
      <c r="AO21" s="26"/>
      <c r="AP21" s="1109"/>
      <c r="AQ21" s="1110"/>
      <c r="AR21" s="1110"/>
      <c r="AS21" s="1110"/>
      <c r="AT21" s="1110"/>
      <c r="AU21" s="1110"/>
      <c r="AV21" s="1110"/>
      <c r="AW21" s="1110"/>
      <c r="AX21" s="1110"/>
      <c r="AY21" s="1110"/>
    </row>
    <row r="22" spans="1:51" ht="20.100000000000001" customHeight="1" thickTop="1" thickBot="1">
      <c r="A22" s="60"/>
      <c r="B22" s="60"/>
      <c r="C22" s="26"/>
      <c r="D22" s="26"/>
      <c r="E22" s="26"/>
      <c r="F22" s="26"/>
      <c r="G22" s="26"/>
      <c r="H22" s="26"/>
      <c r="I22" s="26"/>
      <c r="J22" s="26"/>
      <c r="K22" s="26"/>
      <c r="L22" s="26"/>
      <c r="M22" s="26"/>
      <c r="N22" s="2"/>
      <c r="O22" s="142"/>
      <c r="P22" s="439"/>
      <c r="Q22" s="1007"/>
      <c r="R22" s="1008" t="s">
        <v>995</v>
      </c>
      <c r="S22" s="1009">
        <f>AT41</f>
        <v>1.086213258459855E-2</v>
      </c>
      <c r="T22" s="1010">
        <v>9.9999932445251433E-2</v>
      </c>
      <c r="U22" s="26"/>
      <c r="V22" s="472"/>
      <c r="W22" s="472"/>
      <c r="X22" s="472"/>
      <c r="Y22" s="472"/>
      <c r="Z22" s="472"/>
      <c r="AA22" s="472"/>
      <c r="AB22" s="26"/>
      <c r="AC22" s="26"/>
      <c r="AD22" s="26"/>
      <c r="AE22" s="26"/>
      <c r="AF22" s="26"/>
      <c r="AG22" s="26"/>
      <c r="AH22" s="26"/>
      <c r="AI22" s="26"/>
      <c r="AJ22" s="26"/>
      <c r="AK22" s="26"/>
      <c r="AL22" s="26"/>
      <c r="AM22" s="26"/>
      <c r="AN22" s="26"/>
      <c r="AO22" s="26"/>
      <c r="AP22" s="1109" t="s">
        <v>1096</v>
      </c>
      <c r="AQ22" s="1110"/>
      <c r="AR22" s="1110"/>
      <c r="AS22" s="1110"/>
      <c r="AT22" s="1110"/>
      <c r="AU22" s="1110"/>
      <c r="AV22" s="1110"/>
      <c r="AW22" s="1110"/>
      <c r="AX22" s="1110"/>
      <c r="AY22" s="1110"/>
    </row>
    <row r="23" spans="1:51" ht="20.100000000000001" customHeight="1" thickTop="1">
      <c r="A23" s="60"/>
      <c r="B23" s="60"/>
      <c r="C23" s="26"/>
      <c r="D23" s="26"/>
      <c r="E23" s="26"/>
      <c r="F23" s="26"/>
      <c r="G23" s="26"/>
      <c r="H23" s="26"/>
      <c r="I23" s="26"/>
      <c r="J23" s="26"/>
      <c r="K23" s="26"/>
      <c r="L23" s="26"/>
      <c r="M23" s="26"/>
      <c r="N23" s="48" t="s">
        <v>1127</v>
      </c>
      <c r="O23" s="1336"/>
      <c r="P23" s="26"/>
      <c r="Q23" s="478"/>
      <c r="R23" s="514" t="s">
        <v>508</v>
      </c>
      <c r="S23" s="517">
        <f>AU41</f>
        <v>0.89870439443519512</v>
      </c>
      <c r="T23" s="518">
        <v>0.78159398185987139</v>
      </c>
      <c r="U23" s="513"/>
      <c r="V23" s="57"/>
      <c r="W23" s="57"/>
      <c r="X23" s="57"/>
      <c r="Y23" s="57"/>
      <c r="Z23" s="57"/>
      <c r="AA23" s="57"/>
      <c r="AB23" s="26"/>
      <c r="AC23" s="26"/>
      <c r="AD23" s="26"/>
      <c r="AE23" s="26"/>
      <c r="AF23" s="26"/>
      <c r="AG23" s="26"/>
      <c r="AH23" s="26"/>
      <c r="AI23" s="26"/>
      <c r="AJ23" s="26"/>
      <c r="AK23" s="26"/>
      <c r="AL23" s="26"/>
      <c r="AM23" s="26"/>
      <c r="AN23" s="26"/>
      <c r="AO23" s="26"/>
      <c r="AP23" s="1109"/>
      <c r="AQ23" s="1110"/>
      <c r="AR23" s="1110"/>
      <c r="AS23" s="1110"/>
      <c r="AT23" s="1110"/>
      <c r="AU23" s="1110"/>
      <c r="AV23" s="1110"/>
      <c r="AW23" s="1110"/>
      <c r="AX23" s="1110"/>
      <c r="AY23" s="1110"/>
    </row>
    <row r="24" spans="1:51" ht="20.100000000000001" customHeight="1">
      <c r="A24" s="128"/>
      <c r="B24" s="60"/>
      <c r="C24" s="80"/>
      <c r="D24" s="26"/>
      <c r="E24" s="26"/>
      <c r="F24" s="26"/>
      <c r="G24" s="26"/>
      <c r="H24" s="26"/>
      <c r="I24" s="26"/>
      <c r="J24" s="26"/>
      <c r="K24" s="26"/>
      <c r="L24" s="26"/>
      <c r="M24" s="26"/>
      <c r="N24" s="1337" t="s">
        <v>1117</v>
      </c>
      <c r="O24" s="1338">
        <f>AVERAGE(H41:H201)</f>
        <v>-1.2497094599751357E-6</v>
      </c>
      <c r="P24" s="26"/>
      <c r="Q24" s="478"/>
      <c r="R24" s="509" t="s">
        <v>724</v>
      </c>
      <c r="S24" s="510">
        <f>D41</f>
        <v>1.3096149588076179E-3</v>
      </c>
      <c r="T24" s="511">
        <v>1.65124464582979E-13</v>
      </c>
      <c r="U24" s="26"/>
      <c r="V24" s="2"/>
      <c r="W24" s="26"/>
      <c r="X24" s="26"/>
      <c r="Y24" s="26"/>
      <c r="Z24" s="2"/>
      <c r="AA24" s="26"/>
      <c r="AB24" s="26"/>
      <c r="AC24" s="26"/>
      <c r="AD24" s="26"/>
      <c r="AE24" s="26"/>
      <c r="AF24" s="26"/>
      <c r="AG24" s="26"/>
      <c r="AH24" s="26"/>
      <c r="AI24" s="26"/>
      <c r="AJ24" s="26"/>
      <c r="AK24" s="26"/>
      <c r="AL24" s="26"/>
      <c r="AM24" s="26"/>
      <c r="AN24" s="26"/>
      <c r="AO24" s="26"/>
      <c r="AP24" s="1109" t="s">
        <v>1062</v>
      </c>
      <c r="AQ24" s="1110"/>
      <c r="AR24" s="1110"/>
      <c r="AS24" s="1110"/>
      <c r="AT24" s="1110"/>
      <c r="AU24" s="1110"/>
      <c r="AV24" s="1110"/>
      <c r="AW24" s="1110"/>
      <c r="AX24" s="1110"/>
      <c r="AY24" s="1110"/>
    </row>
    <row r="25" spans="1:51" ht="20.100000000000001" customHeight="1">
      <c r="A25" s="128"/>
      <c r="B25" s="60"/>
      <c r="C25" s="80"/>
      <c r="D25" s="26"/>
      <c r="E25" s="26"/>
      <c r="F25" s="26"/>
      <c r="G25" s="26"/>
      <c r="H25" s="26"/>
      <c r="I25" s="26"/>
      <c r="J25" s="26"/>
      <c r="K25" s="26"/>
      <c r="L25" s="26"/>
      <c r="M25" s="26"/>
      <c r="N25" s="1339" t="s">
        <v>1118</v>
      </c>
      <c r="O25" s="1340">
        <f>MEDIAN(H41:H201)</f>
        <v>-1.1110042015941013E-5</v>
      </c>
      <c r="P25" s="26"/>
      <c r="Q25" s="478"/>
      <c r="R25" s="504" t="s">
        <v>733</v>
      </c>
      <c r="S25" s="506">
        <f>AB21/D41</f>
        <v>9.5196864083425799E-12</v>
      </c>
      <c r="T25" s="500">
        <v>9.9821976353531169E-2</v>
      </c>
      <c r="U25" s="60"/>
      <c r="V25" s="2"/>
      <c r="W25" s="26"/>
      <c r="X25" s="26"/>
      <c r="Y25" s="26"/>
      <c r="Z25" s="2"/>
      <c r="AA25" s="26"/>
      <c r="AB25" s="26"/>
      <c r="AC25" s="26"/>
      <c r="AD25" s="26"/>
      <c r="AE25" s="26"/>
      <c r="AF25" s="26"/>
      <c r="AG25" s="26"/>
      <c r="AH25" s="26"/>
      <c r="AI25" s="26"/>
      <c r="AJ25" s="26"/>
      <c r="AK25" s="26"/>
      <c r="AL25" s="26"/>
      <c r="AM25" s="26"/>
      <c r="AN25" s="26"/>
      <c r="AO25" s="26"/>
      <c r="AP25" s="1109" t="s">
        <v>945</v>
      </c>
      <c r="AQ25" s="1110"/>
      <c r="AR25" s="1110"/>
      <c r="AS25" s="1110"/>
      <c r="AT25" s="1110"/>
      <c r="AU25" s="1110"/>
      <c r="AV25" s="1110"/>
      <c r="AW25" s="1110"/>
      <c r="AX25" s="1110"/>
      <c r="AY25" s="1110"/>
    </row>
    <row r="26" spans="1:51" ht="20.100000000000001" customHeight="1" thickBot="1">
      <c r="A26" s="128"/>
      <c r="B26" s="60"/>
      <c r="C26" s="80"/>
      <c r="D26" s="26"/>
      <c r="E26" s="26"/>
      <c r="F26" s="26"/>
      <c r="G26" s="26"/>
      <c r="H26" s="26"/>
      <c r="I26" s="26"/>
      <c r="J26" s="26"/>
      <c r="K26" s="26"/>
      <c r="L26" s="26"/>
      <c r="M26" s="26"/>
      <c r="N26" s="1339" t="s">
        <v>1119</v>
      </c>
      <c r="O26" s="1340">
        <f>STDEV(H42:H201)</f>
        <v>3.4202921111863396E-4</v>
      </c>
      <c r="P26" s="26"/>
      <c r="Q26" s="507"/>
      <c r="R26" s="1011" t="s">
        <v>331</v>
      </c>
      <c r="S26" s="505">
        <f>IF(C41="",B41,C41)</f>
        <v>2.8861632347106934</v>
      </c>
      <c r="T26" s="501">
        <v>12.889207370986353</v>
      </c>
      <c r="U26" s="60"/>
      <c r="V26" s="2"/>
      <c r="W26" s="26"/>
      <c r="X26" s="26"/>
      <c r="Y26" s="26"/>
      <c r="Z26" s="2"/>
      <c r="AA26" s="26"/>
      <c r="AB26" s="26"/>
      <c r="AC26" s="26"/>
      <c r="AD26" s="26"/>
      <c r="AE26" s="26"/>
      <c r="AF26" s="26"/>
      <c r="AG26" s="26"/>
      <c r="AH26" s="26"/>
      <c r="AI26" s="26"/>
      <c r="AJ26" s="26"/>
      <c r="AK26" s="26"/>
      <c r="AL26" s="26"/>
      <c r="AM26" s="26"/>
      <c r="AN26" s="26"/>
      <c r="AO26" s="26"/>
      <c r="AP26" s="1342" t="s">
        <v>1120</v>
      </c>
      <c r="AQ26" s="1342"/>
      <c r="AR26" s="1342"/>
      <c r="AS26" s="1342"/>
      <c r="AT26" s="1342"/>
      <c r="AU26" s="1342"/>
      <c r="AV26" s="1342"/>
      <c r="AW26" s="1342"/>
      <c r="AX26" s="1342"/>
      <c r="AY26" s="1342"/>
    </row>
    <row r="27" spans="1:51" ht="20.100000000000001" customHeight="1" thickTop="1" thickBot="1">
      <c r="A27" s="128"/>
      <c r="B27" s="60"/>
      <c r="C27" s="26"/>
      <c r="D27" s="26"/>
      <c r="E27" s="26"/>
      <c r="F27" s="26"/>
      <c r="G27" s="26"/>
      <c r="H27" s="26"/>
      <c r="I27" s="26"/>
      <c r="J27" s="26"/>
      <c r="K27" s="26"/>
      <c r="L27" s="26"/>
      <c r="M27" s="26"/>
      <c r="N27" s="1341" t="s">
        <v>1122</v>
      </c>
      <c r="O27" s="1343">
        <f>100*O26/I17</f>
        <v>0.31475068474555723</v>
      </c>
      <c r="P27" s="26"/>
      <c r="Q27" s="26"/>
      <c r="R27" s="26"/>
      <c r="S27" s="26"/>
      <c r="T27" s="26"/>
      <c r="U27" s="26"/>
      <c r="V27" s="2"/>
      <c r="W27" s="26"/>
      <c r="X27" s="26"/>
      <c r="Y27" s="26"/>
      <c r="Z27" s="2"/>
      <c r="AA27" s="26"/>
      <c r="AB27" s="26"/>
      <c r="AC27" s="26"/>
      <c r="AD27" s="26"/>
      <c r="AE27" s="26"/>
      <c r="AF27" s="26"/>
      <c r="AG27" s="26"/>
      <c r="AH27" s="26"/>
      <c r="AI27" s="26"/>
      <c r="AJ27" s="26"/>
      <c r="AK27" s="26"/>
      <c r="AL27" s="26"/>
      <c r="AM27" s="26"/>
      <c r="AN27" s="26"/>
      <c r="AO27" s="26"/>
      <c r="AP27" s="1342" t="s">
        <v>1121</v>
      </c>
      <c r="AQ27" s="1342"/>
      <c r="AR27" s="1342"/>
      <c r="AS27" s="1342"/>
      <c r="AT27" s="1342"/>
      <c r="AU27" s="1342"/>
      <c r="AV27" s="1342"/>
      <c r="AW27" s="1342"/>
      <c r="AX27" s="1342"/>
      <c r="AY27" s="1342"/>
    </row>
    <row r="28" spans="1:51" ht="20.100000000000001" customHeight="1" thickTop="1">
      <c r="A28" s="128"/>
      <c r="B28" s="60"/>
      <c r="C28" s="26"/>
      <c r="D28" s="26"/>
      <c r="E28" s="26"/>
      <c r="F28" s="26"/>
      <c r="G28" s="26"/>
      <c r="H28" s="26"/>
      <c r="I28" s="26"/>
      <c r="J28" s="26"/>
      <c r="K28" s="26"/>
      <c r="L28" s="26"/>
      <c r="M28" s="26"/>
      <c r="N28" s="26"/>
      <c r="O28" s="26"/>
      <c r="P28" s="26"/>
      <c r="Q28" s="26"/>
      <c r="R28" s="26"/>
      <c r="S28" s="26"/>
      <c r="T28" s="26"/>
      <c r="U28" s="2"/>
      <c r="V28" s="2"/>
      <c r="W28" s="26"/>
      <c r="X28" s="26"/>
      <c r="Y28" s="26"/>
      <c r="Z28" s="2"/>
      <c r="AA28" s="26"/>
      <c r="AB28" s="26"/>
      <c r="AC28" s="26"/>
      <c r="AD28" s="26"/>
      <c r="AE28" s="26"/>
      <c r="AF28" s="26"/>
      <c r="AG28" s="26"/>
      <c r="AH28" s="26"/>
      <c r="AI28" s="26"/>
      <c r="AJ28" s="26"/>
      <c r="AK28" s="26"/>
      <c r="AL28" s="26"/>
      <c r="AM28" s="26"/>
      <c r="AN28" s="26"/>
      <c r="AO28" s="26"/>
      <c r="AP28" s="26"/>
      <c r="AQ28" s="26"/>
      <c r="AR28" s="26"/>
      <c r="AS28" s="26"/>
      <c r="AT28" s="26"/>
      <c r="AU28" s="26"/>
      <c r="AV28" s="26"/>
      <c r="AW28" s="26"/>
      <c r="AX28" s="26"/>
      <c r="AY28" s="26"/>
    </row>
    <row r="29" spans="1:51" ht="20.100000000000001" customHeight="1">
      <c r="A29" s="128"/>
      <c r="B29" s="60"/>
      <c r="C29" s="26"/>
      <c r="D29" s="26"/>
      <c r="E29" s="26"/>
      <c r="F29" s="26"/>
      <c r="G29" s="26"/>
      <c r="H29" s="26"/>
      <c r="I29" s="26"/>
      <c r="J29" s="26"/>
      <c r="K29" s="26"/>
      <c r="L29" s="26"/>
      <c r="M29" s="26"/>
      <c r="N29" s="26"/>
      <c r="O29" s="26"/>
      <c r="P29" s="26"/>
      <c r="Q29" s="1127"/>
      <c r="R29" s="1128" t="s">
        <v>598</v>
      </c>
      <c r="S29" s="1129"/>
      <c r="T29" s="26"/>
      <c r="U29" s="26"/>
      <c r="V29" s="2"/>
      <c r="W29" s="26"/>
      <c r="X29" s="26"/>
      <c r="Y29" s="26"/>
      <c r="Z29" s="2"/>
      <c r="AA29" s="26"/>
      <c r="AB29" s="26"/>
      <c r="AC29" s="26"/>
      <c r="AD29" s="26"/>
      <c r="AE29" s="26"/>
      <c r="AF29" s="26"/>
      <c r="AG29" s="26"/>
      <c r="AH29" s="26"/>
      <c r="AI29" s="26"/>
      <c r="AJ29" s="26"/>
      <c r="AK29" s="26"/>
      <c r="AL29" s="26"/>
      <c r="AM29" s="26"/>
      <c r="AN29" s="26"/>
      <c r="AO29" s="26"/>
      <c r="AP29" s="26"/>
      <c r="AQ29" s="26"/>
      <c r="AR29" s="26"/>
      <c r="AS29" s="26"/>
      <c r="AT29" s="26"/>
      <c r="AU29" s="26"/>
      <c r="AV29" s="26"/>
      <c r="AW29" s="26"/>
      <c r="AX29" s="26"/>
      <c r="AY29" s="26"/>
    </row>
    <row r="30" spans="1:51" ht="20.100000000000001" customHeight="1" thickBot="1">
      <c r="A30" s="60"/>
      <c r="B30" s="60"/>
      <c r="C30" s="26"/>
      <c r="D30" s="26"/>
      <c r="E30" s="26"/>
      <c r="F30" s="26"/>
      <c r="G30" s="26"/>
      <c r="H30" s="26"/>
      <c r="I30" s="26"/>
      <c r="J30" s="26"/>
      <c r="K30" s="26"/>
      <c r="L30" s="26"/>
      <c r="M30" s="26"/>
      <c r="N30" s="26"/>
      <c r="O30" s="26"/>
      <c r="P30" s="26"/>
      <c r="Q30" s="917"/>
      <c r="R30" s="918" t="s">
        <v>599</v>
      </c>
      <c r="S30" s="919"/>
      <c r="T30" s="26"/>
      <c r="U30" s="26"/>
      <c r="V30" s="2"/>
      <c r="W30" s="26"/>
      <c r="X30" s="26"/>
      <c r="Y30" s="26"/>
      <c r="Z30" s="2"/>
      <c r="AA30" s="26"/>
      <c r="AB30" s="26"/>
      <c r="AC30" s="26"/>
      <c r="AD30" s="26"/>
      <c r="AE30" s="26"/>
      <c r="AF30" s="26"/>
      <c r="AG30" s="26"/>
      <c r="AH30" s="26"/>
      <c r="AI30" s="26"/>
      <c r="AJ30" s="26"/>
      <c r="AK30" s="26"/>
      <c r="AL30" s="26"/>
      <c r="AM30" s="26"/>
      <c r="AN30" s="26"/>
      <c r="AO30" s="26"/>
      <c r="AP30" s="26"/>
      <c r="AQ30" s="26"/>
      <c r="AR30" s="26"/>
      <c r="AS30" s="26"/>
      <c r="AT30" s="26"/>
      <c r="AU30" s="26"/>
      <c r="AV30" s="26"/>
      <c r="AW30" s="26"/>
      <c r="AX30" s="26"/>
      <c r="AY30" s="26"/>
    </row>
    <row r="31" spans="1:51" ht="20.100000000000001" customHeight="1" thickTop="1">
      <c r="A31" s="60"/>
      <c r="B31" s="60"/>
      <c r="C31" s="26"/>
      <c r="D31" s="26"/>
      <c r="E31" s="26"/>
      <c r="F31" s="26"/>
      <c r="G31" s="26"/>
      <c r="H31" s="26"/>
      <c r="I31" s="26"/>
      <c r="J31" s="26"/>
      <c r="K31" s="26"/>
      <c r="L31" s="26"/>
      <c r="M31" s="26"/>
      <c r="N31" s="48" t="s">
        <v>1128</v>
      </c>
      <c r="O31" s="1336"/>
      <c r="P31" s="2"/>
      <c r="Q31" s="920"/>
      <c r="R31" s="920" t="s">
        <v>600</v>
      </c>
      <c r="S31" s="921"/>
      <c r="T31" s="26"/>
      <c r="U31" s="2"/>
      <c r="V31" s="2"/>
      <c r="W31" s="26"/>
      <c r="X31" s="26"/>
      <c r="Y31" s="26"/>
      <c r="Z31" s="2"/>
      <c r="AA31" s="26"/>
      <c r="AB31" s="26"/>
      <c r="AC31" s="26"/>
      <c r="AD31" s="26"/>
      <c r="AE31" s="26"/>
      <c r="AF31" s="26"/>
      <c r="AG31" s="26"/>
      <c r="AH31" s="26"/>
      <c r="AI31" s="26"/>
      <c r="AJ31" s="26"/>
      <c r="AK31" s="26"/>
      <c r="AL31" s="26"/>
      <c r="AM31" s="26"/>
      <c r="AN31" s="26"/>
      <c r="AO31" s="26"/>
      <c r="AP31" s="26"/>
      <c r="AQ31" s="26"/>
      <c r="AR31" s="26"/>
      <c r="AS31" s="26"/>
      <c r="AT31" s="26"/>
      <c r="AU31" s="26"/>
      <c r="AV31" s="26"/>
      <c r="AW31" s="26"/>
      <c r="AX31" s="26"/>
      <c r="AY31" s="26"/>
    </row>
    <row r="32" spans="1:51" ht="20.100000000000001" customHeight="1">
      <c r="A32" s="60"/>
      <c r="B32" s="60"/>
      <c r="C32" s="26"/>
      <c r="D32" s="26"/>
      <c r="E32" s="26"/>
      <c r="F32" s="26"/>
      <c r="G32" s="26"/>
      <c r="H32" s="26"/>
      <c r="I32" s="26"/>
      <c r="J32" s="26"/>
      <c r="K32" s="26"/>
      <c r="L32" s="26"/>
      <c r="M32" s="26"/>
      <c r="N32" s="1337" t="s">
        <v>1117</v>
      </c>
      <c r="O32" s="1344">
        <f>AVERAGE(F41:F201)</f>
        <v>-3.1809539040105711E-3</v>
      </c>
      <c r="P32" s="2"/>
      <c r="Q32" s="922"/>
      <c r="R32" s="922" t="s">
        <v>601</v>
      </c>
      <c r="S32" s="923"/>
      <c r="T32" s="2"/>
      <c r="U32" s="2"/>
      <c r="V32" s="2"/>
      <c r="W32" s="26"/>
      <c r="X32" s="26"/>
      <c r="Y32" s="26"/>
      <c r="Z32" s="2"/>
      <c r="AA32" s="26"/>
      <c r="AB32" s="26"/>
      <c r="AC32" s="26"/>
      <c r="AD32" s="26"/>
      <c r="AE32" s="26"/>
      <c r="AF32" s="26"/>
      <c r="AG32" s="26"/>
      <c r="AH32" s="26"/>
      <c r="AI32" s="26"/>
      <c r="AJ32" s="26"/>
      <c r="AK32" s="26"/>
      <c r="AL32" s="26"/>
      <c r="AM32" s="26"/>
      <c r="AN32" s="26"/>
      <c r="AO32" s="26"/>
      <c r="AP32" s="26"/>
      <c r="AQ32" s="26"/>
      <c r="AR32" s="26"/>
      <c r="AS32" s="26"/>
      <c r="AT32" s="26"/>
      <c r="AU32" s="26"/>
      <c r="AV32" s="26"/>
      <c r="AW32" s="26"/>
      <c r="AX32" s="26"/>
      <c r="AY32" s="26"/>
    </row>
    <row r="33" spans="1:53" ht="20.100000000000001" customHeight="1">
      <c r="A33" s="60"/>
      <c r="B33" s="60"/>
      <c r="C33" s="26"/>
      <c r="D33" s="26"/>
      <c r="E33" s="26"/>
      <c r="F33" s="26"/>
      <c r="G33" s="26"/>
      <c r="H33" s="26"/>
      <c r="I33" s="26"/>
      <c r="J33" s="26"/>
      <c r="K33" s="26"/>
      <c r="L33" s="26"/>
      <c r="M33" s="26"/>
      <c r="N33" s="1339" t="s">
        <v>1118</v>
      </c>
      <c r="O33" s="1345">
        <f>MEDIAN(F41:F201)</f>
        <v>1.2768326071093128E-3</v>
      </c>
      <c r="P33" s="2"/>
      <c r="Q33" s="2"/>
      <c r="R33" s="2"/>
      <c r="S33" s="2"/>
      <c r="T33" s="2"/>
      <c r="U33" s="2"/>
      <c r="V33" s="2"/>
      <c r="W33" s="26"/>
      <c r="X33" s="26"/>
      <c r="Y33" s="26"/>
      <c r="Z33" s="2"/>
      <c r="AA33" s="26"/>
      <c r="AB33" s="26"/>
      <c r="AC33" s="26"/>
      <c r="AD33" s="26"/>
      <c r="AE33" s="26"/>
      <c r="AF33" s="26"/>
      <c r="AG33" s="26"/>
      <c r="AH33" s="26"/>
      <c r="AI33" s="26"/>
      <c r="AJ33" s="26"/>
      <c r="AK33" s="26"/>
      <c r="AL33" s="26"/>
      <c r="AM33" s="26"/>
      <c r="AN33" s="26"/>
      <c r="AO33" s="26"/>
      <c r="AP33" s="26"/>
      <c r="AQ33" s="26"/>
      <c r="AR33" s="26"/>
      <c r="AS33" s="26"/>
      <c r="AT33" s="26"/>
      <c r="AU33" s="26"/>
      <c r="AV33" s="26"/>
      <c r="AW33" s="26"/>
      <c r="AX33" s="26"/>
      <c r="AY33" s="26"/>
    </row>
    <row r="34" spans="1:53" ht="20.100000000000001" customHeight="1" thickBot="1">
      <c r="A34" s="60"/>
      <c r="B34" s="60"/>
      <c r="C34" s="26"/>
      <c r="D34" s="26"/>
      <c r="E34" s="26"/>
      <c r="F34" s="26"/>
      <c r="G34" s="26"/>
      <c r="H34" s="26"/>
      <c r="I34" s="26"/>
      <c r="J34" s="26"/>
      <c r="K34" s="26"/>
      <c r="L34" s="26"/>
      <c r="M34" s="26"/>
      <c r="N34" s="1341" t="s">
        <v>1119</v>
      </c>
      <c r="O34" s="1346">
        <f>STDEV(F41:F201)</f>
        <v>2.3430292690702282E-2</v>
      </c>
      <c r="P34" s="2"/>
      <c r="Q34" s="2"/>
      <c r="R34" s="2"/>
      <c r="S34" s="2"/>
      <c r="T34" s="2"/>
      <c r="U34" s="2"/>
      <c r="V34" s="2"/>
      <c r="W34" s="26"/>
      <c r="X34" s="26"/>
      <c r="Y34" s="26"/>
      <c r="Z34" s="2"/>
      <c r="AA34" s="26"/>
      <c r="AB34" s="26"/>
      <c r="AC34" s="26"/>
      <c r="AD34" s="26"/>
      <c r="AE34" s="26"/>
      <c r="AF34" s="26"/>
      <c r="AG34" s="26"/>
      <c r="AH34" s="26"/>
      <c r="AI34" s="26"/>
      <c r="AJ34" s="26"/>
      <c r="AK34" s="26"/>
      <c r="AL34" s="26"/>
      <c r="AM34" s="26"/>
      <c r="AN34" s="26"/>
      <c r="AO34" s="26"/>
      <c r="AP34" s="26"/>
      <c r="AQ34" s="26"/>
      <c r="AR34" s="26"/>
      <c r="AS34" s="26"/>
      <c r="AT34" s="26"/>
      <c r="AU34" s="26"/>
      <c r="AV34" s="26"/>
      <c r="AW34" s="26"/>
      <c r="AX34" s="26"/>
      <c r="AY34" s="26"/>
    </row>
    <row r="35" spans="1:53" ht="20.100000000000001" customHeight="1" thickTop="1">
      <c r="A35" s="60"/>
      <c r="B35" s="60"/>
      <c r="C35" s="26"/>
      <c r="D35" s="26"/>
      <c r="E35" s="26"/>
      <c r="F35" s="26"/>
      <c r="G35" s="26"/>
      <c r="H35" s="26"/>
      <c r="I35" s="26"/>
      <c r="J35" s="26"/>
      <c r="K35" s="26"/>
      <c r="L35" s="26"/>
      <c r="M35" s="26"/>
      <c r="N35" s="26"/>
      <c r="O35" s="26"/>
      <c r="P35" s="2"/>
      <c r="Q35" s="2"/>
      <c r="R35" s="2"/>
      <c r="S35" s="1018" t="s">
        <v>349</v>
      </c>
      <c r="T35" s="2"/>
      <c r="U35" s="2"/>
      <c r="V35" s="2"/>
      <c r="W35" s="26"/>
      <c r="X35" s="26"/>
      <c r="Y35" s="26"/>
      <c r="Z35" s="2"/>
      <c r="AA35" s="26"/>
      <c r="AB35" s="26"/>
      <c r="AC35" s="26"/>
      <c r="AD35" s="26"/>
      <c r="AE35" s="26"/>
      <c r="AF35" s="26"/>
      <c r="AG35" s="26"/>
      <c r="AH35" s="26"/>
      <c r="AI35" s="26"/>
      <c r="AJ35" s="26"/>
      <c r="AK35" s="26"/>
      <c r="AL35" s="26"/>
      <c r="AM35" s="26"/>
      <c r="AN35" s="26"/>
      <c r="AO35" s="26"/>
      <c r="AP35" s="26"/>
      <c r="AQ35" s="26"/>
      <c r="AR35" s="26"/>
      <c r="AS35" s="26"/>
      <c r="AT35" s="26"/>
      <c r="AU35" s="26"/>
      <c r="AV35" s="26"/>
      <c r="AW35" s="26"/>
      <c r="AX35" s="26"/>
      <c r="AY35" s="26"/>
    </row>
    <row r="36" spans="1:53" ht="20.100000000000001" customHeight="1">
      <c r="A36" s="60"/>
      <c r="B36" s="60"/>
      <c r="C36" s="26"/>
      <c r="D36" s="26"/>
      <c r="E36" s="26"/>
      <c r="F36" s="26"/>
      <c r="G36" s="26"/>
      <c r="H36" s="26"/>
      <c r="I36" s="26"/>
      <c r="J36" s="26"/>
      <c r="K36" s="26"/>
      <c r="L36" s="26"/>
      <c r="M36" s="26"/>
      <c r="N36" s="26"/>
      <c r="O36" s="1019"/>
      <c r="P36" s="2"/>
      <c r="Q36" s="2"/>
      <c r="R36" s="2"/>
      <c r="S36" s="2"/>
      <c r="T36" s="2"/>
      <c r="U36" s="2"/>
      <c r="V36" s="2"/>
      <c r="W36" s="26"/>
      <c r="X36" s="26"/>
      <c r="Y36" s="26"/>
      <c r="Z36" s="2"/>
      <c r="AA36" s="26"/>
      <c r="AB36" s="26"/>
      <c r="AC36" s="26"/>
      <c r="AD36" s="26"/>
      <c r="AE36" s="26"/>
      <c r="AF36" s="26"/>
      <c r="AG36" s="26"/>
      <c r="AH36" s="26"/>
      <c r="AI36" s="26"/>
      <c r="AJ36" s="26"/>
      <c r="AK36" s="26"/>
      <c r="AL36" s="26"/>
      <c r="AM36" s="26"/>
      <c r="AN36" s="26"/>
      <c r="AO36" s="26"/>
      <c r="AP36" s="26"/>
      <c r="AQ36" s="26"/>
      <c r="AR36" s="26"/>
      <c r="AS36" s="26"/>
      <c r="AT36" s="26"/>
      <c r="AU36" s="26"/>
      <c r="AV36" s="26"/>
      <c r="AW36" s="26"/>
      <c r="AX36" s="26"/>
      <c r="AY36" s="26"/>
    </row>
    <row r="37" spans="1:53" ht="20.100000000000001" customHeight="1">
      <c r="A37" s="60"/>
      <c r="B37" s="60"/>
      <c r="C37" s="26"/>
      <c r="D37" s="26"/>
      <c r="E37" s="26"/>
      <c r="F37" s="26"/>
      <c r="G37" s="26"/>
      <c r="H37" s="26"/>
      <c r="I37" s="26"/>
      <c r="J37" s="26"/>
      <c r="K37" s="26"/>
      <c r="L37" s="26"/>
      <c r="M37" s="26"/>
      <c r="N37" s="26"/>
      <c r="O37" s="1019"/>
      <c r="P37" s="2"/>
      <c r="Q37" s="218"/>
      <c r="R37" s="2"/>
      <c r="S37" s="2"/>
      <c r="T37" s="2"/>
      <c r="U37" s="26"/>
      <c r="V37" s="2"/>
      <c r="W37" s="2"/>
      <c r="X37" s="26"/>
      <c r="Y37" s="26"/>
      <c r="Z37" s="2"/>
      <c r="AA37" s="26"/>
      <c r="AB37" s="26"/>
      <c r="AC37" s="26"/>
      <c r="AD37" s="26"/>
      <c r="AE37" s="26"/>
      <c r="AF37" s="26"/>
      <c r="AG37" s="26"/>
      <c r="AH37" s="26"/>
      <c r="AI37" s="26"/>
      <c r="AJ37" s="26"/>
      <c r="AK37" s="26"/>
      <c r="AL37" s="26"/>
      <c r="AM37" s="26"/>
      <c r="AN37" s="26"/>
      <c r="AO37" s="26"/>
      <c r="AP37" s="26"/>
      <c r="AQ37" s="26"/>
      <c r="AR37" s="473"/>
      <c r="AS37" s="26"/>
      <c r="AT37" s="26"/>
      <c r="AU37" s="26"/>
      <c r="AV37" s="26"/>
      <c r="AW37" s="26"/>
      <c r="AX37" s="26"/>
      <c r="AY37" s="26"/>
    </row>
    <row r="38" spans="1:53" ht="21.95" customHeight="1">
      <c r="A38" s="482" t="s">
        <v>1123</v>
      </c>
      <c r="B38" s="60"/>
      <c r="C38" s="26"/>
      <c r="D38" s="26"/>
      <c r="E38" s="26"/>
      <c r="F38" s="320"/>
      <c r="G38" s="482" t="s">
        <v>1130</v>
      </c>
      <c r="H38" s="482"/>
      <c r="I38" s="482"/>
      <c r="J38" s="482"/>
      <c r="K38" s="26"/>
      <c r="L38" s="26"/>
      <c r="M38" s="26"/>
      <c r="N38" s="435"/>
      <c r="O38" s="1019"/>
      <c r="P38" s="2"/>
      <c r="Q38" s="2"/>
      <c r="R38" s="2"/>
      <c r="S38" s="2"/>
      <c r="T38" s="26"/>
      <c r="U38" s="26"/>
      <c r="V38" s="26"/>
      <c r="W38" s="26"/>
      <c r="X38" s="26"/>
      <c r="Y38" s="26"/>
      <c r="Z38" s="26"/>
      <c r="AA38" s="26"/>
      <c r="AB38" s="26"/>
      <c r="AC38" s="26"/>
      <c r="AD38" s="26"/>
      <c r="AE38" s="26"/>
      <c r="AF38" s="26"/>
      <c r="AG38" s="127"/>
      <c r="AH38" s="26"/>
      <c r="AI38" s="26"/>
      <c r="AJ38" s="26"/>
      <c r="AK38" s="26"/>
      <c r="AL38" s="26"/>
      <c r="AM38" s="26"/>
      <c r="AN38" s="26"/>
      <c r="AO38" s="26"/>
      <c r="AP38" s="26"/>
      <c r="AQ38" s="26"/>
      <c r="AR38" s="26"/>
      <c r="AS38" s="26"/>
      <c r="AT38" s="26"/>
      <c r="AU38" s="26"/>
      <c r="AV38" s="26"/>
      <c r="AW38" s="26"/>
      <c r="AX38" s="26"/>
      <c r="AY38" s="26"/>
    </row>
    <row r="39" spans="1:53" s="4" customFormat="1" ht="18.75">
      <c r="A39" s="129" t="s">
        <v>1013</v>
      </c>
      <c r="B39" s="419" t="s">
        <v>735</v>
      </c>
      <c r="C39" s="1111" t="s">
        <v>736</v>
      </c>
      <c r="D39" s="120" t="s">
        <v>578</v>
      </c>
      <c r="E39" s="120" t="s">
        <v>312</v>
      </c>
      <c r="F39" s="1014" t="s">
        <v>1126</v>
      </c>
      <c r="G39" s="120" t="s">
        <v>1125</v>
      </c>
      <c r="H39" s="438" t="s">
        <v>999</v>
      </c>
      <c r="I39" s="438" t="s">
        <v>712</v>
      </c>
      <c r="J39" s="120" t="s">
        <v>1000</v>
      </c>
      <c r="K39" s="120" t="s">
        <v>628</v>
      </c>
      <c r="L39" s="120" t="s">
        <v>629</v>
      </c>
      <c r="M39" s="120" t="s">
        <v>692</v>
      </c>
      <c r="N39" s="120" t="s">
        <v>693</v>
      </c>
      <c r="O39" s="120" t="s">
        <v>694</v>
      </c>
      <c r="P39" s="120" t="s">
        <v>695</v>
      </c>
      <c r="Q39" s="120" t="s">
        <v>696</v>
      </c>
      <c r="R39" s="120" t="s">
        <v>697</v>
      </c>
      <c r="S39" s="120" t="s">
        <v>698</v>
      </c>
      <c r="T39" s="120" t="s">
        <v>699</v>
      </c>
      <c r="U39" s="120" t="s">
        <v>700</v>
      </c>
      <c r="V39" s="120" t="s">
        <v>701</v>
      </c>
      <c r="W39" s="120" t="s">
        <v>337</v>
      </c>
      <c r="X39" s="120" t="s">
        <v>338</v>
      </c>
      <c r="Y39" s="120" t="s">
        <v>339</v>
      </c>
      <c r="Z39" s="120" t="s">
        <v>340</v>
      </c>
      <c r="AA39" s="120" t="s">
        <v>341</v>
      </c>
      <c r="AB39" s="120" t="s">
        <v>342</v>
      </c>
      <c r="AC39" s="120" t="s">
        <v>344</v>
      </c>
      <c r="AD39" s="120" t="s">
        <v>624</v>
      </c>
      <c r="AE39" s="120" t="s">
        <v>625</v>
      </c>
      <c r="AF39" s="120" t="s">
        <v>626</v>
      </c>
      <c r="AG39" s="432" t="s">
        <v>702</v>
      </c>
      <c r="AH39" s="432" t="s">
        <v>703</v>
      </c>
      <c r="AI39" s="432" t="s">
        <v>704</v>
      </c>
      <c r="AJ39" s="432" t="s">
        <v>705</v>
      </c>
      <c r="AK39" s="432" t="s">
        <v>706</v>
      </c>
      <c r="AL39" s="432" t="s">
        <v>707</v>
      </c>
      <c r="AM39" s="432" t="s">
        <v>708</v>
      </c>
      <c r="AN39" s="432" t="s">
        <v>709</v>
      </c>
      <c r="AO39" s="432" t="s">
        <v>710</v>
      </c>
      <c r="AP39" s="432" t="s">
        <v>711</v>
      </c>
      <c r="AQ39" s="431" t="s">
        <v>989</v>
      </c>
      <c r="AR39" s="432" t="s">
        <v>990</v>
      </c>
      <c r="AS39" s="1117" t="s">
        <v>1076</v>
      </c>
      <c r="AT39" s="1118" t="s">
        <v>991</v>
      </c>
      <c r="AU39" s="430" t="s">
        <v>508</v>
      </c>
      <c r="AV39" s="430"/>
      <c r="AW39" s="120" t="s">
        <v>1012</v>
      </c>
      <c r="AX39" s="120" t="s">
        <v>1131</v>
      </c>
      <c r="AY39" s="26"/>
    </row>
    <row r="40" spans="1:53" s="155" customFormat="1" ht="24" customHeight="1">
      <c r="A40" s="136" t="s">
        <v>579</v>
      </c>
      <c r="B40" s="136" t="s">
        <v>689</v>
      </c>
      <c r="C40" s="137" t="s">
        <v>737</v>
      </c>
      <c r="D40" s="137" t="s">
        <v>580</v>
      </c>
      <c r="E40" s="1015" t="s">
        <v>998</v>
      </c>
      <c r="F40" s="1015" t="s">
        <v>998</v>
      </c>
      <c r="G40" s="437" t="s">
        <v>1124</v>
      </c>
      <c r="H40" s="137" t="s">
        <v>580</v>
      </c>
      <c r="I40" s="137" t="s">
        <v>580</v>
      </c>
      <c r="J40" s="137" t="s">
        <v>580</v>
      </c>
      <c r="K40" s="137"/>
      <c r="L40" s="137"/>
      <c r="M40" s="217" t="str">
        <f t="shared" ref="M40:V40" si="32">K3</f>
        <v>Citric acid</v>
      </c>
      <c r="N40" s="217" t="str">
        <f t="shared" si="32"/>
        <v>Glycine</v>
      </c>
      <c r="O40" s="217" t="str">
        <f t="shared" si="32"/>
        <v xml:space="preserve">Ascorbic acid </v>
      </c>
      <c r="P40" s="217" t="str">
        <f t="shared" si="32"/>
        <v>Acetic acid</v>
      </c>
      <c r="Q40" s="217" t="str">
        <f t="shared" si="32"/>
        <v>Ammonia</v>
      </c>
      <c r="R40" s="217" t="str">
        <f t="shared" si="32"/>
        <v>Carbonic acid</v>
      </c>
      <c r="S40" s="217" t="str">
        <f t="shared" si="32"/>
        <v>HCl</v>
      </c>
      <c r="T40" s="242" t="str">
        <f t="shared" si="32"/>
        <v>Strong ACID</v>
      </c>
      <c r="U40" s="242" t="str">
        <f t="shared" si="32"/>
        <v>Strong BASE</v>
      </c>
      <c r="V40" s="217" t="str">
        <f t="shared" si="32"/>
        <v>Carbonic ac.</v>
      </c>
      <c r="W40" s="217" t="str">
        <f t="shared" ref="W40:AF40" si="33">K3</f>
        <v>Citric acid</v>
      </c>
      <c r="X40" s="217" t="str">
        <f t="shared" si="33"/>
        <v>Glycine</v>
      </c>
      <c r="Y40" s="217" t="str">
        <f t="shared" si="33"/>
        <v xml:space="preserve">Ascorbic acid </v>
      </c>
      <c r="Z40" s="217" t="str">
        <f t="shared" si="33"/>
        <v>Acetic acid</v>
      </c>
      <c r="AA40" s="217" t="str">
        <f t="shared" si="33"/>
        <v>Ammonia</v>
      </c>
      <c r="AB40" s="217" t="str">
        <f t="shared" si="33"/>
        <v>Carbonic acid</v>
      </c>
      <c r="AC40" s="217" t="str">
        <f t="shared" si="33"/>
        <v>HCl</v>
      </c>
      <c r="AD40" s="217" t="str">
        <f t="shared" si="33"/>
        <v>Strong ACID</v>
      </c>
      <c r="AE40" s="217" t="str">
        <f t="shared" si="33"/>
        <v>Strong BASE</v>
      </c>
      <c r="AF40" s="217" t="str">
        <f t="shared" si="33"/>
        <v>Carbonic ac.</v>
      </c>
      <c r="AG40" s="217" t="str">
        <f t="shared" ref="AG40:AM40" si="34">K3</f>
        <v>Citric acid</v>
      </c>
      <c r="AH40" s="217" t="str">
        <f t="shared" si="34"/>
        <v>Glycine</v>
      </c>
      <c r="AI40" s="217" t="str">
        <f t="shared" si="34"/>
        <v xml:space="preserve">Ascorbic acid </v>
      </c>
      <c r="AJ40" s="217" t="str">
        <f t="shared" si="34"/>
        <v>Acetic acid</v>
      </c>
      <c r="AK40" s="217" t="str">
        <f t="shared" si="34"/>
        <v>Ammonia</v>
      </c>
      <c r="AL40" s="217" t="str">
        <f t="shared" si="34"/>
        <v>Carbonic acid</v>
      </c>
      <c r="AM40" s="217" t="str">
        <f t="shared" si="34"/>
        <v>HCl</v>
      </c>
      <c r="AN40" s="217" t="str">
        <f>R3</f>
        <v>Strong ACID</v>
      </c>
      <c r="AO40" s="217" t="str">
        <f>S3</f>
        <v>Strong BASE</v>
      </c>
      <c r="AP40" s="217" t="str">
        <f>T3</f>
        <v>Carbonic ac.</v>
      </c>
      <c r="AQ40" s="716" t="s">
        <v>580</v>
      </c>
      <c r="AR40" s="433" t="s">
        <v>580</v>
      </c>
      <c r="AS40" s="1015" t="s">
        <v>1077</v>
      </c>
      <c r="AT40" s="1015" t="s">
        <v>993</v>
      </c>
      <c r="AU40" s="1004" t="s">
        <v>992</v>
      </c>
      <c r="AV40" s="110"/>
      <c r="AW40" s="110"/>
      <c r="AX40" s="1347" t="s">
        <v>1132</v>
      </c>
      <c r="AY40" s="26"/>
      <c r="AZ40" s="999"/>
    </row>
    <row r="41" spans="1:53">
      <c r="A41" s="6">
        <v>0</v>
      </c>
      <c r="B41" s="508">
        <v>2.9292395076433086</v>
      </c>
      <c r="C41" s="124">
        <v>2.8861632347106934</v>
      </c>
      <c r="D41" s="123">
        <f>IF(A41="","",10^-((((B41-P$12)/P$13)+7))/$AU41)</f>
        <v>1.3096149588076179E-3</v>
      </c>
      <c r="E41" s="123">
        <f>IF(A42="","0",(B42-B41)/(A42-A41))</f>
        <v>0.1082286251696329</v>
      </c>
      <c r="F41" s="124">
        <f>IF(A41="","",IF(C41="","0,00001",(IF(ABS(C41-B41)&lt;0.00001,0.00001,C41-B41))))</f>
        <v>-4.3076272932615289E-2</v>
      </c>
      <c r="G41" s="122">
        <f>IF(A41="","",IF(AX41="X",0,IF(ABS(E41)&lt;0.00001,(0.00001^K$20)*(ABS(H41)^I$20)*ABS(F41)^M$20,((ABS(E41))^K$20)*((ABS(H41))^I$20)*ABS(F41)^N$20)))</f>
        <v>1.9667397108049748E-6</v>
      </c>
      <c r="H41" s="122">
        <f>IF(A41="","",I41-J41)</f>
        <v>1.4024049738948358E-3</v>
      </c>
      <c r="I41" s="123">
        <f>IF(A41="","",L41*I$18+K41*E$19)</f>
        <v>0.11006911411707862</v>
      </c>
      <c r="J41" s="123">
        <f>IF(A41="","",D41 -$AC$9/AU41^2/D41+L41*(W41*$B$11+X41*$C$11+Y41*$D$11+Z41*$E$11+AA41*$F$11+AB41*$G$11+AC41*$H$11)+K41*(AD41*$B$18+AE41*$C$18+AF41*$D$18))</f>
        <v>0.10866670914318378</v>
      </c>
      <c r="K41" s="124">
        <f>IF(A41="","",A41/(A41+$G$16))</f>
        <v>0</v>
      </c>
      <c r="L41" s="124">
        <f>IF(A41="","",$E$16/(A41+$G$16))</f>
        <v>1</v>
      </c>
      <c r="M41" s="122">
        <f t="shared" ref="M41:S41" si="35">IF($A41="","",(1+(V$5*$AU41^(-2*V$4))*$D41+(V$6*$AU41^(-4*V$4-2))*$D41^2+(V$7*$AU41^(-6*V$4-6))*$D41^3+(V$8*$AU41^(-8*V$4-12))*$D41^4+(V$9*$AU41^(-10*V$4-20))*$D41^5+(V$10*$AU41^(-12*V$4-30))*$D41^6))</f>
        <v>206515.25485022127</v>
      </c>
      <c r="N41" s="122">
        <f t="shared" si="35"/>
        <v>8204242.6240433557</v>
      </c>
      <c r="O41" s="122">
        <f t="shared" si="35"/>
        <v>7541124306.778614</v>
      </c>
      <c r="P41" s="122">
        <f t="shared" si="35"/>
        <v>61.44736272330028</v>
      </c>
      <c r="Q41" s="122">
        <f t="shared" si="35"/>
        <v>2296909.1411729818</v>
      </c>
      <c r="R41" s="122">
        <f t="shared" si="35"/>
        <v>43368157156.484032</v>
      </c>
      <c r="S41" s="122">
        <f t="shared" si="35"/>
        <v>1.0000000001057738</v>
      </c>
      <c r="T41" s="122">
        <f>IF($A41="","",(1+(AC$5*$AU41^(-2*AC$4))*$D41+(AC$6*$AU41^(-4*AC$4-2))*$D41^2))</f>
        <v>1.0000000001057738</v>
      </c>
      <c r="U41" s="122">
        <f>IF($A41="","",(1+(AD$5*$AU41^(-2*AD$4))*$D41+(AD$6*$AU41^(-4*AD$4-2))*$D41^2))</f>
        <v>5880000427373.9463</v>
      </c>
      <c r="V41" s="122">
        <f>IF($A41="","",(1+(AE$5*$AU41^(-2*AE$4))*$D41+(AE$6*$AU41^(-4*AE$4-2))*$D41^2))</f>
        <v>43368157156.484032</v>
      </c>
      <c r="W41" s="19">
        <f t="shared" ref="W41:AC41" si="36">IF($A41="","",((V$5*$AU41^(-2*V$4))*$D41+2*(V$6*$AU41^(-4*V$4-2))*$D41^2+3*(V$7*$AU41^(-6*V$4-6))*$D41^3+4*(V$8*$AU41^(-8*V$4-12))*$D41^4+5*(V$9*$AU41^(-10*V$4-20))*$D41^5+6*(V$10*$AU41^(-12*V$4-30))*$D41^6)/M41)</f>
        <v>2.5736186420185359</v>
      </c>
      <c r="X41" s="19">
        <f t="shared" si="36"/>
        <v>1.2267160445460585</v>
      </c>
      <c r="Y41" s="19">
        <f t="shared" si="36"/>
        <v>1.9301486200626616</v>
      </c>
      <c r="Z41" s="19">
        <f t="shared" si="36"/>
        <v>0.9837259085552128</v>
      </c>
      <c r="AA41" s="19">
        <f t="shared" si="36"/>
        <v>0.99999956463232176</v>
      </c>
      <c r="AB41" s="19">
        <f t="shared" si="36"/>
        <v>1.9995798153645994</v>
      </c>
      <c r="AC41" s="19">
        <f t="shared" si="36"/>
        <v>1.0577389520733793E-10</v>
      </c>
      <c r="AD41" s="19">
        <f>IF($A41="","",((AC$5*$AU41^(-2*AC$4))*$D41+2*(AC$6*$AU41^(-4*AC$4-2))*$D41^2)/T41)</f>
        <v>1.0577389453169581E-10</v>
      </c>
      <c r="AE41" s="19">
        <f>IF($A41="","",((AD$5*$AU41^(-2*AD$4))*$D41+2*(AD$6*$AU41^(-4*AD$4-2))*$D41^2)/U41)</f>
        <v>0.99999999999982991</v>
      </c>
      <c r="AF41" s="19">
        <f>IF($A41="","",((AE$5*$AU41^(-2*AE$4))*$D41+2*(AE$6*$AU41^(-4*AE$4-2))*$D41^2)/V41)</f>
        <v>1.9995798153645994</v>
      </c>
      <c r="AG41" s="122">
        <f t="shared" ref="AG41:AM41" si="37">IF(B$11=0,"",IF($A41="","",0.5*B$11*$L41*(1*V$4^2+(V$5*$AU41^(-2*V$4))*$D41*(V$4+1)^2+(V$6*$AU41^(-4*V$4-2))*$D41^2*(V$4+2)^2+(V$7*$AU41^(-6*V$4-6))*$D41^3*(V$4+3)^2+(V$8*$AU41^(-8*V$4-12))*$D41^4*(V$4+4)^2+(V$9*$AU41^(-10*V$4-20))*$D41^5*(V$4+5)^2+(V$10*$AU41^(-12*V$4-30))*$D41^6*(V$4+6)^2)/M41))</f>
        <v>5.5351363017026815E-3</v>
      </c>
      <c r="AH41" s="122">
        <f t="shared" si="37"/>
        <v>3.9781680316075983E-3</v>
      </c>
      <c r="AI41" s="122" t="str">
        <f t="shared" si="37"/>
        <v/>
      </c>
      <c r="AJ41" s="122" t="str">
        <f t="shared" si="37"/>
        <v/>
      </c>
      <c r="AK41" s="122" t="str">
        <f t="shared" si="37"/>
        <v/>
      </c>
      <c r="AL41" s="122" t="str">
        <f t="shared" si="37"/>
        <v/>
      </c>
      <c r="AM41" s="122" t="str">
        <f t="shared" si="37"/>
        <v/>
      </c>
      <c r="AN41" s="122" t="str">
        <f>IF(B$18=0,"",IF($A41="","",0.5*B$18*$K41*(1*AC$4^2+(AC$5*$AU41^(-2*AC$4))*$D41*(AC$4+1)^2+(AC$6*$AU41^(-4*AC$4-2))*$D41^2*(AC$4+2)^2)/T41))</f>
        <v/>
      </c>
      <c r="AO41" s="122">
        <f>IF(C$18=0,"",IF($A41="","",0.5*C$18*$K41*(1*AD$4^2+(AD$5*$AU41^(-2*AD$4))*$D41*(AD$4+1)^2+(AD$6*$AU41^(-4*AD$4-2))*$D41^2*(AD$4+2)^2)/U41))</f>
        <v>0</v>
      </c>
      <c r="AP41" s="122" t="str">
        <f>IF(D$18=0,"",IF($A41="","",0.5*D$18*$K41*(1*AE$4^2+(AE$5*$AU41^(-2*AE$4))*$D41*(AE$4+1)^2+(AE$6*$AU41^(-4*AE$4-2))*$D41^2*(AE$4+2)^2)/V41))</f>
        <v/>
      </c>
      <c r="AQ41" s="130">
        <f>IF(A41="","",SUM(AG41:AP41)+0.5*(D41+ $AC$9/AU41^2/D41)+$L41*$S$16+$K41*$T$16)</f>
        <v>1.0862132584638516E-2</v>
      </c>
      <c r="AR41" s="122">
        <f>IF(A41="","",AQ41+$L41*S$14+$K41*$T$14)</f>
        <v>1.0862132584638516E-2</v>
      </c>
      <c r="AS41" s="1001"/>
      <c r="AT41" s="442">
        <v>1.086213258459855E-2</v>
      </c>
      <c r="AU41" s="131">
        <f t="shared" ref="AU41" si="38">IF(A41="","",10^(-$P$16*($AT41^0.5/(1+$AT41^0.5)-$P$17*$AT41)))</f>
        <v>0.89870439443519512</v>
      </c>
      <c r="AV41" s="17"/>
      <c r="AW41" s="124">
        <f>IF(C41="","",C41-B41)</f>
        <v>-4.3076272932615289E-2</v>
      </c>
      <c r="AX41" s="1348"/>
      <c r="AY41" s="26"/>
      <c r="AZ41" s="1000"/>
      <c r="BA41" s="1000"/>
    </row>
    <row r="42" spans="1:53">
      <c r="A42" s="6">
        <v>0.87795368308434263</v>
      </c>
      <c r="B42" s="508">
        <v>3.0242592277261426</v>
      </c>
      <c r="C42" s="124">
        <v>3.025536060333252</v>
      </c>
      <c r="D42" s="123">
        <f t="shared" ref="D42:D72" si="39">IF(A42="","",10^-((((B42-P$12)/P$13)+7))/$AU42)</f>
        <v>1.0598621293646361E-3</v>
      </c>
      <c r="E42" s="123">
        <f>IF(A42="","",IF(A43="",(B42-B41)/(A42-A41),((B43-B42)/(A43-A42)+(B42-B41)/(A42-A41))/2))</f>
        <v>0.11590039089020304</v>
      </c>
      <c r="F42" s="124">
        <f t="shared" ref="F42:F105" si="40">IF(A42="","",IF(C42="","0,00001",(IF(ABS(C42-B42)&lt;0.00001,0.00001,C42-B42))))</f>
        <v>1.2768326071093128E-3</v>
      </c>
      <c r="G42" s="122">
        <f t="shared" ref="G42:G105" si="41">IF(A42="","",IF(AX42="X",0,IF(ABS(E42)&lt;0.00001,(0.00001^M$20)*(ABS(H42)^I$20)*ABS(F42)^K$20,((ABS(E42))^M$20)*((ABS(H42))^I$20)*ABS(F42)^K$20)))</f>
        <v>1.4206361188775013E-9</v>
      </c>
      <c r="H42" s="122">
        <f t="shared" ref="H42:H105" si="42">IF(A42="","",I42-J42)</f>
        <v>-3.7691326838909522E-5</v>
      </c>
      <c r="I42" s="123">
        <f t="shared" ref="I42:I91" si="43">IF(A42="","",L42*I$18+K42*E$19)</f>
        <v>0.10544051949522083</v>
      </c>
      <c r="J42" s="123">
        <f t="shared" ref="J42:J91" si="44">IF(A42="","",D42 -$AC$9/AU42^2/D42+L42*(W42*$B$11+X42*$C$11+Y42*$D$11+Z42*$E$11+AA42*$F$11+AB42*$G$11+AC42*$H$11)+K42*(AD42*$B$18+AE42*$C$18+AF42*$D$18))</f>
        <v>0.10547821082205974</v>
      </c>
      <c r="K42" s="124">
        <f t="shared" ref="K42:K91" si="45">IF(A42="","",A42/(A42+$G$16))</f>
        <v>4.2051711408655677E-2</v>
      </c>
      <c r="L42" s="124">
        <f t="shared" ref="L42:L91" si="46">IF(A42="","",$E$16/(A42+$G$16))</f>
        <v>0.95794828859134429</v>
      </c>
      <c r="M42" s="122">
        <f t="shared" ref="M42:M91" si="47">IF($A42="","",(1+(V$5*$AU42^(-2*V$4))*$D42+(V$6*$AU42^(-4*V$4-2))*$D42^2+(V$7*$AU42^(-6*V$4-6))*$D42^3+(V$8*$AU42^(-8*V$4-12))*$D42^4+(V$9*$AU42^(-10*V$4-20))*$D42^5+(V$10*$AU42^(-12*V$4-30))*$D42^6))</f>
        <v>111335.12485381369</v>
      </c>
      <c r="N42" s="122">
        <f t="shared" ref="N42:N91" si="48">IF($A42="","",(1+(W$5*$AU42^(-2*W$4))*$D42+(W$6*$AU42^(-4*W$4-2))*$D42^2+(W$7*$AU42^(-6*W$4-6))*$D42^3+(W$8*$AU42^(-8*W$4-12))*$D42^4+(W$9*$AU42^(-10*W$4-20))*$D42^5+(W$10*$AU42^(-12*W$4-30))*$D42^6))</f>
        <v>6261782.481438309</v>
      </c>
      <c r="O42" s="122">
        <f t="shared" ref="O42:O91" si="49">IF($A42="","",(1+(X$5*$AU42^(-2*X$4))*$D42+(X$6*$AU42^(-4*X$4-2))*$D42^2+(X$7*$AU42^(-6*X$4-6))*$D42^3+(X$8*$AU42^(-8*X$4-12))*$D42^4+(X$9*$AU42^(-10*X$4-20))*$D42^5+(X$10*$AU42^(-12*X$4-30))*$D42^6))</f>
        <v>4814148516.4095383</v>
      </c>
      <c r="P42" s="122">
        <f t="shared" ref="P42:P91" si="50">IF($A42="","",(1+(Y$5*$AU42^(-2*Y$4))*$D42+(Y$6*$AU42^(-4*Y$4-2))*$D42^2+(Y$7*$AU42^(-6*Y$4-6))*$D42^3+(Y$8*$AU42^(-8*Y$4-12))*$D42^4+(Y$9*$AU42^(-10*Y$4-20))*$D42^5+(Y$10*$AU42^(-12*Y$4-30))*$D42^6))</f>
        <v>49.220551174653281</v>
      </c>
      <c r="Q42" s="122">
        <f t="shared" ref="Q42:Q91" si="51">IF($A42="","",(1+(Z$5*$AU42^(-2*Z$4))*$D42+(Z$6*$AU42^(-4*Z$4-2))*$D42^2+(Z$7*$AU42^(-6*Z$4-6))*$D42^3+(Z$8*$AU42^(-8*Z$4-12))*$D42^4+(Z$9*$AU42^(-10*Z$4-20))*$D42^5+(Z$10*$AU42^(-12*Z$4-30))*$D42^6))</f>
        <v>1858872.5233331253</v>
      </c>
      <c r="R42" s="122">
        <f t="shared" ref="R42:R91" si="52">IF($A42="","",(1+(AA$5*$AU42^(-2*AA$4))*$D42+(AA$6*$AU42^(-4*AA$4-2))*$D42^2+(AA$7*$AU42^(-6*AA$4-6))*$D42^3+(AA$8*$AU42^(-8*AA$4-12))*$D42^4+(AA$9*$AU42^(-10*AA$4-20))*$D42^5+(AA$10*$AU42^(-12*AA$4-30))*$D42^6))</f>
        <v>27206703680.20718</v>
      </c>
      <c r="S42" s="122">
        <f t="shared" ref="S42:S91" si="53">IF($A42="","",(1+(AB$5*$AU42^(-2*AB$4))*$D42+(AB$6*$AU42^(-4*AB$4-2))*$D42^2+(AB$7*$AU42^(-6*AB$4-6))*$D42^3+(AB$8*$AU42^(-8*AB$4-12))*$D42^4+(AB$9*$AU42^(-10*AB$4-20))*$D42^5+(AB$10*$AU42^(-12*AB$4-30))*$D42^6))</f>
        <v>1.0000000000843785</v>
      </c>
      <c r="T42" s="122">
        <f t="shared" ref="T42:T91" si="54">IF($A42="","",(1+(AC$5*$AU42^(-2*AC$4))*$D42+(AC$6*$AU42^(-4*AC$4-2))*$D42^2))</f>
        <v>1.0000000000843785</v>
      </c>
      <c r="U42" s="122">
        <f t="shared" ref="U42:U91" si="55">IF($A42="","",(1+(AD$5*$AU42^(-2*AD$4))*$D42+(AD$6*$AU42^(-4*AD$4-2))*$D42^2))</f>
        <v>4690640728414.8975</v>
      </c>
      <c r="V42" s="122">
        <f t="shared" ref="V42:V91" si="56">IF($A42="","",(1+(AE$5*$AU42^(-2*AE$4))*$D42+(AE$6*$AU42^(-4*AE$4-2))*$D42^2))</f>
        <v>27206703680.20718</v>
      </c>
      <c r="W42" s="19">
        <f t="shared" ref="W42:W91" si="57">IF($A42="","",((V$5*$AU42^(-2*V$4))*$D42+2*(V$6*$AU42^(-4*V$4-2))*$D42^2+3*(V$7*$AU42^(-6*V$4-6))*$D42^3+4*(V$8*$AU42^(-8*V$4-12))*$D42^4+5*(V$9*$AU42^(-10*V$4-20))*$D42^5+6*(V$10*$AU42^(-12*V$4-30))*$D42^6)/M42)</f>
        <v>2.5128494005908633</v>
      </c>
      <c r="X42" s="19">
        <f t="shared" ref="X42:X91" si="58">IF($A42="","",((W$5*$AU42^(-2*W$4))*$D42+2*(W$6*$AU42^(-4*W$4-2))*$D42^2+3*(W$7*$AU42^(-6*W$4-6))*$D42^3+4*(W$8*$AU42^(-8*W$4-12))*$D42^4+5*(W$9*$AU42^(-10*W$4-20))*$D42^5+6*(W$10*$AU42^(-12*W$4-30))*$D42^6)/N42)</f>
        <v>1.1917711204306385</v>
      </c>
      <c r="Y42" s="19">
        <f t="shared" ref="Y42:Y91" si="59">IF($A42="","",((X$5*$AU42^(-2*X$4))*$D42+2*(X$6*$AU42^(-4*X$4-2))*$D42^2+3*(X$7*$AU42^(-6*X$4-6))*$D42^3+4*(X$8*$AU42^(-8*X$4-12))*$D42^4+5*(X$9*$AU42^(-10*X$4-20))*$D42^5+6*(X$10*$AU42^(-12*X$4-30))*$D42^6)/O42)</f>
        <v>1.9139609742719299</v>
      </c>
      <c r="Z42" s="19">
        <f t="shared" ref="Z42:Z91" si="60">IF($A42="","",((Y$5*$AU42^(-2*Y$4))*$D42+2*(Y$6*$AU42^(-4*Y$4-2))*$D42^2+3*(Y$7*$AU42^(-6*Y$4-6))*$D42^3+4*(Y$8*$AU42^(-8*Y$4-12))*$D42^4+5*(Y$9*$AU42^(-10*Y$4-20))*$D42^5+6*(Y$10*$AU42^(-12*Y$4-30))*$D42^6)/P42)</f>
        <v>0.97968328317877584</v>
      </c>
      <c r="AA42" s="19">
        <f t="shared" ref="AA42:AA91" si="61">IF($A42="","",((Z$5*$AU42^(-2*Z$4))*$D42+2*(Z$6*$AU42^(-4*Z$4-2))*$D42^2+3*(Z$7*$AU42^(-6*Z$4-6))*$D42^3+4*(Z$8*$AU42^(-8*Z$4-12))*$D42^4+5*(Z$9*$AU42^(-10*Z$4-20))*$D42^5+6*(Z$10*$AU42^(-12*Z$4-30))*$D42^6)/Q42)</f>
        <v>0.99999946203949575</v>
      </c>
      <c r="AB42" s="19">
        <f t="shared" ref="AB42:AB91" si="62">IF($A42="","",((AA$5*$AU42^(-2*AA$4))*$D42+2*(AA$6*$AU42^(-4*AA$4-2))*$D42^2+3*(AA$7*$AU42^(-6*AA$4-6))*$D42^3+4*(AA$8*$AU42^(-8*AA$4-12))*$D42^4+5*(AA$9*$AU42^(-10*AA$4-20))*$D42^5+6*(AA$10*$AU42^(-12*AA$4-30))*$D42^6)/R42)</f>
        <v>1.9994733293704534</v>
      </c>
      <c r="AC42" s="19">
        <f t="shared" ref="AC42:AC91" si="63">IF($A42="","",((AB$5*$AU42^(-2*AB$4))*$D42+2*(AB$6*$AU42^(-4*AB$4-2))*$D42^2+3*(AB$7*$AU42^(-6*AB$4-6))*$D42^3+4*(AB$8*$AU42^(-8*AB$4-12))*$D42^4+5*(AB$9*$AU42^(-10*AB$4-20))*$D42^5+6*(AB$10*$AU42^(-12*AB$4-30))*$D42^6)/S42)</f>
        <v>8.4378751006772457E-11</v>
      </c>
      <c r="AD42" s="19">
        <f t="shared" ref="AD42:AD91" si="64">IF($A42="","",((AC$5*$AU42^(-2*AC$4))*$D42+2*(AC$6*$AU42^(-4*AC$4-2))*$D42^2)/T42)</f>
        <v>8.4378750648808625E-11</v>
      </c>
      <c r="AE42" s="19">
        <f t="shared" ref="AE42:AE91" si="65">IF($A42="","",((AD$5*$AU42^(-2*AD$4))*$D42+2*(AD$6*$AU42^(-4*AD$4-2))*$D42^2)/U42)</f>
        <v>0.99999999999978684</v>
      </c>
      <c r="AF42" s="19">
        <f t="shared" ref="AF42:AF91" si="66">IF($A42="","",((AE$5*$AU42^(-2*AE$4))*$D42+2*(AE$6*$AU42^(-4*AE$4-2))*$D42^2)/V42)</f>
        <v>1.9994733293704534</v>
      </c>
      <c r="AG42" s="122">
        <f t="shared" ref="AG42:AG91" si="67">IF(B$11=0,"",IF($A42="","",0.5*B$11*$L42*(1*V$4^2+(V$5*$AU42^(-2*V$4))*$D42*(V$4+1)^2+(V$6*$AU42^(-4*V$4-2))*$D42^2*(V$4+2)^2+(V$7*$AU42^(-6*V$4-6))*$D42^3*(V$4+3)^2+(V$8*$AU42^(-8*V$4-12))*$D42^4*(V$4+4)^2+(V$9*$AU42^(-10*V$4-20))*$D42^5*(V$4+5)^2+(V$10*$AU42^(-12*V$4-30))*$D42^6*(V$4+6)^2)/M42))</f>
        <v>6.1170896189200706E-3</v>
      </c>
      <c r="AH42" s="122">
        <f t="shared" ref="AH42:AH91" si="68">IF(C$11=0,"",IF($A42="","",0.5*C$11*$L42*(1*W$4^2+(W$5*$AU42^(-2*W$4))*$D42*(W$4+1)^2+(W$6*$AU42^(-4*W$4-2))*$D42^2*(W$4+2)^2+(W$7*$AU42^(-6*W$4-6))*$D42^3*(W$4+3)^2+(W$8*$AU42^(-8*W$4-12))*$D42^4*(W$4+4)^2+(W$9*$AU42^(-10*W$4-20))*$D42^5*(W$4+5)^2+(W$10*$AU42^(-12*W$4-30))*$D42^6*(W$4+6)^2)/N42))</f>
        <v>3.223490502829694E-3</v>
      </c>
      <c r="AI42" s="122" t="str">
        <f t="shared" ref="AI42:AI91" si="69">IF(D$11=0,"",IF($A42="","",0.5*D$11*$L42*(1*X$4^2+(X$5*$AU42^(-2*X$4))*$D42*(X$4+1)^2+(X$6*$AU42^(-4*X$4-2))*$D42^2*(X$4+2)^2+(X$7*$AU42^(-6*X$4-6))*$D42^3*(X$4+3)^2+(X$8*$AU42^(-8*X$4-12))*$D42^4*(X$4+4)^2+(X$9*$AU42^(-10*X$4-20))*$D42^5*(X$4+5)^2+(X$10*$AU42^(-12*X$4-30))*$D42^6*(X$4+6)^2)/O42))</f>
        <v/>
      </c>
      <c r="AJ42" s="122" t="str">
        <f t="shared" ref="AJ42:AJ91" si="70">IF(E$11=0,"",IF($A42="","",0.5*E$11*$L42*(1*Y$4^2+(Y$5*$AU42^(-2*Y$4))*$D42*(Y$4+1)^2+(Y$6*$AU42^(-4*Y$4-2))*$D42^2*(Y$4+2)^2+(Y$7*$AU42^(-6*Y$4-6))*$D42^3*(Y$4+3)^2+(Y$8*$AU42^(-8*Y$4-12))*$D42^4*(Y$4+4)^2+(Y$9*$AU42^(-10*Y$4-20))*$D42^5*(Y$4+5)^2+(Y$10*$AU42^(-12*Y$4-30))*$D42^6*(Y$4+6)^2)/P42))</f>
        <v/>
      </c>
      <c r="AK42" s="122" t="str">
        <f t="shared" ref="AK42:AK91" si="71">IF(F$11=0,"",IF($A42="","",0.5*F$11*$L42*(1*Z$4^2+(Z$5*$AU42^(-2*Z$4))*$D42*(Z$4+1)^2+(Z$6*$AU42^(-4*Z$4-2))*$D42^2*(Z$4+2)^2+(Z$7*$AU42^(-6*Z$4-6))*$D42^3*(Z$4+3)^2+(Z$8*$AU42^(-8*Z$4-12))*$D42^4*(Z$4+4)^2+(Z$9*$AU42^(-10*Z$4-20))*$D42^5*(Z$4+5)^2+(Z$10*$AU42^(-12*Z$4-30))*$D42^6*(Z$4+6)^2)/Q42))</f>
        <v/>
      </c>
      <c r="AL42" s="122" t="str">
        <f t="shared" ref="AL42:AL91" si="72">IF(G$11=0,"",IF($A42="","",0.5*G$11*$L42*(1*AA$4^2+(AA$5*$AU42^(-2*AA$4))*$D42*(AA$4+1)^2+(AA$6*$AU42^(-4*AA$4-2))*$D42^2*(AA$4+2)^2+(AA$7*$AU42^(-6*AA$4-6))*$D42^3*(AA$4+3)^2+(AA$8*$AU42^(-8*AA$4-12))*$D42^4*(AA$4+4)^2+(AA$9*$AU42^(-10*AA$4-20))*$D42^5*(AA$4+5)^2+(AA$10*$AU42^(-12*AA$4-30))*$D42^6*(AA$4+6)^2)/R42))</f>
        <v/>
      </c>
      <c r="AM42" s="122" t="str">
        <f t="shared" ref="AM42:AM91" si="73">IF(H$11=0,"",IF($A42="","",0.5*H$11*$L42*(1*AB$4^2+(AB$5*$AU42^(-2*AB$4))*$D42*(AB$4+1)^2+(AB$6*$AU42^(-4*AB$4-2))*$D42^2*(AB$4+2)^2+(AB$7*$AU42^(-6*AB$4-6))*$D42^3*(AB$4+3)^2+(AB$8*$AU42^(-8*AB$4-12))*$D42^4*(AB$4+4)^2+(AB$9*$AU42^(-10*AB$4-20))*$D42^5*(AB$4+5)^2+(AB$10*$AU42^(-12*AB$4-30))*$D42^6*(AB$4+6)^2)/S42))</f>
        <v/>
      </c>
      <c r="AN42" s="122" t="str">
        <f>IF(B$18=0,"",IF($A42="","",0.5*B$18*$K42*(1*AC$4^2+(AC$5*$AU42^(-2*AC$4))*$D42*(AC$4+1)^2+(AC$6*$AU42^(-4*AC$4-2))*$D42^2*(AC$4+2)^2)/T42))</f>
        <v/>
      </c>
      <c r="AO42" s="122">
        <f t="shared" ref="AO42:AO91" si="74">IF(C$18=0,"",IF($A42="","",0.5*C$18*$K42*(1*AD$4^2+(AD$5*$AU42^(-2*AD$4))*$D42*(AD$4+1)^2+(AD$6*$AU42^(-4*AD$4-2))*$D42^2*(AD$4+2)^2)/U42))</f>
        <v>4.482512501321559E-16</v>
      </c>
      <c r="AP42" s="122" t="str">
        <f t="shared" ref="AP42:AP91" si="75">IF(D$18=0,"",IF($A42="","",0.5*D$18*$K42*(1*AE$4^2+(AE$5*$AU42^(-2*AE$4))*$D42*(AE$4+1)^2+(AE$6*$AU42^(-4*AE$4-2))*$D42^2*(AE$4+2)^2)/V42))</f>
        <v/>
      </c>
      <c r="AQ42" s="130">
        <f t="shared" ref="AQ42:AQ105" si="76">IF(A42="","",SUM(AG42:AP42)+0.5*(D42+ $AC$9/AU42^2/D42)+$L42*$S$16+$K42*$T$16)</f>
        <v>1.2637932548630625E-2</v>
      </c>
      <c r="AR42" s="122">
        <f t="shared" ref="AR42:AR105" si="77">IF(A42="","",AQ42+$L42*S$14+$K42*$T$14)</f>
        <v>1.2637932548630625E-2</v>
      </c>
      <c r="AS42" s="1001"/>
      <c r="AT42" s="442">
        <v>1.2637932548611029E-2</v>
      </c>
      <c r="AU42" s="131">
        <f t="shared" ref="AU42:AU105" si="78">IF(A42="","",10^(-$P$16*($AT42^0.5/(1+$AT42^0.5)-$P$17*$AT42)))</f>
        <v>0.89225994637186012</v>
      </c>
      <c r="AV42" s="17"/>
      <c r="AW42" s="124">
        <f t="shared" ref="AW42:AW105" si="79">IF(C42="","",C42-B42)</f>
        <v>1.2768326071093128E-3</v>
      </c>
      <c r="AX42" s="16"/>
      <c r="AY42" s="26"/>
      <c r="AZ42" s="1000"/>
      <c r="BA42" s="1000"/>
    </row>
    <row r="43" spans="1:53">
      <c r="A43" s="6">
        <v>1.6979725172859617</v>
      </c>
      <c r="B43" s="508">
        <v>3.1255907235298888</v>
      </c>
      <c r="C43" s="124">
        <v>3.1648154258728027</v>
      </c>
      <c r="D43" s="123">
        <f t="shared" si="39"/>
        <v>8.4456191371001723E-4</v>
      </c>
      <c r="E43" s="123">
        <f t="shared" ref="E43:E106" si="80">IF(A43="","",IF(A44="",(B43-B42)/(A43-A42),((B44-B43)/(A44-A43)+(B43-B42)/(A43-A42))/2))</f>
        <v>0.17315044192717757</v>
      </c>
      <c r="F43" s="124">
        <f t="shared" si="40"/>
        <v>3.9224702342913975E-2</v>
      </c>
      <c r="G43" s="122">
        <f t="shared" si="41"/>
        <v>1.0800128541984129E-6</v>
      </c>
      <c r="H43" s="122">
        <f t="shared" si="42"/>
        <v>-1.0392366690020194E-3</v>
      </c>
      <c r="I43" s="123">
        <f t="shared" si="43"/>
        <v>0.10145566737112482</v>
      </c>
      <c r="J43" s="123">
        <f t="shared" si="44"/>
        <v>0.10249490404012684</v>
      </c>
      <c r="K43" s="124">
        <f t="shared" si="45"/>
        <v>7.8254892982892788E-2</v>
      </c>
      <c r="L43" s="124">
        <f t="shared" si="46"/>
        <v>0.92174510701710721</v>
      </c>
      <c r="M43" s="122">
        <f t="shared" si="47"/>
        <v>59216.631685336994</v>
      </c>
      <c r="N43" s="122">
        <f t="shared" si="48"/>
        <v>4735828.6907727299</v>
      </c>
      <c r="O43" s="122">
        <f t="shared" si="49"/>
        <v>3013015132.8312044</v>
      </c>
      <c r="P43" s="122">
        <f t="shared" si="50"/>
        <v>38.947839958487165</v>
      </c>
      <c r="Q43" s="122">
        <f t="shared" si="51"/>
        <v>1481261.6730541629</v>
      </c>
      <c r="R43" s="122">
        <f t="shared" si="52"/>
        <v>16642570024.295168</v>
      </c>
      <c r="S43" s="122">
        <f t="shared" si="53"/>
        <v>1.0000000000664029</v>
      </c>
      <c r="T43" s="122">
        <f t="shared" si="54"/>
        <v>1.0000000000664029</v>
      </c>
      <c r="U43" s="122">
        <f t="shared" si="55"/>
        <v>3691365596796.0913</v>
      </c>
      <c r="V43" s="122">
        <f t="shared" si="56"/>
        <v>16642570024.295168</v>
      </c>
      <c r="W43" s="19">
        <f t="shared" si="57"/>
        <v>2.4459303015401672</v>
      </c>
      <c r="X43" s="19">
        <f t="shared" si="58"/>
        <v>1.1590091045788686</v>
      </c>
      <c r="Y43" s="19">
        <f t="shared" si="59"/>
        <v>1.8931581700676587</v>
      </c>
      <c r="Z43" s="19">
        <f t="shared" si="60"/>
        <v>0.9743246351770507</v>
      </c>
      <c r="AA43" s="19">
        <f t="shared" si="61"/>
        <v>0.9999993248998349</v>
      </c>
      <c r="AB43" s="19">
        <f t="shared" si="62"/>
        <v>1.999330851801524</v>
      </c>
      <c r="AC43" s="19">
        <f t="shared" si="63"/>
        <v>6.640301443118584E-11</v>
      </c>
      <c r="AD43" s="19">
        <f t="shared" si="64"/>
        <v>6.6403014250131966E-11</v>
      </c>
      <c r="AE43" s="19">
        <f t="shared" si="65"/>
        <v>0.99999999999972911</v>
      </c>
      <c r="AF43" s="19">
        <f t="shared" si="66"/>
        <v>1.999330851801524</v>
      </c>
      <c r="AG43" s="122">
        <f t="shared" si="67"/>
        <v>6.7790863643717785E-3</v>
      </c>
      <c r="AH43" s="122">
        <f t="shared" si="68"/>
        <v>2.5717833863127134E-3</v>
      </c>
      <c r="AI43" s="122" t="str">
        <f t="shared" si="69"/>
        <v/>
      </c>
      <c r="AJ43" s="122" t="str">
        <f t="shared" si="70"/>
        <v/>
      </c>
      <c r="AK43" s="122" t="str">
        <f t="shared" si="71"/>
        <v/>
      </c>
      <c r="AL43" s="122" t="str">
        <f t="shared" si="72"/>
        <v/>
      </c>
      <c r="AM43" s="122" t="str">
        <f t="shared" si="73"/>
        <v/>
      </c>
      <c r="AN43" s="122" t="str">
        <f t="shared" ref="AN43:AN91" si="81">IF(B$18=0,"",IF($A43="","",0.5*B$18*$K43*(1*AC$4^2+(AC$5*$AU43^(-2*AC$4))*$D43*(AC$4+1)^2+(AC$6*$AU43^(-4*AC$4-2))*$D43^2*(AC$4+2)^2)/T43))</f>
        <v/>
      </c>
      <c r="AO43" s="122">
        <f t="shared" si="74"/>
        <v>1.059972128618388E-15</v>
      </c>
      <c r="AP43" s="122" t="str">
        <f t="shared" si="75"/>
        <v/>
      </c>
      <c r="AQ43" s="130">
        <f t="shared" si="76"/>
        <v>1.4325605200508854E-2</v>
      </c>
      <c r="AR43" s="122">
        <f t="shared" si="77"/>
        <v>1.4325605200508854E-2</v>
      </c>
      <c r="AS43" s="1001"/>
      <c r="AT43" s="442">
        <v>1.4325605200498311E-2</v>
      </c>
      <c r="AU43" s="131">
        <f t="shared" si="78"/>
        <v>0.88670219560998553</v>
      </c>
      <c r="AV43" s="17"/>
      <c r="AW43" s="124">
        <f t="shared" si="79"/>
        <v>3.9224702342913975E-2</v>
      </c>
      <c r="AX43" s="16"/>
      <c r="AY43" s="26"/>
      <c r="AZ43" s="1000"/>
      <c r="BA43" s="1000"/>
    </row>
    <row r="44" spans="1:53">
      <c r="A44" s="6">
        <v>2.4511264302418567</v>
      </c>
      <c r="B44" s="508">
        <v>3.2933397359810788</v>
      </c>
      <c r="C44" s="124">
        <v>3.3038496971130371</v>
      </c>
      <c r="D44" s="123">
        <f t="shared" si="39"/>
        <v>5.7771648607525669E-4</v>
      </c>
      <c r="E44" s="123">
        <f t="shared" si="80"/>
        <v>0.22713069347543746</v>
      </c>
      <c r="F44" s="124">
        <f t="shared" si="40"/>
        <v>1.0509961131958345E-2</v>
      </c>
      <c r="G44" s="122">
        <f t="shared" si="41"/>
        <v>5.8671760066418355E-8</v>
      </c>
      <c r="H44" s="122">
        <f t="shared" si="42"/>
        <v>-2.422225424406621E-4</v>
      </c>
      <c r="I44" s="123">
        <f t="shared" si="43"/>
        <v>9.8052197477997885E-2</v>
      </c>
      <c r="J44" s="123">
        <f t="shared" si="44"/>
        <v>9.8294420020438547E-2</v>
      </c>
      <c r="K44" s="124">
        <f t="shared" si="45"/>
        <v>0.10917610026640662</v>
      </c>
      <c r="L44" s="124">
        <f t="shared" si="46"/>
        <v>0.89082389973359333</v>
      </c>
      <c r="M44" s="122">
        <f t="shared" si="47"/>
        <v>22277.843518944119</v>
      </c>
      <c r="N44" s="122">
        <f t="shared" si="48"/>
        <v>3036886.4111997117</v>
      </c>
      <c r="O44" s="122">
        <f t="shared" si="49"/>
        <v>1425418316.7439413</v>
      </c>
      <c r="P44" s="122">
        <f t="shared" si="50"/>
        <v>26.621571696474778</v>
      </c>
      <c r="Q44" s="122">
        <f t="shared" si="51"/>
        <v>1013246.6805199299</v>
      </c>
      <c r="R44" s="122">
        <f t="shared" si="52"/>
        <v>7490883283.5890942</v>
      </c>
      <c r="S44" s="122">
        <f t="shared" si="53"/>
        <v>1.0000000000448339</v>
      </c>
      <c r="T44" s="122">
        <f t="shared" si="54"/>
        <v>1.0000000000448339</v>
      </c>
      <c r="U44" s="122">
        <f t="shared" si="55"/>
        <v>2492331273655.8262</v>
      </c>
      <c r="V44" s="122">
        <f t="shared" si="56"/>
        <v>7490883283.5890942</v>
      </c>
      <c r="W44" s="19">
        <f t="shared" si="57"/>
        <v>2.3341769982822069</v>
      </c>
      <c r="X44" s="19">
        <f t="shared" si="58"/>
        <v>1.1145224765392305</v>
      </c>
      <c r="Y44" s="19">
        <f t="shared" si="59"/>
        <v>1.8494937822905855</v>
      </c>
      <c r="Z44" s="19">
        <f t="shared" si="60"/>
        <v>0.96243647777819141</v>
      </c>
      <c r="AA44" s="19">
        <f t="shared" si="61"/>
        <v>0.99999901307350003</v>
      </c>
      <c r="AB44" s="19">
        <f t="shared" si="62"/>
        <v>1.9990092505047667</v>
      </c>
      <c r="AC44" s="19">
        <f t="shared" si="63"/>
        <v>4.4833874248821236E-11</v>
      </c>
      <c r="AD44" s="19">
        <f t="shared" si="64"/>
        <v>4.4833874190902179E-11</v>
      </c>
      <c r="AE44" s="19">
        <f t="shared" si="65"/>
        <v>0.99999999999959877</v>
      </c>
      <c r="AF44" s="19">
        <f t="shared" si="66"/>
        <v>1.9990092505047667</v>
      </c>
      <c r="AG44" s="122">
        <f t="shared" si="67"/>
        <v>8.0847355498345763E-3</v>
      </c>
      <c r="AH44" s="122">
        <f t="shared" si="68"/>
        <v>1.7901337838524974E-3</v>
      </c>
      <c r="AI44" s="122" t="str">
        <f t="shared" si="69"/>
        <v/>
      </c>
      <c r="AJ44" s="122" t="str">
        <f t="shared" si="70"/>
        <v/>
      </c>
      <c r="AK44" s="122" t="str">
        <f t="shared" si="71"/>
        <v/>
      </c>
      <c r="AL44" s="122" t="str">
        <f t="shared" si="72"/>
        <v/>
      </c>
      <c r="AM44" s="122" t="str">
        <f t="shared" si="73"/>
        <v/>
      </c>
      <c r="AN44" s="122" t="str">
        <f t="shared" si="81"/>
        <v/>
      </c>
      <c r="AO44" s="122">
        <f t="shared" si="74"/>
        <v>2.1902405474827561E-15</v>
      </c>
      <c r="AP44" s="122" t="str">
        <f t="shared" si="75"/>
        <v/>
      </c>
      <c r="AQ44" s="130">
        <f t="shared" si="76"/>
        <v>1.6240782315488866E-2</v>
      </c>
      <c r="AR44" s="122">
        <f t="shared" si="77"/>
        <v>1.6240782315488866E-2</v>
      </c>
      <c r="AS44" s="1001"/>
      <c r="AT44" s="442">
        <v>1.6240782315480051E-2</v>
      </c>
      <c r="AU44" s="131">
        <f t="shared" si="78"/>
        <v>0.88093832243447023</v>
      </c>
      <c r="AV44" s="17"/>
      <c r="AW44" s="124">
        <f t="shared" si="79"/>
        <v>1.0509961131958345E-2</v>
      </c>
      <c r="AX44" s="16"/>
      <c r="AY44" s="26"/>
      <c r="AZ44" s="1000"/>
      <c r="BA44" s="1000"/>
    </row>
    <row r="45" spans="1:53">
      <c r="A45" s="6">
        <v>3.1349450364359654</v>
      </c>
      <c r="B45" s="508">
        <v>3.4516660766305347</v>
      </c>
      <c r="C45" s="124">
        <v>3.442634105682373</v>
      </c>
      <c r="D45" s="123">
        <f t="shared" si="39"/>
        <v>4.0372692347776261E-4</v>
      </c>
      <c r="E45" s="123">
        <f t="shared" si="80"/>
        <v>0.22572427870847189</v>
      </c>
      <c r="F45" s="124">
        <f t="shared" si="40"/>
        <v>-9.0319709481616606E-3</v>
      </c>
      <c r="G45" s="122">
        <f t="shared" si="41"/>
        <v>3.2725149829353095E-8</v>
      </c>
      <c r="H45" s="122">
        <f t="shared" si="42"/>
        <v>1.8090093927161655E-4</v>
      </c>
      <c r="I45" s="123">
        <f t="shared" si="43"/>
        <v>9.5153987998438938E-2</v>
      </c>
      <c r="J45" s="123">
        <f t="shared" si="44"/>
        <v>9.4973087059167322E-2</v>
      </c>
      <c r="K45" s="124">
        <f t="shared" si="45"/>
        <v>0.13550691525303563</v>
      </c>
      <c r="L45" s="124">
        <f t="shared" si="46"/>
        <v>0.8644930847469644</v>
      </c>
      <c r="M45" s="122">
        <f t="shared" si="47"/>
        <v>9214.3715597482642</v>
      </c>
      <c r="N45" s="122">
        <f t="shared" si="48"/>
        <v>2023762.2959156516</v>
      </c>
      <c r="O45" s="122">
        <f t="shared" si="49"/>
        <v>715950637.9420706</v>
      </c>
      <c r="P45" s="122">
        <f t="shared" si="50"/>
        <v>18.683984859975958</v>
      </c>
      <c r="Q45" s="122">
        <f t="shared" si="51"/>
        <v>708089.7791562085</v>
      </c>
      <c r="R45" s="122">
        <f t="shared" si="52"/>
        <v>3525950989.1333919</v>
      </c>
      <c r="S45" s="122">
        <f t="shared" si="53"/>
        <v>1.0000000000309444</v>
      </c>
      <c r="T45" s="122">
        <f t="shared" si="54"/>
        <v>1.0000000000309444</v>
      </c>
      <c r="U45" s="122">
        <f t="shared" si="55"/>
        <v>1720204717786.5466</v>
      </c>
      <c r="V45" s="122">
        <f t="shared" si="56"/>
        <v>3525950989.1333919</v>
      </c>
      <c r="W45" s="19">
        <f t="shared" si="57"/>
        <v>2.2297758701824342</v>
      </c>
      <c r="X45" s="19">
        <f t="shared" si="58"/>
        <v>1.0828906904902771</v>
      </c>
      <c r="Y45" s="19">
        <f t="shared" si="59"/>
        <v>1.7957371053677169</v>
      </c>
      <c r="Z45" s="19">
        <f t="shared" si="60"/>
        <v>0.94647822680791405</v>
      </c>
      <c r="AA45" s="19">
        <f t="shared" si="61"/>
        <v>0.99999858774970429</v>
      </c>
      <c r="AB45" s="19">
        <f t="shared" si="62"/>
        <v>1.9985651831874551</v>
      </c>
      <c r="AC45" s="19">
        <f t="shared" si="63"/>
        <v>3.0944287353783401E-11</v>
      </c>
      <c r="AD45" s="19">
        <f t="shared" si="64"/>
        <v>3.0944287334023601E-11</v>
      </c>
      <c r="AE45" s="19">
        <f t="shared" si="65"/>
        <v>0.99999999999941869</v>
      </c>
      <c r="AF45" s="19">
        <f t="shared" si="66"/>
        <v>1.9985651831874551</v>
      </c>
      <c r="AG45" s="122">
        <f t="shared" si="67"/>
        <v>9.3865233997399225E-3</v>
      </c>
      <c r="AH45" s="122">
        <f t="shared" si="68"/>
        <v>1.2573982714328847E-3</v>
      </c>
      <c r="AI45" s="122" t="str">
        <f t="shared" si="69"/>
        <v/>
      </c>
      <c r="AJ45" s="122" t="str">
        <f t="shared" si="70"/>
        <v/>
      </c>
      <c r="AK45" s="122" t="str">
        <f t="shared" si="71"/>
        <v/>
      </c>
      <c r="AL45" s="122" t="str">
        <f t="shared" si="72"/>
        <v/>
      </c>
      <c r="AM45" s="122" t="str">
        <f t="shared" si="73"/>
        <v/>
      </c>
      <c r="AN45" s="122" t="str">
        <f t="shared" si="81"/>
        <v/>
      </c>
      <c r="AO45" s="122">
        <f t="shared" si="74"/>
        <v>3.9386857230399174E-15</v>
      </c>
      <c r="AP45" s="122" t="str">
        <f t="shared" si="75"/>
        <v/>
      </c>
      <c r="AQ45" s="130">
        <f t="shared" si="76"/>
        <v>1.8221106355657327E-2</v>
      </c>
      <c r="AR45" s="122">
        <f t="shared" si="77"/>
        <v>1.8221106355657327E-2</v>
      </c>
      <c r="AS45" s="1001"/>
      <c r="AT45" s="442">
        <v>1.8221106355645483E-2</v>
      </c>
      <c r="AU45" s="131">
        <f t="shared" si="78"/>
        <v>0.87547996331512723</v>
      </c>
      <c r="AV45" s="17"/>
      <c r="AW45" s="124">
        <f t="shared" si="79"/>
        <v>-9.0319709481616606E-3</v>
      </c>
      <c r="AX45" s="16"/>
      <c r="AY45" s="26"/>
      <c r="AZ45" s="1000"/>
      <c r="BA45" s="1000"/>
    </row>
    <row r="46" spans="1:53">
      <c r="A46" s="6">
        <v>3.7547393163549714</v>
      </c>
      <c r="B46" s="508">
        <v>3.5879686920942295</v>
      </c>
      <c r="C46" s="124">
        <v>3.5813689231872559</v>
      </c>
      <c r="D46" s="123">
        <f t="shared" si="39"/>
        <v>2.9661056032745945E-4</v>
      </c>
      <c r="E46" s="123">
        <f t="shared" si="80"/>
        <v>0.19737749587873965</v>
      </c>
      <c r="F46" s="124">
        <f t="shared" si="40"/>
        <v>-6.5997689069736687E-3</v>
      </c>
      <c r="G46" s="122">
        <f t="shared" si="41"/>
        <v>1.3627481211246146E-8</v>
      </c>
      <c r="H46" s="122">
        <f t="shared" si="42"/>
        <v>1.167368031567001E-4</v>
      </c>
      <c r="I46" s="123">
        <f t="shared" si="43"/>
        <v>9.2671287738608693E-2</v>
      </c>
      <c r="J46" s="123">
        <f t="shared" si="44"/>
        <v>9.2554550935451993E-2</v>
      </c>
      <c r="K46" s="124">
        <f t="shared" si="45"/>
        <v>0.15806274555788788</v>
      </c>
      <c r="L46" s="124">
        <f t="shared" si="46"/>
        <v>0.84193725444211209</v>
      </c>
      <c r="M46" s="122">
        <f t="shared" si="47"/>
        <v>4437.8482242276559</v>
      </c>
      <c r="N46" s="122">
        <f t="shared" si="48"/>
        <v>1438128.1878525598</v>
      </c>
      <c r="O46" s="122">
        <f t="shared" si="49"/>
        <v>402559764.02148479</v>
      </c>
      <c r="P46" s="122">
        <f t="shared" si="50"/>
        <v>13.849197558287415</v>
      </c>
      <c r="Q46" s="122">
        <f t="shared" si="51"/>
        <v>520220.47839869047</v>
      </c>
      <c r="R46" s="122">
        <f t="shared" si="52"/>
        <v>1842041433.0675967</v>
      </c>
      <c r="S46" s="122">
        <f t="shared" si="53"/>
        <v>1.0000000000224842</v>
      </c>
      <c r="T46" s="122">
        <f t="shared" si="54"/>
        <v>1.0000000000224842</v>
      </c>
      <c r="U46" s="122">
        <f t="shared" si="55"/>
        <v>1249902125259.582</v>
      </c>
      <c r="V46" s="122">
        <f t="shared" si="56"/>
        <v>1842041433.0675967</v>
      </c>
      <c r="W46" s="19">
        <f t="shared" si="57"/>
        <v>2.1421342316834466</v>
      </c>
      <c r="X46" s="19">
        <f t="shared" si="58"/>
        <v>1.0622673190422776</v>
      </c>
      <c r="Y46" s="19">
        <f t="shared" si="59"/>
        <v>1.7389431777908537</v>
      </c>
      <c r="Z46" s="19">
        <f t="shared" si="60"/>
        <v>0.92779365044138629</v>
      </c>
      <c r="AA46" s="19">
        <f t="shared" si="61"/>
        <v>0.99999807773811</v>
      </c>
      <c r="AB46" s="19">
        <f t="shared" si="62"/>
        <v>1.9980263676819678</v>
      </c>
      <c r="AC46" s="19">
        <f t="shared" si="63"/>
        <v>2.248413914423995E-11</v>
      </c>
      <c r="AD46" s="19">
        <f t="shared" si="64"/>
        <v>2.2484139136406013E-11</v>
      </c>
      <c r="AE46" s="19">
        <f t="shared" si="65"/>
        <v>0.99999999999919997</v>
      </c>
      <c r="AF46" s="19">
        <f t="shared" si="66"/>
        <v>1.9980263676819678</v>
      </c>
      <c r="AG46" s="122">
        <f t="shared" si="67"/>
        <v>1.0562204272143619E-2</v>
      </c>
      <c r="AH46" s="122">
        <f t="shared" si="68"/>
        <v>9.1991985782800953E-4</v>
      </c>
      <c r="AI46" s="122" t="str">
        <f t="shared" si="69"/>
        <v/>
      </c>
      <c r="AJ46" s="122" t="str">
        <f t="shared" si="70"/>
        <v/>
      </c>
      <c r="AK46" s="122" t="str">
        <f t="shared" si="71"/>
        <v/>
      </c>
      <c r="AL46" s="122" t="str">
        <f t="shared" si="72"/>
        <v/>
      </c>
      <c r="AM46" s="122" t="str">
        <f t="shared" si="73"/>
        <v/>
      </c>
      <c r="AN46" s="122" t="str">
        <f t="shared" si="81"/>
        <v/>
      </c>
      <c r="AO46" s="122">
        <f t="shared" si="74"/>
        <v>6.3230049122870769E-15</v>
      </c>
      <c r="AP46" s="122" t="str">
        <f t="shared" si="75"/>
        <v/>
      </c>
      <c r="AQ46" s="130">
        <f t="shared" si="76"/>
        <v>2.0117887821401795E-2</v>
      </c>
      <c r="AR46" s="122">
        <f t="shared" si="77"/>
        <v>2.0117887821401795E-2</v>
      </c>
      <c r="AS46" s="1001"/>
      <c r="AT46" s="442">
        <v>2.0117887821380666E-2</v>
      </c>
      <c r="AU46" s="131">
        <f t="shared" si="78"/>
        <v>0.87065219368819347</v>
      </c>
      <c r="AV46" s="17"/>
      <c r="AW46" s="124">
        <f t="shared" si="79"/>
        <v>-6.5997689069736687E-3</v>
      </c>
      <c r="AX46" s="16"/>
      <c r="AY46" s="26"/>
      <c r="AZ46" s="1000"/>
      <c r="BA46" s="1000"/>
    </row>
    <row r="47" spans="1:53">
      <c r="A47" s="6">
        <v>4.3231222967733629</v>
      </c>
      <c r="B47" s="508">
        <v>3.6873442574627857</v>
      </c>
      <c r="C47" s="124">
        <v>3.720573902130127</v>
      </c>
      <c r="D47" s="123">
        <f t="shared" si="39"/>
        <v>2.369900162740523E-4</v>
      </c>
      <c r="E47" s="123">
        <f t="shared" si="80"/>
        <v>0.24702101495004952</v>
      </c>
      <c r="F47" s="124">
        <f t="shared" si="40"/>
        <v>3.322964466734124E-2</v>
      </c>
      <c r="G47" s="122">
        <f t="shared" si="41"/>
        <v>2.8580776188643694E-7</v>
      </c>
      <c r="H47" s="122">
        <f t="shared" si="42"/>
        <v>-5.3460991562674642E-4</v>
      </c>
      <c r="I47" s="123">
        <f t="shared" si="43"/>
        <v>9.0505744101512881E-2</v>
      </c>
      <c r="J47" s="123">
        <f t="shared" si="44"/>
        <v>9.1040354017139627E-2</v>
      </c>
      <c r="K47" s="124">
        <f t="shared" si="45"/>
        <v>0.17773714427061266</v>
      </c>
      <c r="L47" s="124">
        <f t="shared" si="46"/>
        <v>0.82226285572938729</v>
      </c>
      <c r="M47" s="122">
        <f t="shared" si="47"/>
        <v>2643.5427997194329</v>
      </c>
      <c r="N47" s="122">
        <f t="shared" si="48"/>
        <v>1124690.5938147313</v>
      </c>
      <c r="O47" s="122">
        <f t="shared" si="49"/>
        <v>267428917.70538679</v>
      </c>
      <c r="P47" s="122">
        <f t="shared" si="50"/>
        <v>11.176101597439558</v>
      </c>
      <c r="Q47" s="122">
        <f t="shared" si="51"/>
        <v>415653.1686742219</v>
      </c>
      <c r="R47" s="122">
        <f t="shared" si="52"/>
        <v>1145769702.8367801</v>
      </c>
      <c r="S47" s="122">
        <f t="shared" si="53"/>
        <v>1.0000000000178066</v>
      </c>
      <c r="T47" s="122">
        <f t="shared" si="54"/>
        <v>1.0000000000178066</v>
      </c>
      <c r="U47" s="122">
        <f t="shared" si="55"/>
        <v>989877457779.16528</v>
      </c>
      <c r="V47" s="122">
        <f t="shared" si="56"/>
        <v>1145769702.8367801</v>
      </c>
      <c r="W47" s="19">
        <f t="shared" si="57"/>
        <v>2.0792256875287873</v>
      </c>
      <c r="X47" s="19">
        <f t="shared" si="58"/>
        <v>1.050381461041286</v>
      </c>
      <c r="Y47" s="19">
        <f t="shared" si="59"/>
        <v>1.691521811709352</v>
      </c>
      <c r="Z47" s="19">
        <f t="shared" si="60"/>
        <v>0.91052336172130899</v>
      </c>
      <c r="AA47" s="19">
        <f t="shared" si="61"/>
        <v>0.99999759414801725</v>
      </c>
      <c r="AB47" s="19">
        <f t="shared" si="62"/>
        <v>1.9975092176019484</v>
      </c>
      <c r="AC47" s="19">
        <f t="shared" si="63"/>
        <v>1.7806626127047186E-11</v>
      </c>
      <c r="AD47" s="19">
        <f t="shared" si="64"/>
        <v>1.7806626123051839E-11</v>
      </c>
      <c r="AE47" s="19">
        <f t="shared" si="65"/>
        <v>0.99999999999898981</v>
      </c>
      <c r="AF47" s="19">
        <f t="shared" si="66"/>
        <v>1.9975092176019484</v>
      </c>
      <c r="AG47" s="122">
        <f t="shared" si="67"/>
        <v>1.1426934774488222E-2</v>
      </c>
      <c r="AH47" s="122">
        <f t="shared" si="68"/>
        <v>7.2693764333464227E-4</v>
      </c>
      <c r="AI47" s="122" t="str">
        <f t="shared" si="69"/>
        <v/>
      </c>
      <c r="AJ47" s="122" t="str">
        <f t="shared" si="70"/>
        <v/>
      </c>
      <c r="AK47" s="122" t="str">
        <f t="shared" si="71"/>
        <v/>
      </c>
      <c r="AL47" s="122" t="str">
        <f t="shared" si="72"/>
        <v/>
      </c>
      <c r="AM47" s="122" t="str">
        <f t="shared" si="73"/>
        <v/>
      </c>
      <c r="AN47" s="122" t="str">
        <f t="shared" si="81"/>
        <v/>
      </c>
      <c r="AO47" s="122">
        <f t="shared" si="74"/>
        <v>8.9777347122023553E-15</v>
      </c>
      <c r="AP47" s="122" t="str">
        <f t="shared" si="75"/>
        <v/>
      </c>
      <c r="AQ47" s="130">
        <f t="shared" si="76"/>
        <v>2.1729891234364057E-2</v>
      </c>
      <c r="AR47" s="122">
        <f t="shared" si="77"/>
        <v>2.1729891234364057E-2</v>
      </c>
      <c r="AS47" s="1001"/>
      <c r="AT47" s="442">
        <v>2.1729891234328714E-2</v>
      </c>
      <c r="AU47" s="131">
        <f t="shared" si="78"/>
        <v>0.86681355034937735</v>
      </c>
      <c r="AV47" s="17"/>
      <c r="AW47" s="124">
        <f t="shared" si="79"/>
        <v>3.322964466734124E-2</v>
      </c>
      <c r="AX47" s="16"/>
      <c r="AY47" s="26"/>
      <c r="AZ47" s="1000"/>
      <c r="BA47" s="1000"/>
    </row>
    <row r="48" spans="1:53">
      <c r="A48" s="6">
        <v>4.8577314577414654</v>
      </c>
      <c r="B48" s="508">
        <v>3.8579930711773232</v>
      </c>
      <c r="C48" s="124">
        <v>3.8588471412658691</v>
      </c>
      <c r="D48" s="123">
        <f t="shared" si="39"/>
        <v>1.6099599435202654E-4</v>
      </c>
      <c r="E48" s="123">
        <f t="shared" si="80"/>
        <v>0.29863770306023651</v>
      </c>
      <c r="F48" s="124">
        <f t="shared" si="40"/>
        <v>8.5407008854598843E-4</v>
      </c>
      <c r="G48" s="122">
        <f t="shared" si="41"/>
        <v>1.6011217547473575E-10</v>
      </c>
      <c r="H48" s="122">
        <f t="shared" si="42"/>
        <v>-1.265354398873042E-5</v>
      </c>
      <c r="I48" s="123">
        <f t="shared" si="43"/>
        <v>8.8559259161840931E-2</v>
      </c>
      <c r="J48" s="123">
        <f t="shared" si="44"/>
        <v>8.8571912705829661E-2</v>
      </c>
      <c r="K48" s="124">
        <f t="shared" si="45"/>
        <v>0.19542135073748323</v>
      </c>
      <c r="L48" s="124">
        <f t="shared" si="46"/>
        <v>0.80457864926251677</v>
      </c>
      <c r="M48" s="122">
        <f t="shared" si="47"/>
        <v>1135.5268269808921</v>
      </c>
      <c r="N48" s="122">
        <f t="shared" si="48"/>
        <v>742295.70698465535</v>
      </c>
      <c r="O48" s="122">
        <f t="shared" si="49"/>
        <v>136831904.10916075</v>
      </c>
      <c r="P48" s="122">
        <f t="shared" si="50"/>
        <v>7.826510882719119</v>
      </c>
      <c r="Q48" s="122">
        <f t="shared" si="51"/>
        <v>282368.73536864563</v>
      </c>
      <c r="R48" s="122">
        <f t="shared" si="52"/>
        <v>509794125.03865761</v>
      </c>
      <c r="S48" s="122">
        <f t="shared" si="53"/>
        <v>1.0000000000119453</v>
      </c>
      <c r="T48" s="122">
        <f t="shared" si="54"/>
        <v>1.0000000000119453</v>
      </c>
      <c r="U48" s="122">
        <f t="shared" si="55"/>
        <v>664046950925.82507</v>
      </c>
      <c r="V48" s="122">
        <f t="shared" si="56"/>
        <v>509794125.03865761</v>
      </c>
      <c r="W48" s="19">
        <f t="shared" si="57"/>
        <v>1.9722855794371998</v>
      </c>
      <c r="X48" s="19">
        <f t="shared" si="58"/>
        <v>1.0347872493867636</v>
      </c>
      <c r="Y48" s="19">
        <f t="shared" si="59"/>
        <v>1.6006118744385445</v>
      </c>
      <c r="Z48" s="19">
        <f t="shared" si="60"/>
        <v>0.87222914335837787</v>
      </c>
      <c r="AA48" s="19">
        <f t="shared" si="61"/>
        <v>0.99999645853143515</v>
      </c>
      <c r="AB48" s="19">
        <f t="shared" si="62"/>
        <v>1.9962915866464461</v>
      </c>
      <c r="AC48" s="19">
        <f t="shared" si="63"/>
        <v>1.19453513104021E-11</v>
      </c>
      <c r="AD48" s="19">
        <f t="shared" si="64"/>
        <v>1.1945351309149721E-11</v>
      </c>
      <c r="AE48" s="19">
        <f t="shared" si="65"/>
        <v>0.99999999999849409</v>
      </c>
      <c r="AF48" s="19">
        <f t="shared" si="66"/>
        <v>1.9962915866464461</v>
      </c>
      <c r="AG48" s="122">
        <f t="shared" si="67"/>
        <v>1.3281380556171569E-2</v>
      </c>
      <c r="AH48" s="122">
        <f t="shared" si="68"/>
        <v>4.9115959231163075E-4</v>
      </c>
      <c r="AI48" s="122" t="str">
        <f t="shared" si="69"/>
        <v/>
      </c>
      <c r="AJ48" s="122" t="str">
        <f t="shared" si="70"/>
        <v/>
      </c>
      <c r="AK48" s="122" t="str">
        <f t="shared" si="71"/>
        <v/>
      </c>
      <c r="AL48" s="122" t="str">
        <f t="shared" si="72"/>
        <v/>
      </c>
      <c r="AM48" s="122" t="str">
        <f t="shared" si="73"/>
        <v/>
      </c>
      <c r="AN48" s="122" t="str">
        <f t="shared" si="81"/>
        <v/>
      </c>
      <c r="AO48" s="122">
        <f t="shared" si="74"/>
        <v>1.4714422712507273E-14</v>
      </c>
      <c r="AP48" s="122" t="str">
        <f t="shared" si="75"/>
        <v/>
      </c>
      <c r="AQ48" s="130">
        <f t="shared" si="76"/>
        <v>2.4182498992080817E-2</v>
      </c>
      <c r="AR48" s="122">
        <f t="shared" si="77"/>
        <v>2.4182498992080817E-2</v>
      </c>
      <c r="AS48" s="1001"/>
      <c r="AT48" s="442">
        <v>2.4182498991955511E-2</v>
      </c>
      <c r="AU48" s="131">
        <f t="shared" si="78"/>
        <v>0.86137419705066509</v>
      </c>
      <c r="AV48" s="17"/>
      <c r="AW48" s="124">
        <f t="shared" si="79"/>
        <v>8.5407008854598843E-4</v>
      </c>
      <c r="AX48" s="16"/>
      <c r="AY48" s="26"/>
      <c r="AZ48" s="1000"/>
      <c r="BA48" s="1000"/>
    </row>
    <row r="49" spans="1:53">
      <c r="A49" s="6">
        <v>5.3776574277435429</v>
      </c>
      <c r="B49" s="508">
        <v>4.0025701700123921</v>
      </c>
      <c r="C49" s="124">
        <v>3.9975075721740723</v>
      </c>
      <c r="D49" s="123">
        <f t="shared" si="39"/>
        <v>1.1607844027245345E-4</v>
      </c>
      <c r="E49" s="123">
        <f t="shared" si="80"/>
        <v>0.2576760924357373</v>
      </c>
      <c r="F49" s="124">
        <f t="shared" si="40"/>
        <v>-5.06259783831986E-3</v>
      </c>
      <c r="G49" s="122">
        <f t="shared" si="41"/>
        <v>5.2014069815655956E-9</v>
      </c>
      <c r="H49" s="122">
        <f t="shared" si="42"/>
        <v>7.2120780511344962E-5</v>
      </c>
      <c r="I49" s="123">
        <f t="shared" si="43"/>
        <v>8.6744897105237209E-2</v>
      </c>
      <c r="J49" s="123">
        <f t="shared" si="44"/>
        <v>8.6672776324725864E-2</v>
      </c>
      <c r="K49" s="124">
        <f t="shared" si="45"/>
        <v>0.21190519428576343</v>
      </c>
      <c r="L49" s="124">
        <f t="shared" si="46"/>
        <v>0.78809480571423651</v>
      </c>
      <c r="M49" s="122">
        <f t="shared" si="47"/>
        <v>572.37603790745834</v>
      </c>
      <c r="N49" s="122">
        <f t="shared" si="48"/>
        <v>523902.73653092672</v>
      </c>
      <c r="O49" s="122">
        <f t="shared" si="49"/>
        <v>79764479.583477065</v>
      </c>
      <c r="P49" s="122">
        <f t="shared" si="50"/>
        <v>5.8652828768737963</v>
      </c>
      <c r="Q49" s="122">
        <f t="shared" si="51"/>
        <v>203588.71307805952</v>
      </c>
      <c r="R49" s="122">
        <f t="shared" si="52"/>
        <v>256350988.66824231</v>
      </c>
      <c r="S49" s="122">
        <f t="shared" si="53"/>
        <v>1.0000000000085134</v>
      </c>
      <c r="T49" s="122">
        <f t="shared" si="54"/>
        <v>1.0000000000085134</v>
      </c>
      <c r="U49" s="122">
        <f t="shared" si="55"/>
        <v>473269041137.8584</v>
      </c>
      <c r="V49" s="122">
        <f t="shared" si="56"/>
        <v>256350988.66824231</v>
      </c>
      <c r="W49" s="19">
        <f t="shared" si="57"/>
        <v>1.8793552622133614</v>
      </c>
      <c r="X49" s="19">
        <f t="shared" si="58"/>
        <v>1.025326563383341</v>
      </c>
      <c r="Y49" s="19">
        <f t="shared" si="59"/>
        <v>1.5173246560610765</v>
      </c>
      <c r="Z49" s="19">
        <f t="shared" si="60"/>
        <v>0.8295052393904313</v>
      </c>
      <c r="AA49" s="19">
        <f t="shared" si="61"/>
        <v>0.99999508813634663</v>
      </c>
      <c r="AB49" s="19">
        <f t="shared" si="62"/>
        <v>1.9948044648947718</v>
      </c>
      <c r="AC49" s="19">
        <f t="shared" si="63"/>
        <v>8.5135011081841313E-12</v>
      </c>
      <c r="AD49" s="19">
        <f t="shared" si="64"/>
        <v>8.5135011077147758E-12</v>
      </c>
      <c r="AE49" s="19">
        <f t="shared" si="65"/>
        <v>0.99999999999788702</v>
      </c>
      <c r="AF49" s="19">
        <f t="shared" si="66"/>
        <v>1.9948044648947718</v>
      </c>
      <c r="AG49" s="122">
        <f t="shared" si="67"/>
        <v>1.5058460830975407E-2</v>
      </c>
      <c r="AH49" s="122">
        <f t="shared" si="68"/>
        <v>3.5028422993110359E-4</v>
      </c>
      <c r="AI49" s="122" t="str">
        <f t="shared" si="69"/>
        <v/>
      </c>
      <c r="AJ49" s="122" t="str">
        <f t="shared" si="70"/>
        <v/>
      </c>
      <c r="AK49" s="122" t="str">
        <f t="shared" si="71"/>
        <v/>
      </c>
      <c r="AL49" s="122" t="str">
        <f t="shared" si="72"/>
        <v/>
      </c>
      <c r="AM49" s="122" t="str">
        <f t="shared" si="73"/>
        <v/>
      </c>
      <c r="AN49" s="122" t="str">
        <f t="shared" si="81"/>
        <v/>
      </c>
      <c r="AO49" s="122">
        <f t="shared" si="74"/>
        <v>2.2387392356817785E-14</v>
      </c>
      <c r="AP49" s="122" t="str">
        <f t="shared" si="75"/>
        <v/>
      </c>
      <c r="AQ49" s="130">
        <f t="shared" si="76"/>
        <v>2.6608997105754366E-2</v>
      </c>
      <c r="AR49" s="122">
        <f t="shared" si="77"/>
        <v>2.6608997105754366E-2</v>
      </c>
      <c r="AS49" s="1001"/>
      <c r="AT49" s="442">
        <v>2.6608997105407484E-2</v>
      </c>
      <c r="AU49" s="131">
        <f t="shared" si="78"/>
        <v>0.85640316977564213</v>
      </c>
      <c r="AV49" s="17"/>
      <c r="AW49" s="124">
        <f t="shared" si="79"/>
        <v>-5.06259783831986E-3</v>
      </c>
      <c r="AX49" s="16"/>
      <c r="AY49" s="26"/>
      <c r="AZ49" s="1000"/>
      <c r="BA49" s="1000"/>
    </row>
    <row r="50" spans="1:53">
      <c r="A50" s="6">
        <v>5.8992317426600493</v>
      </c>
      <c r="B50" s="508">
        <v>4.126329174600178</v>
      </c>
      <c r="C50" s="124">
        <v>4.1369204521179199</v>
      </c>
      <c r="D50" s="123">
        <f t="shared" si="39"/>
        <v>8.7755099352263574E-5</v>
      </c>
      <c r="E50" s="123">
        <f t="shared" si="80"/>
        <v>0.27261102838781448</v>
      </c>
      <c r="F50" s="124">
        <f t="shared" si="40"/>
        <v>1.0591277517741915E-2</v>
      </c>
      <c r="G50" s="122">
        <f t="shared" si="41"/>
        <v>2.2159947460310146E-8</v>
      </c>
      <c r="H50" s="122">
        <f t="shared" si="42"/>
        <v>-1.4886217605661334E-4</v>
      </c>
      <c r="I50" s="123">
        <f t="shared" si="43"/>
        <v>8.4997976164503539E-2</v>
      </c>
      <c r="J50" s="123">
        <f t="shared" si="44"/>
        <v>8.5146838340560152E-2</v>
      </c>
      <c r="K50" s="124">
        <f t="shared" si="45"/>
        <v>0.22777632175641335</v>
      </c>
      <c r="L50" s="124">
        <f t="shared" si="46"/>
        <v>0.77222367824358662</v>
      </c>
      <c r="M50" s="122">
        <f t="shared" si="47"/>
        <v>326.13467034353033</v>
      </c>
      <c r="N50" s="122">
        <f t="shared" si="48"/>
        <v>389511.05583892949</v>
      </c>
      <c r="O50" s="122">
        <f t="shared" si="49"/>
        <v>51353996.387249008</v>
      </c>
      <c r="P50" s="122">
        <f t="shared" si="50"/>
        <v>4.6397310077977689</v>
      </c>
      <c r="Q50" s="122">
        <f t="shared" si="51"/>
        <v>153912.95769112161</v>
      </c>
      <c r="R50" s="122">
        <f t="shared" si="52"/>
        <v>142218755.29157123</v>
      </c>
      <c r="S50" s="122">
        <f t="shared" si="53"/>
        <v>1.0000000000063689</v>
      </c>
      <c r="T50" s="122">
        <f t="shared" si="54"/>
        <v>1.0000000000063689</v>
      </c>
      <c r="U50" s="122">
        <f t="shared" si="55"/>
        <v>354053823314.02094</v>
      </c>
      <c r="V50" s="122">
        <f t="shared" si="56"/>
        <v>142218755.29157123</v>
      </c>
      <c r="W50" s="19">
        <f t="shared" si="57"/>
        <v>1.7962237263667566</v>
      </c>
      <c r="X50" s="19">
        <f t="shared" si="58"/>
        <v>1.0192647771351255</v>
      </c>
      <c r="Y50" s="19">
        <f t="shared" si="59"/>
        <v>1.4450012574769584</v>
      </c>
      <c r="Z50" s="19">
        <f t="shared" si="60"/>
        <v>0.78447026383224616</v>
      </c>
      <c r="AA50" s="19">
        <f t="shared" si="61"/>
        <v>0.99999350282123745</v>
      </c>
      <c r="AB50" s="19">
        <f t="shared" si="62"/>
        <v>1.9930671752444611</v>
      </c>
      <c r="AC50" s="19">
        <f t="shared" si="63"/>
        <v>6.3689723694610397E-12</v>
      </c>
      <c r="AD50" s="19">
        <f t="shared" si="64"/>
        <v>6.3689723692582553E-12</v>
      </c>
      <c r="AE50" s="19">
        <f t="shared" si="65"/>
        <v>0.99999999999717559</v>
      </c>
      <c r="AF50" s="19">
        <f t="shared" si="66"/>
        <v>1.9930671752444611</v>
      </c>
      <c r="AG50" s="122">
        <f t="shared" si="67"/>
        <v>1.6731206254460632E-2</v>
      </c>
      <c r="AH50" s="122">
        <f t="shared" si="68"/>
        <v>2.61109841136064E-4</v>
      </c>
      <c r="AI50" s="122" t="str">
        <f t="shared" si="69"/>
        <v/>
      </c>
      <c r="AJ50" s="122" t="str">
        <f t="shared" si="70"/>
        <v/>
      </c>
      <c r="AK50" s="122" t="str">
        <f t="shared" si="71"/>
        <v/>
      </c>
      <c r="AL50" s="122" t="str">
        <f t="shared" si="72"/>
        <v/>
      </c>
      <c r="AM50" s="122" t="str">
        <f t="shared" si="73"/>
        <v/>
      </c>
      <c r="AN50" s="122" t="str">
        <f t="shared" si="81"/>
        <v/>
      </c>
      <c r="AO50" s="122">
        <f t="shared" si="74"/>
        <v>3.2166906096985108E-14</v>
      </c>
      <c r="AP50" s="122" t="str">
        <f t="shared" si="75"/>
        <v/>
      </c>
      <c r="AQ50" s="130">
        <f t="shared" si="76"/>
        <v>2.8960947888210506E-2</v>
      </c>
      <c r="AR50" s="122">
        <f t="shared" si="77"/>
        <v>2.8960947888210506E-2</v>
      </c>
      <c r="AS50" s="1001"/>
      <c r="AT50" s="442">
        <v>2.8960947887495821E-2</v>
      </c>
      <c r="AU50" s="131">
        <f t="shared" si="78"/>
        <v>0.85191931172086932</v>
      </c>
      <c r="AV50" s="17"/>
      <c r="AW50" s="124">
        <f t="shared" si="79"/>
        <v>1.0591277517741915E-2</v>
      </c>
      <c r="AX50" s="16"/>
      <c r="AY50" s="26"/>
      <c r="AZ50" s="1000"/>
      <c r="BA50" s="1000"/>
    </row>
    <row r="51" spans="1:53">
      <c r="A51" s="6">
        <v>6.4320653895265423</v>
      </c>
      <c r="B51" s="508">
        <v>4.2904112158044843</v>
      </c>
      <c r="C51" s="124">
        <v>4.2750144004821777</v>
      </c>
      <c r="D51" s="123">
        <f t="shared" si="39"/>
        <v>6.0552287799569982E-5</v>
      </c>
      <c r="E51" s="123">
        <f t="shared" si="80"/>
        <v>0.26303553612373054</v>
      </c>
      <c r="F51" s="124">
        <f t="shared" si="40"/>
        <v>-1.5396815322306523E-2</v>
      </c>
      <c r="G51" s="122">
        <f t="shared" si="41"/>
        <v>4.688709877605285E-8</v>
      </c>
      <c r="H51" s="122">
        <f t="shared" si="42"/>
        <v>2.1653429006984748E-4</v>
      </c>
      <c r="I51" s="123">
        <f t="shared" si="43"/>
        <v>8.328453527562206E-2</v>
      </c>
      <c r="J51" s="123">
        <f t="shared" si="44"/>
        <v>8.3068000985552212E-2</v>
      </c>
      <c r="K51" s="124">
        <f t="shared" si="45"/>
        <v>0.24334327623429639</v>
      </c>
      <c r="L51" s="124">
        <f t="shared" si="46"/>
        <v>0.75665672376570359</v>
      </c>
      <c r="M51" s="122">
        <f t="shared" si="47"/>
        <v>161.13339385989275</v>
      </c>
      <c r="N51" s="122">
        <f t="shared" si="48"/>
        <v>263570.25406864652</v>
      </c>
      <c r="O51" s="122">
        <f t="shared" si="49"/>
        <v>29588404.353117697</v>
      </c>
      <c r="P51" s="122">
        <f t="shared" si="50"/>
        <v>3.4776902509002134</v>
      </c>
      <c r="Q51" s="122">
        <f t="shared" si="51"/>
        <v>106202.47691357654</v>
      </c>
      <c r="R51" s="122">
        <f t="shared" si="52"/>
        <v>65229142.696007952</v>
      </c>
      <c r="S51" s="122">
        <f t="shared" si="53"/>
        <v>1.0000000000043356</v>
      </c>
      <c r="T51" s="122">
        <f t="shared" si="54"/>
        <v>1.0000000000043356</v>
      </c>
      <c r="U51" s="122">
        <f t="shared" si="55"/>
        <v>241016631295.24307</v>
      </c>
      <c r="V51" s="122">
        <f t="shared" si="56"/>
        <v>65229142.696007952</v>
      </c>
      <c r="W51" s="19">
        <f t="shared" si="57"/>
        <v>1.6800569821135583</v>
      </c>
      <c r="X51" s="19">
        <f t="shared" si="58"/>
        <v>1.0133708173682163</v>
      </c>
      <c r="Y51" s="19">
        <f t="shared" si="59"/>
        <v>1.353092825250553</v>
      </c>
      <c r="Z51" s="19">
        <f t="shared" si="60"/>
        <v>0.7124528270621151</v>
      </c>
      <c r="AA51" s="19">
        <f t="shared" si="61"/>
        <v>0.99999058402375296</v>
      </c>
      <c r="AB51" s="19">
        <f t="shared" si="62"/>
        <v>1.9898486661988615</v>
      </c>
      <c r="AC51" s="19">
        <f t="shared" si="63"/>
        <v>4.3355786060814941E-12</v>
      </c>
      <c r="AD51" s="19">
        <f t="shared" si="64"/>
        <v>4.3355786060148777E-12</v>
      </c>
      <c r="AE51" s="19">
        <f t="shared" si="65"/>
        <v>0.99999999999585087</v>
      </c>
      <c r="AF51" s="19">
        <f t="shared" si="66"/>
        <v>1.9898486661988615</v>
      </c>
      <c r="AG51" s="122">
        <f t="shared" si="67"/>
        <v>1.9320734175881565E-2</v>
      </c>
      <c r="AH51" s="122">
        <f t="shared" si="68"/>
        <v>1.7762481981742771E-4</v>
      </c>
      <c r="AI51" s="122" t="str">
        <f t="shared" si="69"/>
        <v/>
      </c>
      <c r="AJ51" s="122" t="str">
        <f t="shared" si="70"/>
        <v/>
      </c>
      <c r="AK51" s="122" t="str">
        <f t="shared" si="71"/>
        <v/>
      </c>
      <c r="AL51" s="122" t="str">
        <f t="shared" si="72"/>
        <v/>
      </c>
      <c r="AM51" s="122" t="str">
        <f t="shared" si="73"/>
        <v/>
      </c>
      <c r="AN51" s="122" t="str">
        <f t="shared" si="81"/>
        <v/>
      </c>
      <c r="AO51" s="122">
        <f t="shared" si="74"/>
        <v>5.0482673109849255E-14</v>
      </c>
      <c r="AP51" s="122" t="str">
        <f t="shared" si="75"/>
        <v/>
      </c>
      <c r="AQ51" s="130">
        <f t="shared" si="76"/>
        <v>3.2220933272262442E-2</v>
      </c>
      <c r="AR51" s="122">
        <f t="shared" si="77"/>
        <v>3.2220933272262442E-2</v>
      </c>
      <c r="AS51" s="1001"/>
      <c r="AT51" s="442">
        <v>3.222093327072087E-2</v>
      </c>
      <c r="AU51" s="131">
        <f t="shared" si="78"/>
        <v>0.84617117672426978</v>
      </c>
      <c r="AV51" s="17"/>
      <c r="AW51" s="124">
        <f t="shared" si="79"/>
        <v>-1.5396815322306523E-2</v>
      </c>
      <c r="AX51" s="16"/>
      <c r="AY51" s="26"/>
      <c r="AZ51" s="1000"/>
      <c r="BA51" s="1000"/>
    </row>
    <row r="52" spans="1:53">
      <c r="A52" s="6">
        <v>6.9767121531185694</v>
      </c>
      <c r="B52" s="508">
        <v>4.4092143226863287</v>
      </c>
      <c r="C52" s="124">
        <v>4.4148745536804199</v>
      </c>
      <c r="D52" s="123">
        <f t="shared" si="39"/>
        <v>4.6294698344884552E-5</v>
      </c>
      <c r="E52" s="123">
        <f t="shared" si="80"/>
        <v>0.22015720444589365</v>
      </c>
      <c r="F52" s="124">
        <f t="shared" si="40"/>
        <v>5.6602309940911866E-3</v>
      </c>
      <c r="G52" s="122">
        <f t="shared" si="41"/>
        <v>6.2407713832314693E-9</v>
      </c>
      <c r="H52" s="122">
        <f t="shared" si="42"/>
        <v>-7.899855304517589E-5</v>
      </c>
      <c r="I52" s="123">
        <f t="shared" si="43"/>
        <v>8.1603060812104472E-2</v>
      </c>
      <c r="J52" s="123">
        <f t="shared" si="44"/>
        <v>8.1682059365149648E-2</v>
      </c>
      <c r="K52" s="124">
        <f t="shared" si="45"/>
        <v>0.25861980931994505</v>
      </c>
      <c r="L52" s="124">
        <f t="shared" si="46"/>
        <v>0.7413801906800549</v>
      </c>
      <c r="M52" s="122">
        <f t="shared" si="47"/>
        <v>99.481415966218009</v>
      </c>
      <c r="N52" s="122">
        <f t="shared" si="48"/>
        <v>198847.52198735802</v>
      </c>
      <c r="O52" s="122">
        <f t="shared" si="49"/>
        <v>20263638.886826813</v>
      </c>
      <c r="P52" s="122">
        <f t="shared" si="50"/>
        <v>2.8751676240585136</v>
      </c>
      <c r="Q52" s="122">
        <f t="shared" si="51"/>
        <v>81196.368765739055</v>
      </c>
      <c r="R52" s="122">
        <f t="shared" si="52"/>
        <v>37105175.899183922</v>
      </c>
      <c r="S52" s="122">
        <f t="shared" si="53"/>
        <v>1.0000000000032812</v>
      </c>
      <c r="T52" s="122">
        <f t="shared" si="54"/>
        <v>1.0000000000032812</v>
      </c>
      <c r="U52" s="122">
        <f t="shared" si="55"/>
        <v>182406410042.93634</v>
      </c>
      <c r="V52" s="122">
        <f t="shared" si="56"/>
        <v>37105175.899183922</v>
      </c>
      <c r="W52" s="19">
        <f t="shared" si="57"/>
        <v>1.5918712103079815</v>
      </c>
      <c r="X52" s="19">
        <f t="shared" si="58"/>
        <v>1.0102526988444398</v>
      </c>
      <c r="Y52" s="19">
        <f t="shared" si="59"/>
        <v>1.2923287427818828</v>
      </c>
      <c r="Z52" s="19">
        <f t="shared" si="60"/>
        <v>0.65219419152041447</v>
      </c>
      <c r="AA52" s="19">
        <f t="shared" si="61"/>
        <v>0.99998768417830497</v>
      </c>
      <c r="AB52" s="19">
        <f t="shared" si="62"/>
        <v>1.9866304684739589</v>
      </c>
      <c r="AC52" s="19">
        <f t="shared" si="63"/>
        <v>3.2812561614034565E-12</v>
      </c>
      <c r="AD52" s="19">
        <f t="shared" si="64"/>
        <v>3.2812561613736873E-12</v>
      </c>
      <c r="AE52" s="19">
        <f t="shared" si="65"/>
        <v>0.99999999999451772</v>
      </c>
      <c r="AF52" s="19">
        <f t="shared" si="66"/>
        <v>1.9866304684739589</v>
      </c>
      <c r="AG52" s="122">
        <f t="shared" si="67"/>
        <v>2.1240933285301258E-2</v>
      </c>
      <c r="AH52" s="122">
        <f t="shared" si="68"/>
        <v>1.3350742370107278E-4</v>
      </c>
      <c r="AI52" s="122" t="str">
        <f t="shared" si="69"/>
        <v/>
      </c>
      <c r="AJ52" s="122" t="str">
        <f t="shared" si="70"/>
        <v/>
      </c>
      <c r="AK52" s="122" t="str">
        <f t="shared" si="71"/>
        <v/>
      </c>
      <c r="AL52" s="122" t="str">
        <f t="shared" si="72"/>
        <v/>
      </c>
      <c r="AM52" s="122" t="str">
        <f t="shared" si="73"/>
        <v/>
      </c>
      <c r="AN52" s="122" t="str">
        <f t="shared" si="81"/>
        <v/>
      </c>
      <c r="AO52" s="122">
        <f t="shared" si="74"/>
        <v>7.0891096770960231E-14</v>
      </c>
      <c r="AP52" s="122" t="str">
        <f t="shared" si="75"/>
        <v/>
      </c>
      <c r="AQ52" s="130">
        <f t="shared" si="76"/>
        <v>3.4843110571192229E-2</v>
      </c>
      <c r="AR52" s="122">
        <f t="shared" si="77"/>
        <v>3.4843110571192229E-2</v>
      </c>
      <c r="AS52" s="1001"/>
      <c r="AT52" s="442">
        <v>3.4843110569135499E-2</v>
      </c>
      <c r="AU52" s="131">
        <f t="shared" si="78"/>
        <v>0.84188819279190141</v>
      </c>
      <c r="AV52" s="17"/>
      <c r="AW52" s="124">
        <f t="shared" si="79"/>
        <v>5.6602309940911866E-3</v>
      </c>
      <c r="AX52" s="16"/>
      <c r="AY52" s="26"/>
      <c r="AZ52" s="1000"/>
      <c r="BA52" s="1000"/>
    </row>
    <row r="53" spans="1:53">
      <c r="A53" s="6">
        <v>7.5253937233355828</v>
      </c>
      <c r="B53" s="508">
        <v>4.5311235098191993</v>
      </c>
      <c r="C53" s="124">
        <v>4.5546164512634277</v>
      </c>
      <c r="D53" s="123">
        <f t="shared" si="39"/>
        <v>3.5139005475333345E-5</v>
      </c>
      <c r="E53" s="123">
        <f t="shared" si="80"/>
        <v>0.23631333186498227</v>
      </c>
      <c r="F53" s="124">
        <f t="shared" si="40"/>
        <v>2.3492941444228421E-2</v>
      </c>
      <c r="G53" s="122">
        <f t="shared" si="41"/>
        <v>1.0283876577828445E-7</v>
      </c>
      <c r="H53" s="122">
        <f t="shared" si="42"/>
        <v>-3.206848387097283E-4</v>
      </c>
      <c r="I53" s="123">
        <f t="shared" si="43"/>
        <v>7.9976413942274546E-2</v>
      </c>
      <c r="J53" s="123">
        <f t="shared" si="44"/>
        <v>8.0297098780984275E-2</v>
      </c>
      <c r="K53" s="124">
        <f t="shared" si="45"/>
        <v>0.27339822270936948</v>
      </c>
      <c r="L53" s="124">
        <f t="shared" si="46"/>
        <v>0.72660177729063047</v>
      </c>
      <c r="M53" s="122">
        <f t="shared" si="47"/>
        <v>62.381081049645218</v>
      </c>
      <c r="N53" s="122">
        <f t="shared" si="48"/>
        <v>149062.87735055597</v>
      </c>
      <c r="O53" s="122">
        <f t="shared" si="49"/>
        <v>13981423.197381012</v>
      </c>
      <c r="P53" s="122">
        <f t="shared" si="50"/>
        <v>2.4091704082772396</v>
      </c>
      <c r="Q53" s="122">
        <f t="shared" si="51"/>
        <v>61630.616557298032</v>
      </c>
      <c r="R53" s="122">
        <f t="shared" si="52"/>
        <v>20838305.340314947</v>
      </c>
      <c r="S53" s="122">
        <f t="shared" si="53"/>
        <v>1.0000000000024658</v>
      </c>
      <c r="T53" s="122">
        <f t="shared" si="54"/>
        <v>1.0000000000024658</v>
      </c>
      <c r="U53" s="122">
        <f t="shared" si="55"/>
        <v>137076660249.03351</v>
      </c>
      <c r="V53" s="122">
        <f t="shared" si="56"/>
        <v>20838305.340314947</v>
      </c>
      <c r="W53" s="19">
        <f t="shared" si="57"/>
        <v>1.4994869523205954</v>
      </c>
      <c r="X53" s="19">
        <f t="shared" si="58"/>
        <v>1.0077984814354126</v>
      </c>
      <c r="Y53" s="19">
        <f t="shared" si="59"/>
        <v>1.2368915479854414</v>
      </c>
      <c r="Z53" s="19">
        <f t="shared" si="60"/>
        <v>0.58491935789835448</v>
      </c>
      <c r="AA53" s="19">
        <f t="shared" si="61"/>
        <v>0.99998377429829755</v>
      </c>
      <c r="AB53" s="19">
        <f t="shared" si="62"/>
        <v>1.9822875955848527</v>
      </c>
      <c r="AC53" s="19">
        <f t="shared" si="63"/>
        <v>2.4658323459325008E-12</v>
      </c>
      <c r="AD53" s="19">
        <f t="shared" si="64"/>
        <v>2.4658323459194833E-12</v>
      </c>
      <c r="AE53" s="19">
        <f t="shared" si="65"/>
        <v>0.99999999999270484</v>
      </c>
      <c r="AF53" s="19">
        <f t="shared" si="66"/>
        <v>1.9822875955848527</v>
      </c>
      <c r="AG53" s="122">
        <f t="shared" si="67"/>
        <v>2.3290148363935722E-2</v>
      </c>
      <c r="AH53" s="122">
        <f t="shared" si="68"/>
        <v>9.9598650258374711E-5</v>
      </c>
      <c r="AI53" s="122" t="str">
        <f t="shared" si="69"/>
        <v/>
      </c>
      <c r="AJ53" s="122" t="str">
        <f t="shared" si="70"/>
        <v/>
      </c>
      <c r="AK53" s="122" t="str">
        <f t="shared" si="71"/>
        <v/>
      </c>
      <c r="AL53" s="122" t="str">
        <f t="shared" si="72"/>
        <v/>
      </c>
      <c r="AM53" s="122" t="str">
        <f t="shared" si="73"/>
        <v/>
      </c>
      <c r="AN53" s="122" t="str">
        <f t="shared" si="81"/>
        <v/>
      </c>
      <c r="AO53" s="122">
        <f t="shared" si="74"/>
        <v>9.972457098556177E-14</v>
      </c>
      <c r="AP53" s="122" t="str">
        <f t="shared" si="75"/>
        <v/>
      </c>
      <c r="AQ53" s="130">
        <f t="shared" si="76"/>
        <v>3.758150314695137E-2</v>
      </c>
      <c r="AR53" s="122">
        <f t="shared" si="77"/>
        <v>3.758150314695137E-2</v>
      </c>
      <c r="AS53" s="1001"/>
      <c r="AT53" s="442">
        <v>3.7581503144585492E-2</v>
      </c>
      <c r="AU53" s="131">
        <f t="shared" si="78"/>
        <v>0.83769712416994047</v>
      </c>
      <c r="AV53" s="17"/>
      <c r="AW53" s="124">
        <f t="shared" si="79"/>
        <v>2.3492941444228421E-2</v>
      </c>
      <c r="AX53" s="16"/>
      <c r="AY53" s="26"/>
      <c r="AZ53" s="1000"/>
      <c r="BA53" s="1000"/>
    </row>
    <row r="54" spans="1:53">
      <c r="A54" s="6">
        <v>8.0660327701480128</v>
      </c>
      <c r="B54" s="508">
        <v>4.666521685185482</v>
      </c>
      <c r="C54" s="124">
        <v>4.6936049461364746</v>
      </c>
      <c r="D54" s="123">
        <f t="shared" si="39"/>
        <v>2.5860496742139494E-5</v>
      </c>
      <c r="E54" s="123">
        <f t="shared" si="80"/>
        <v>0.30919147879390374</v>
      </c>
      <c r="F54" s="124">
        <f t="shared" si="40"/>
        <v>2.708326095099256E-2</v>
      </c>
      <c r="G54" s="122">
        <f t="shared" si="41"/>
        <v>1.2572585444701205E-7</v>
      </c>
      <c r="H54" s="122">
        <f t="shared" si="42"/>
        <v>-3.5457841790922928E-4</v>
      </c>
      <c r="I54" s="123">
        <f t="shared" si="43"/>
        <v>7.8435819567738749E-2</v>
      </c>
      <c r="J54" s="123">
        <f t="shared" si="44"/>
        <v>7.8790397985647978E-2</v>
      </c>
      <c r="K54" s="124">
        <f t="shared" si="45"/>
        <v>0.28739483190254517</v>
      </c>
      <c r="L54" s="124">
        <f t="shared" si="46"/>
        <v>0.71260516809745478</v>
      </c>
      <c r="M54" s="122">
        <f t="shared" si="47"/>
        <v>38.448675811120367</v>
      </c>
      <c r="N54" s="122">
        <f t="shared" si="48"/>
        <v>108350.48219624491</v>
      </c>
      <c r="O54" s="122">
        <f t="shared" si="49"/>
        <v>9430444.2257873844</v>
      </c>
      <c r="P54" s="122">
        <f t="shared" si="50"/>
        <v>2.0264073819732591</v>
      </c>
      <c r="Q54" s="122">
        <f t="shared" si="51"/>
        <v>45357.221003980834</v>
      </c>
      <c r="R54" s="122">
        <f t="shared" si="52"/>
        <v>11013945.957404939</v>
      </c>
      <c r="S54" s="122">
        <f t="shared" si="53"/>
        <v>1.0000000000017961</v>
      </c>
      <c r="T54" s="122">
        <f t="shared" si="54"/>
        <v>1.0000000000017961</v>
      </c>
      <c r="U54" s="122">
        <f t="shared" si="55"/>
        <v>99843493128.866913</v>
      </c>
      <c r="V54" s="122">
        <f t="shared" si="56"/>
        <v>11013945.957404939</v>
      </c>
      <c r="W54" s="19">
        <f t="shared" si="57"/>
        <v>1.3969178416864148</v>
      </c>
      <c r="X54" s="19">
        <f t="shared" si="58"/>
        <v>1.0057468369068081</v>
      </c>
      <c r="Y54" s="19">
        <f t="shared" si="59"/>
        <v>1.1844123648543037</v>
      </c>
      <c r="Z54" s="19">
        <f t="shared" si="60"/>
        <v>0.50651581271569002</v>
      </c>
      <c r="AA54" s="19">
        <f t="shared" si="61"/>
        <v>0.99997795279389112</v>
      </c>
      <c r="AB54" s="19">
        <f t="shared" si="62"/>
        <v>1.9758418877886179</v>
      </c>
      <c r="AC54" s="19">
        <f t="shared" si="63"/>
        <v>1.7960556514215507E-12</v>
      </c>
      <c r="AD54" s="19">
        <f t="shared" si="64"/>
        <v>1.7960556514163619E-12</v>
      </c>
      <c r="AE54" s="19">
        <f t="shared" si="65"/>
        <v>0.99999999998998435</v>
      </c>
      <c r="AF54" s="19">
        <f t="shared" si="66"/>
        <v>1.9758418877886179</v>
      </c>
      <c r="AG54" s="122">
        <f t="shared" si="67"/>
        <v>2.5646879306486882E-2</v>
      </c>
      <c r="AH54" s="122">
        <f t="shared" si="68"/>
        <v>7.2089322095756202E-5</v>
      </c>
      <c r="AI54" s="122" t="str">
        <f t="shared" si="69"/>
        <v/>
      </c>
      <c r="AJ54" s="122" t="str">
        <f t="shared" si="70"/>
        <v/>
      </c>
      <c r="AK54" s="122" t="str">
        <f t="shared" si="71"/>
        <v/>
      </c>
      <c r="AL54" s="122" t="str">
        <f t="shared" si="72"/>
        <v/>
      </c>
      <c r="AM54" s="122" t="str">
        <f t="shared" si="73"/>
        <v/>
      </c>
      <c r="AN54" s="122" t="str">
        <f t="shared" si="81"/>
        <v/>
      </c>
      <c r="AO54" s="122">
        <f t="shared" si="74"/>
        <v>1.4392266481081937E-13</v>
      </c>
      <c r="AP54" s="122" t="str">
        <f t="shared" si="75"/>
        <v/>
      </c>
      <c r="AQ54" s="130">
        <f t="shared" si="76"/>
        <v>4.0596202032023909E-2</v>
      </c>
      <c r="AR54" s="122">
        <f t="shared" si="77"/>
        <v>4.0596202032023909E-2</v>
      </c>
      <c r="AS54" s="1001"/>
      <c r="AT54" s="442">
        <v>4.0596202029547182E-2</v>
      </c>
      <c r="AU54" s="131">
        <f t="shared" si="78"/>
        <v>0.83337688801985199</v>
      </c>
      <c r="AV54" s="17"/>
      <c r="AW54" s="124">
        <f t="shared" si="79"/>
        <v>2.708326095099256E-2</v>
      </c>
      <c r="AX54" s="16"/>
      <c r="AY54" s="26"/>
      <c r="AZ54" s="1000"/>
      <c r="BA54" s="1000"/>
    </row>
    <row r="55" spans="1:53">
      <c r="A55" s="6">
        <v>8.5878766272799112</v>
      </c>
      <c r="B55" s="508">
        <v>4.8585299434066762</v>
      </c>
      <c r="C55" s="124">
        <v>4.8298306465148926</v>
      </c>
      <c r="D55" s="123">
        <f t="shared" si="39"/>
        <v>1.6730397544462851E-5</v>
      </c>
      <c r="E55" s="123">
        <f t="shared" si="80"/>
        <v>0.27436846030679235</v>
      </c>
      <c r="F55" s="124">
        <f t="shared" si="40"/>
        <v>-2.8699296891783632E-2</v>
      </c>
      <c r="G55" s="122">
        <f t="shared" si="41"/>
        <v>1.236077863129581E-7</v>
      </c>
      <c r="H55" s="122">
        <f t="shared" si="42"/>
        <v>3.5157899014724714E-4</v>
      </c>
      <c r="I55" s="123">
        <f t="shared" si="43"/>
        <v>7.7004050039900782E-2</v>
      </c>
      <c r="J55" s="123">
        <f t="shared" si="44"/>
        <v>7.6652471049753534E-2</v>
      </c>
      <c r="K55" s="124">
        <f t="shared" si="45"/>
        <v>0.30040274551503243</v>
      </c>
      <c r="L55" s="124">
        <f t="shared" si="46"/>
        <v>0.69959725448496757</v>
      </c>
      <c r="M55" s="122">
        <f t="shared" si="47"/>
        <v>20.575702243937837</v>
      </c>
      <c r="N55" s="122">
        <f t="shared" si="48"/>
        <v>69034.11180635108</v>
      </c>
      <c r="O55" s="122">
        <f t="shared" si="49"/>
        <v>5545268.1129586026</v>
      </c>
      <c r="P55" s="122">
        <f t="shared" si="50"/>
        <v>1.6552904707488656</v>
      </c>
      <c r="Q55" s="122">
        <f t="shared" si="51"/>
        <v>29344.118041294671</v>
      </c>
      <c r="R55" s="122">
        <f t="shared" si="52"/>
        <v>4490734.894892144</v>
      </c>
      <c r="S55" s="122">
        <f t="shared" si="53"/>
        <v>1.0000000000011466</v>
      </c>
      <c r="T55" s="122">
        <f t="shared" si="54"/>
        <v>1.0000000000011466</v>
      </c>
      <c r="U55" s="122">
        <f t="shared" si="55"/>
        <v>63743198619.845848</v>
      </c>
      <c r="V55" s="122">
        <f t="shared" si="56"/>
        <v>4490734.894892144</v>
      </c>
      <c r="W55" s="19">
        <f t="shared" si="57"/>
        <v>1.2558150930629275</v>
      </c>
      <c r="X55" s="19">
        <f t="shared" si="58"/>
        <v>1.0037169536246338</v>
      </c>
      <c r="Y55" s="19">
        <f t="shared" si="59"/>
        <v>1.1261456058166692</v>
      </c>
      <c r="Z55" s="19">
        <f t="shared" si="60"/>
        <v>0.39587642309836252</v>
      </c>
      <c r="AA55" s="19">
        <f t="shared" si="61"/>
        <v>0.99996592162018316</v>
      </c>
      <c r="AB55" s="19">
        <f t="shared" si="62"/>
        <v>1.9626707548539066</v>
      </c>
      <c r="AC55" s="19">
        <f t="shared" si="63"/>
        <v>1.1466578986953682E-12</v>
      </c>
      <c r="AD55" s="19">
        <f t="shared" si="64"/>
        <v>1.1466578986939633E-12</v>
      </c>
      <c r="AE55" s="19">
        <f t="shared" si="65"/>
        <v>0.9999999999843121</v>
      </c>
      <c r="AF55" s="19">
        <f t="shared" si="66"/>
        <v>1.9626707548539066</v>
      </c>
      <c r="AG55" s="122">
        <f t="shared" si="67"/>
        <v>2.9182933876408676E-2</v>
      </c>
      <c r="AH55" s="122">
        <f t="shared" si="68"/>
        <v>4.5984085325014854E-5</v>
      </c>
      <c r="AI55" s="122" t="str">
        <f t="shared" si="69"/>
        <v/>
      </c>
      <c r="AJ55" s="122" t="str">
        <f t="shared" si="70"/>
        <v/>
      </c>
      <c r="AK55" s="122" t="str">
        <f t="shared" si="71"/>
        <v/>
      </c>
      <c r="AL55" s="122" t="str">
        <f t="shared" si="72"/>
        <v/>
      </c>
      <c r="AM55" s="122" t="str">
        <f t="shared" si="73"/>
        <v/>
      </c>
      <c r="AN55" s="122" t="str">
        <f t="shared" si="81"/>
        <v/>
      </c>
      <c r="AO55" s="122">
        <f t="shared" si="74"/>
        <v>2.356351359982623E-13</v>
      </c>
      <c r="AP55" s="122" t="str">
        <f t="shared" si="75"/>
        <v/>
      </c>
      <c r="AQ55" s="130">
        <f t="shared" si="76"/>
        <v>4.4742954324700261E-2</v>
      </c>
      <c r="AR55" s="122">
        <f t="shared" si="77"/>
        <v>4.4742954324700261E-2</v>
      </c>
      <c r="AS55" s="1001"/>
      <c r="AT55" s="442">
        <v>4.4742954322004126E-2</v>
      </c>
      <c r="AU55" s="131">
        <f t="shared" si="78"/>
        <v>0.8278731468044459</v>
      </c>
      <c r="AV55" s="17"/>
      <c r="AW55" s="124">
        <f t="shared" si="79"/>
        <v>-2.8699296891783632E-2</v>
      </c>
      <c r="AX55" s="16"/>
      <c r="AY55" s="26"/>
      <c r="AZ55" s="1000"/>
      <c r="BA55" s="1000"/>
    </row>
    <row r="56" spans="1:53" ht="12" customHeight="1">
      <c r="A56" s="6">
        <v>9.0860306183458306</v>
      </c>
      <c r="B56" s="508">
        <v>4.9485936682870735</v>
      </c>
      <c r="C56" s="124">
        <v>4.970512866973877</v>
      </c>
      <c r="D56" s="123">
        <f t="shared" si="39"/>
        <v>1.3637151791659962E-5</v>
      </c>
      <c r="E56" s="123">
        <f t="shared" si="80"/>
        <v>0.31300348692797042</v>
      </c>
      <c r="F56" s="124">
        <f t="shared" si="40"/>
        <v>2.1919198686803476E-2</v>
      </c>
      <c r="G56" s="122">
        <f t="shared" si="41"/>
        <v>6.4484119044207647E-8</v>
      </c>
      <c r="H56" s="122">
        <f t="shared" si="42"/>
        <v>-2.5393723445805982E-4</v>
      </c>
      <c r="I56" s="123">
        <f t="shared" si="43"/>
        <v>7.5685208175262822E-2</v>
      </c>
      <c r="J56" s="123">
        <f t="shared" si="44"/>
        <v>7.5939145409720882E-2</v>
      </c>
      <c r="K56" s="124">
        <f t="shared" si="45"/>
        <v>0.31238468863519914</v>
      </c>
      <c r="L56" s="124">
        <f t="shared" si="46"/>
        <v>0.68761531136480092</v>
      </c>
      <c r="M56" s="122">
        <f t="shared" si="47"/>
        <v>15.704230731745499</v>
      </c>
      <c r="N56" s="122">
        <f t="shared" si="48"/>
        <v>55901.135490245855</v>
      </c>
      <c r="O56" s="122">
        <f t="shared" si="49"/>
        <v>4360109.8384216614</v>
      </c>
      <c r="P56" s="122">
        <f t="shared" si="50"/>
        <v>1.5309932359682752</v>
      </c>
      <c r="Q56" s="122">
        <f t="shared" si="51"/>
        <v>23918.934628048843</v>
      </c>
      <c r="R56" s="122">
        <f t="shared" si="52"/>
        <v>2956949.3408988528</v>
      </c>
      <c r="S56" s="122">
        <f t="shared" si="53"/>
        <v>1.0000000000009293</v>
      </c>
      <c r="T56" s="122">
        <f t="shared" si="54"/>
        <v>1.0000000000009293</v>
      </c>
      <c r="U56" s="122">
        <f t="shared" si="55"/>
        <v>51652219614.248596</v>
      </c>
      <c r="V56" s="122">
        <f t="shared" si="56"/>
        <v>2956949.3408988528</v>
      </c>
      <c r="W56" s="19">
        <f t="shared" si="57"/>
        <v>1.192158571259317</v>
      </c>
      <c r="X56" s="19">
        <f t="shared" si="58"/>
        <v>1.0030257425211906</v>
      </c>
      <c r="Y56" s="19">
        <f t="shared" si="59"/>
        <v>1.1047236838541212</v>
      </c>
      <c r="Z56" s="19">
        <f t="shared" si="60"/>
        <v>0.3468292501190896</v>
      </c>
      <c r="AA56" s="19">
        <f t="shared" si="61"/>
        <v>0.99995819211785342</v>
      </c>
      <c r="AB56" s="19">
        <f t="shared" si="62"/>
        <v>1.9543314890704599</v>
      </c>
      <c r="AC56" s="19">
        <f t="shared" si="63"/>
        <v>9.2915678098317832E-13</v>
      </c>
      <c r="AD56" s="19">
        <f t="shared" si="64"/>
        <v>9.2915678098241758E-13</v>
      </c>
      <c r="AE56" s="19">
        <f t="shared" si="65"/>
        <v>0.99999999998063971</v>
      </c>
      <c r="AF56" s="19">
        <f t="shared" si="66"/>
        <v>1.9543314890704599</v>
      </c>
      <c r="AG56" s="122">
        <f t="shared" si="67"/>
        <v>3.0558096033306958E-2</v>
      </c>
      <c r="AH56" s="122">
        <f t="shared" si="68"/>
        <v>3.6938821494650975E-5</v>
      </c>
      <c r="AI56" s="122" t="str">
        <f t="shared" si="69"/>
        <v/>
      </c>
      <c r="AJ56" s="122" t="str">
        <f t="shared" si="70"/>
        <v/>
      </c>
      <c r="AK56" s="122" t="str">
        <f t="shared" si="71"/>
        <v/>
      </c>
      <c r="AL56" s="122" t="str">
        <f t="shared" si="72"/>
        <v/>
      </c>
      <c r="AM56" s="122" t="str">
        <f t="shared" si="73"/>
        <v/>
      </c>
      <c r="AN56" s="122" t="str">
        <f t="shared" si="81"/>
        <v/>
      </c>
      <c r="AO56" s="122">
        <f t="shared" si="74"/>
        <v>3.0239231824708051E-13</v>
      </c>
      <c r="AP56" s="122" t="str">
        <f t="shared" si="75"/>
        <v/>
      </c>
      <c r="AQ56" s="130">
        <f t="shared" si="76"/>
        <v>4.6698306073604368E-2</v>
      </c>
      <c r="AR56" s="122">
        <f t="shared" si="77"/>
        <v>4.6698306073604368E-2</v>
      </c>
      <c r="AS56" s="1001"/>
      <c r="AT56" s="442">
        <v>4.6698306070862713E-2</v>
      </c>
      <c r="AU56" s="131">
        <f t="shared" si="78"/>
        <v>0.82543457678194798</v>
      </c>
      <c r="AV56" s="17"/>
      <c r="AW56" s="124">
        <f t="shared" si="79"/>
        <v>2.1919198686803476E-2</v>
      </c>
      <c r="AX56" s="122"/>
      <c r="AY56" s="26"/>
      <c r="AZ56" s="1000"/>
      <c r="BA56" s="1000"/>
    </row>
    <row r="57" spans="1:53">
      <c r="A57" s="6">
        <v>9.5631117394077592</v>
      </c>
      <c r="B57" s="508">
        <v>5.160995920721752</v>
      </c>
      <c r="C57" s="124">
        <v>5.1053652763366699</v>
      </c>
      <c r="D57" s="123">
        <f t="shared" si="39"/>
        <v>8.4161160650957028E-6</v>
      </c>
      <c r="E57" s="123">
        <f t="shared" si="80"/>
        <v>0.29902155328986063</v>
      </c>
      <c r="F57" s="124">
        <f t="shared" si="40"/>
        <v>-5.5630644385082029E-2</v>
      </c>
      <c r="G57" s="122">
        <f t="shared" si="41"/>
        <v>3.6826131258630634E-7</v>
      </c>
      <c r="H57" s="122">
        <f t="shared" si="42"/>
        <v>6.0684537782396131E-4</v>
      </c>
      <c r="I57" s="123">
        <f t="shared" si="43"/>
        <v>7.4463821729805257E-2</v>
      </c>
      <c r="J57" s="123">
        <f t="shared" si="44"/>
        <v>7.3856976351981296E-2</v>
      </c>
      <c r="K57" s="124">
        <f t="shared" si="45"/>
        <v>0.32348122970627913</v>
      </c>
      <c r="L57" s="124">
        <f t="shared" si="46"/>
        <v>0.67651877029372087</v>
      </c>
      <c r="M57" s="122">
        <f t="shared" si="47"/>
        <v>8.7854940181136829</v>
      </c>
      <c r="N57" s="122">
        <f t="shared" si="48"/>
        <v>34019.404541315605</v>
      </c>
      <c r="O57" s="122">
        <f t="shared" si="49"/>
        <v>2515240.9677136559</v>
      </c>
      <c r="P57" s="122">
        <f t="shared" si="50"/>
        <v>1.3235165051837334</v>
      </c>
      <c r="Q57" s="122">
        <f t="shared" si="51"/>
        <v>14761.861867808557</v>
      </c>
      <c r="R57" s="122">
        <f t="shared" si="52"/>
        <v>1115360.2917771947</v>
      </c>
      <c r="S57" s="122">
        <f t="shared" si="53"/>
        <v>1.0000000000005662</v>
      </c>
      <c r="T57" s="122">
        <f t="shared" si="54"/>
        <v>1.0000000000005662</v>
      </c>
      <c r="U57" s="122">
        <f t="shared" si="55"/>
        <v>31469978227.350231</v>
      </c>
      <c r="V57" s="122">
        <f t="shared" si="56"/>
        <v>1115360.2917771947</v>
      </c>
      <c r="W57" s="19">
        <f t="shared" si="57"/>
        <v>1.0479593216202834</v>
      </c>
      <c r="X57" s="19">
        <f t="shared" si="58"/>
        <v>1.0018511401419228</v>
      </c>
      <c r="Y57" s="19">
        <f t="shared" si="59"/>
        <v>1.0665266136746077</v>
      </c>
      <c r="Z57" s="19">
        <f t="shared" si="60"/>
        <v>0.24443707646760485</v>
      </c>
      <c r="AA57" s="19">
        <f t="shared" si="61"/>
        <v>0.99993225786767581</v>
      </c>
      <c r="AB57" s="19">
        <f t="shared" si="62"/>
        <v>1.9271756388584891</v>
      </c>
      <c r="AC57" s="19">
        <f t="shared" si="63"/>
        <v>5.6610429483983432E-13</v>
      </c>
      <c r="AD57" s="19">
        <f t="shared" si="64"/>
        <v>5.661042948396555E-13</v>
      </c>
      <c r="AE57" s="19">
        <f t="shared" si="65"/>
        <v>0.99999999996822364</v>
      </c>
      <c r="AF57" s="19">
        <f t="shared" si="66"/>
        <v>1.9271756388584891</v>
      </c>
      <c r="AG57" s="122">
        <f t="shared" si="67"/>
        <v>3.4536835077930809E-2</v>
      </c>
      <c r="AH57" s="122">
        <f t="shared" si="68"/>
        <v>2.2672412178174837E-5</v>
      </c>
      <c r="AI57" s="122" t="str">
        <f t="shared" si="69"/>
        <v/>
      </c>
      <c r="AJ57" s="122" t="str">
        <f t="shared" si="70"/>
        <v/>
      </c>
      <c r="AK57" s="122" t="str">
        <f t="shared" si="71"/>
        <v/>
      </c>
      <c r="AL57" s="122" t="str">
        <f t="shared" si="72"/>
        <v/>
      </c>
      <c r="AM57" s="122" t="str">
        <f t="shared" si="73"/>
        <v/>
      </c>
      <c r="AN57" s="122" t="str">
        <f t="shared" si="81"/>
        <v/>
      </c>
      <c r="AO57" s="122">
        <f t="shared" si="74"/>
        <v>5.1395210280944034E-13</v>
      </c>
      <c r="AP57" s="122" t="str">
        <f t="shared" si="75"/>
        <v/>
      </c>
      <c r="AQ57" s="130">
        <f t="shared" si="76"/>
        <v>5.1207294304219747E-2</v>
      </c>
      <c r="AR57" s="122">
        <f t="shared" si="77"/>
        <v>5.1207294304219747E-2</v>
      </c>
      <c r="AS57" s="1001"/>
      <c r="AT57" s="442">
        <v>5.1207294299680226E-2</v>
      </c>
      <c r="AU57" s="131">
        <f t="shared" si="78"/>
        <v>0.82014825113528977</v>
      </c>
      <c r="AV57" s="17"/>
      <c r="AW57" s="124">
        <f t="shared" si="79"/>
        <v>-5.5630644385082029E-2</v>
      </c>
      <c r="AX57" s="16"/>
      <c r="AY57" s="26"/>
      <c r="AZ57" s="1000"/>
      <c r="BA57" s="1000"/>
    </row>
    <row r="58" spans="1:53">
      <c r="A58" s="6">
        <v>10.027885822637472</v>
      </c>
      <c r="B58" s="508">
        <v>5.2320278461258294</v>
      </c>
      <c r="C58" s="124">
        <v>5.2468676567077637</v>
      </c>
      <c r="D58" s="123">
        <f t="shared" si="39"/>
        <v>7.1609640913619838E-6</v>
      </c>
      <c r="E58" s="123">
        <f t="shared" si="80"/>
        <v>0.25898328595919284</v>
      </c>
      <c r="F58" s="124">
        <f t="shared" si="40"/>
        <v>1.4839810581934287E-2</v>
      </c>
      <c r="G58" s="122">
        <f t="shared" si="41"/>
        <v>2.4806915752421992E-8</v>
      </c>
      <c r="H58" s="122">
        <f t="shared" si="42"/>
        <v>-1.5750211348557197E-4</v>
      </c>
      <c r="I58" s="123">
        <f t="shared" si="43"/>
        <v>7.3311264580671567E-2</v>
      </c>
      <c r="J58" s="123">
        <f t="shared" si="44"/>
        <v>7.3468766694157139E-2</v>
      </c>
      <c r="K58" s="124">
        <f t="shared" si="45"/>
        <v>0.33395244280160519</v>
      </c>
      <c r="L58" s="124">
        <f t="shared" si="46"/>
        <v>0.66604755719839481</v>
      </c>
      <c r="M58" s="122">
        <f t="shared" si="47"/>
        <v>7.3570605676116543</v>
      </c>
      <c r="N58" s="122">
        <f t="shared" si="48"/>
        <v>28819.308702959072</v>
      </c>
      <c r="O58" s="122">
        <f t="shared" si="49"/>
        <v>2101069.4157056529</v>
      </c>
      <c r="P58" s="122">
        <f t="shared" si="50"/>
        <v>1.2741402546043592</v>
      </c>
      <c r="Q58" s="122">
        <f t="shared" si="51"/>
        <v>12560.475294228785</v>
      </c>
      <c r="R58" s="122">
        <f t="shared" si="52"/>
        <v>808060.65722797054</v>
      </c>
      <c r="S58" s="122">
        <f t="shared" si="53"/>
        <v>1.0000000000004796</v>
      </c>
      <c r="T58" s="122">
        <f t="shared" si="54"/>
        <v>1.0000000000004796</v>
      </c>
      <c r="U58" s="122">
        <f t="shared" si="55"/>
        <v>26666917160.190037</v>
      </c>
      <c r="V58" s="122">
        <f t="shared" si="56"/>
        <v>808060.65722797054</v>
      </c>
      <c r="W58" s="19">
        <f t="shared" si="57"/>
        <v>1.000787426944445</v>
      </c>
      <c r="X58" s="19">
        <f t="shared" si="58"/>
        <v>1.0015658197266819</v>
      </c>
      <c r="Y58" s="19">
        <f t="shared" si="59"/>
        <v>1.0569512038796822</v>
      </c>
      <c r="Z58" s="19">
        <f t="shared" si="60"/>
        <v>0.21515704696849419</v>
      </c>
      <c r="AA58" s="19">
        <f t="shared" si="61"/>
        <v>0.999920385178381</v>
      </c>
      <c r="AB58" s="19">
        <f t="shared" si="62"/>
        <v>1.9151712950404427</v>
      </c>
      <c r="AC58" s="19">
        <f t="shared" si="63"/>
        <v>4.797034236083161E-13</v>
      </c>
      <c r="AD58" s="19">
        <f t="shared" si="64"/>
        <v>4.7970342360820594E-13</v>
      </c>
      <c r="AE58" s="19">
        <f t="shared" si="65"/>
        <v>0.99999999996250033</v>
      </c>
      <c r="AF58" s="19">
        <f t="shared" si="66"/>
        <v>1.9151712950404427</v>
      </c>
      <c r="AG58" s="122">
        <f t="shared" si="67"/>
        <v>3.5541965869259708E-2</v>
      </c>
      <c r="AH58" s="122">
        <f t="shared" si="68"/>
        <v>1.9110902837486316E-5</v>
      </c>
      <c r="AI58" s="122" t="str">
        <f t="shared" si="69"/>
        <v/>
      </c>
      <c r="AJ58" s="122" t="str">
        <f t="shared" si="70"/>
        <v/>
      </c>
      <c r="AK58" s="122" t="str">
        <f t="shared" si="71"/>
        <v/>
      </c>
      <c r="AL58" s="122" t="str">
        <f t="shared" si="72"/>
        <v/>
      </c>
      <c r="AM58" s="122" t="str">
        <f t="shared" si="73"/>
        <v/>
      </c>
      <c r="AN58" s="122" t="str">
        <f t="shared" si="81"/>
        <v/>
      </c>
      <c r="AO58" s="122">
        <f t="shared" si="74"/>
        <v>6.2615494846203914E-13</v>
      </c>
      <c r="AP58" s="122" t="str">
        <f t="shared" si="75"/>
        <v/>
      </c>
      <c r="AQ58" s="130">
        <f t="shared" si="76"/>
        <v>5.2724529531068112E-2</v>
      </c>
      <c r="AR58" s="122">
        <f t="shared" si="77"/>
        <v>5.2724529531068112E-2</v>
      </c>
      <c r="AS58" s="1001"/>
      <c r="AT58" s="442">
        <v>5.2724529525710259E-2</v>
      </c>
      <c r="AU58" s="131">
        <f t="shared" si="78"/>
        <v>0.81846602802476798</v>
      </c>
      <c r="AV58" s="17"/>
      <c r="AW58" s="124">
        <f t="shared" si="79"/>
        <v>1.4839810581934287E-2</v>
      </c>
      <c r="AX58" s="16"/>
      <c r="AY58" s="26"/>
      <c r="AZ58" s="1000"/>
      <c r="BA58" s="1000"/>
    </row>
    <row r="59" spans="1:53">
      <c r="A59" s="6">
        <v>10.491771616216283</v>
      </c>
      <c r="B59" s="508">
        <v>5.4014090132506976</v>
      </c>
      <c r="C59" s="124">
        <v>5.383450984954834</v>
      </c>
      <c r="D59" s="123">
        <f t="shared" si="39"/>
        <v>4.8721538082218674E-6</v>
      </c>
      <c r="E59" s="123">
        <f t="shared" si="80"/>
        <v>0.30864384222275937</v>
      </c>
      <c r="F59" s="124">
        <f t="shared" si="40"/>
        <v>-1.7958028295863571E-2</v>
      </c>
      <c r="G59" s="122">
        <f t="shared" si="41"/>
        <v>3.5831008668331919E-8</v>
      </c>
      <c r="H59" s="122">
        <f t="shared" si="42"/>
        <v>1.8929080450019731E-4</v>
      </c>
      <c r="I59" s="123">
        <f t="shared" si="43"/>
        <v>7.2195945517669516E-2</v>
      </c>
      <c r="J59" s="123">
        <f t="shared" si="44"/>
        <v>7.2006654713169319E-2</v>
      </c>
      <c r="K59" s="124">
        <f t="shared" si="45"/>
        <v>0.34408534040824634</v>
      </c>
      <c r="L59" s="124">
        <f t="shared" si="46"/>
        <v>0.65591465959175366</v>
      </c>
      <c r="M59" s="122">
        <f t="shared" si="47"/>
        <v>4.9790567600379916</v>
      </c>
      <c r="N59" s="122">
        <f t="shared" si="48"/>
        <v>19406.928522634469</v>
      </c>
      <c r="O59" s="122">
        <f t="shared" si="49"/>
        <v>1375693.3246401292</v>
      </c>
      <c r="P59" s="122">
        <f t="shared" si="50"/>
        <v>1.1846974857372139</v>
      </c>
      <c r="Q59" s="122">
        <f t="shared" si="51"/>
        <v>8546.1755662144151</v>
      </c>
      <c r="R59" s="122">
        <f t="shared" si="52"/>
        <v>378131.69990953914</v>
      </c>
      <c r="S59" s="122">
        <f t="shared" si="53"/>
        <v>1.0000000000003233</v>
      </c>
      <c r="T59" s="122">
        <f t="shared" si="54"/>
        <v>1.0000000000003233</v>
      </c>
      <c r="U59" s="122">
        <f t="shared" si="55"/>
        <v>17966396649.946022</v>
      </c>
      <c r="V59" s="122">
        <f t="shared" si="56"/>
        <v>378131.69990953914</v>
      </c>
      <c r="W59" s="19">
        <f t="shared" si="57"/>
        <v>0.88782289213300014</v>
      </c>
      <c r="X59" s="19">
        <f t="shared" si="58"/>
        <v>1.0010379668245579</v>
      </c>
      <c r="Y59" s="19">
        <f t="shared" si="59"/>
        <v>1.0390959936800934</v>
      </c>
      <c r="Z59" s="19">
        <f t="shared" si="60"/>
        <v>0.15590265697430797</v>
      </c>
      <c r="AA59" s="19">
        <f t="shared" si="61"/>
        <v>0.99988298859621449</v>
      </c>
      <c r="AB59" s="19">
        <f t="shared" si="62"/>
        <v>1.8790580732054032</v>
      </c>
      <c r="AC59" s="19">
        <f t="shared" si="63"/>
        <v>3.2319228696377877E-13</v>
      </c>
      <c r="AD59" s="19">
        <f t="shared" si="64"/>
        <v>3.2319228696374409E-13</v>
      </c>
      <c r="AE59" s="19">
        <f t="shared" si="65"/>
        <v>0.99999999994434052</v>
      </c>
      <c r="AF59" s="19">
        <f t="shared" si="66"/>
        <v>1.8790580732054032</v>
      </c>
      <c r="AG59" s="122">
        <f t="shared" si="67"/>
        <v>3.8834324239045634E-2</v>
      </c>
      <c r="AH59" s="122">
        <f t="shared" si="68"/>
        <v>1.3132338276160954E-5</v>
      </c>
      <c r="AI59" s="122" t="str">
        <f t="shared" si="69"/>
        <v/>
      </c>
      <c r="AJ59" s="122" t="str">
        <f t="shared" si="70"/>
        <v/>
      </c>
      <c r="AK59" s="122" t="str">
        <f t="shared" si="71"/>
        <v/>
      </c>
      <c r="AL59" s="122" t="str">
        <f t="shared" si="72"/>
        <v/>
      </c>
      <c r="AM59" s="122" t="str">
        <f t="shared" si="73"/>
        <v/>
      </c>
      <c r="AN59" s="122" t="str">
        <f t="shared" si="81"/>
        <v/>
      </c>
      <c r="AO59" s="122">
        <f t="shared" si="74"/>
        <v>9.5758027364179367E-13</v>
      </c>
      <c r="AP59" s="122" t="str">
        <f t="shared" si="75"/>
        <v/>
      </c>
      <c r="AQ59" s="130">
        <f t="shared" si="76"/>
        <v>5.6509377825601795E-2</v>
      </c>
      <c r="AR59" s="122">
        <f t="shared" si="77"/>
        <v>5.6509377825601795E-2</v>
      </c>
      <c r="AS59" s="1001"/>
      <c r="AT59" s="442">
        <v>5.6509377815557649E-2</v>
      </c>
      <c r="AU59" s="131">
        <f t="shared" si="78"/>
        <v>0.81446044402540119</v>
      </c>
      <c r="AV59" s="17"/>
      <c r="AW59" s="124">
        <f t="shared" si="79"/>
        <v>-1.7958028295863571E-2</v>
      </c>
      <c r="AX59" s="16"/>
      <c r="AY59" s="26"/>
      <c r="AZ59" s="1000"/>
      <c r="BA59" s="1000"/>
    </row>
    <row r="60" spans="1:53">
      <c r="A60" s="6">
        <v>10.964314219017979</v>
      </c>
      <c r="B60" s="508">
        <v>5.520561666922843</v>
      </c>
      <c r="C60" s="124">
        <v>5.5227131843566895</v>
      </c>
      <c r="D60" s="123">
        <f t="shared" si="39"/>
        <v>3.7157487977276133E-6</v>
      </c>
      <c r="E60" s="123">
        <f t="shared" si="80"/>
        <v>0.26518065047287009</v>
      </c>
      <c r="F60" s="124">
        <f t="shared" si="40"/>
        <v>2.1515174338464504E-3</v>
      </c>
      <c r="G60" s="122">
        <f t="shared" si="41"/>
        <v>5.1974113032365062E-10</v>
      </c>
      <c r="H60" s="122">
        <f t="shared" si="42"/>
        <v>-2.2797831702239812E-5</v>
      </c>
      <c r="I60" s="123">
        <f t="shared" si="43"/>
        <v>7.1094172044976367E-2</v>
      </c>
      <c r="J60" s="123">
        <f t="shared" si="44"/>
        <v>7.1116969876678607E-2</v>
      </c>
      <c r="K60" s="124">
        <f t="shared" si="45"/>
        <v>0.35409517360742337</v>
      </c>
      <c r="L60" s="124">
        <f t="shared" si="46"/>
        <v>0.64590482639257663</v>
      </c>
      <c r="M60" s="122">
        <f t="shared" si="47"/>
        <v>3.8916857646520224</v>
      </c>
      <c r="N60" s="122">
        <f t="shared" si="48"/>
        <v>14696.739298181985</v>
      </c>
      <c r="O60" s="122">
        <f t="shared" si="49"/>
        <v>1025173.7681971114</v>
      </c>
      <c r="P60" s="122">
        <f t="shared" si="50"/>
        <v>1.1399040607599868</v>
      </c>
      <c r="Q60" s="122">
        <f t="shared" si="51"/>
        <v>6517.9793660764262</v>
      </c>
      <c r="R60" s="122">
        <f t="shared" si="52"/>
        <v>223833.61648679854</v>
      </c>
      <c r="S60" s="122">
        <f t="shared" si="53"/>
        <v>1.0000000000002449</v>
      </c>
      <c r="T60" s="122">
        <f t="shared" si="54"/>
        <v>1.0000000000002449</v>
      </c>
      <c r="U60" s="122">
        <f t="shared" si="55"/>
        <v>13609128670.940081</v>
      </c>
      <c r="V60" s="122">
        <f t="shared" si="56"/>
        <v>223833.61648679854</v>
      </c>
      <c r="W60" s="19">
        <f t="shared" si="57"/>
        <v>0.80668055923018633</v>
      </c>
      <c r="X60" s="19">
        <f t="shared" si="58"/>
        <v>1.0007630622765042</v>
      </c>
      <c r="Y60" s="19">
        <f t="shared" si="59"/>
        <v>1.029897368224477</v>
      </c>
      <c r="Z60" s="19">
        <f t="shared" si="60"/>
        <v>0.12273318920077468</v>
      </c>
      <c r="AA60" s="19">
        <f t="shared" si="61"/>
        <v>0.99984657821943945</v>
      </c>
      <c r="AB60" s="19">
        <f t="shared" si="62"/>
        <v>1.8462857152823116</v>
      </c>
      <c r="AC60" s="19">
        <f t="shared" si="63"/>
        <v>2.4481065926527081E-13</v>
      </c>
      <c r="AD60" s="19">
        <f t="shared" si="64"/>
        <v>2.4481065926525541E-13</v>
      </c>
      <c r="AE60" s="19">
        <f t="shared" si="65"/>
        <v>0.99999999992651989</v>
      </c>
      <c r="AF60" s="19">
        <f t="shared" si="66"/>
        <v>1.8462857152823116</v>
      </c>
      <c r="AG60" s="122">
        <f t="shared" si="67"/>
        <v>4.11089171442066E-2</v>
      </c>
      <c r="AH60" s="122">
        <f t="shared" si="68"/>
        <v>1.0190595740030543E-5</v>
      </c>
      <c r="AI60" s="122" t="str">
        <f t="shared" si="69"/>
        <v/>
      </c>
      <c r="AJ60" s="122" t="str">
        <f t="shared" si="70"/>
        <v/>
      </c>
      <c r="AK60" s="122" t="str">
        <f t="shared" si="71"/>
        <v/>
      </c>
      <c r="AL60" s="122" t="str">
        <f t="shared" si="72"/>
        <v/>
      </c>
      <c r="AM60" s="122" t="str">
        <f t="shared" si="73"/>
        <v/>
      </c>
      <c r="AN60" s="122" t="str">
        <f t="shared" si="81"/>
        <v/>
      </c>
      <c r="AO60" s="122">
        <f t="shared" si="74"/>
        <v>1.3009472618314348E-12</v>
      </c>
      <c r="AP60" s="122" t="str">
        <f t="shared" si="75"/>
        <v/>
      </c>
      <c r="AQ60" s="130">
        <f t="shared" si="76"/>
        <v>5.9273995860216928E-2</v>
      </c>
      <c r="AR60" s="122">
        <f t="shared" si="77"/>
        <v>5.9273995860216928E-2</v>
      </c>
      <c r="AS60" s="1001"/>
      <c r="AT60" s="442">
        <v>5.9273995845767327E-2</v>
      </c>
      <c r="AU60" s="131">
        <f t="shared" si="78"/>
        <v>0.81169334853758335</v>
      </c>
      <c r="AV60" s="17"/>
      <c r="AW60" s="124">
        <f t="shared" si="79"/>
        <v>2.1515174338464504E-3</v>
      </c>
      <c r="AX60" s="16"/>
      <c r="AY60" s="26"/>
      <c r="AZ60" s="1000"/>
      <c r="BA60" s="1000"/>
    </row>
    <row r="61" spans="1:53">
      <c r="A61" s="6">
        <v>11.448833580652718</v>
      </c>
      <c r="B61" s="508">
        <v>5.6553593662136379</v>
      </c>
      <c r="C61" s="124">
        <v>5.6611342430114746</v>
      </c>
      <c r="D61" s="123">
        <f t="shared" si="39"/>
        <v>2.7347110163886716E-6</v>
      </c>
      <c r="E61" s="123">
        <f t="shared" si="80"/>
        <v>0.26783042457698436</v>
      </c>
      <c r="F61" s="124">
        <f t="shared" si="40"/>
        <v>5.7748767978367255E-3</v>
      </c>
      <c r="G61" s="122">
        <f t="shared" si="41"/>
        <v>3.7887625671939198E-9</v>
      </c>
      <c r="H61" s="122">
        <f t="shared" si="42"/>
        <v>-6.1552924928015562E-5</v>
      </c>
      <c r="I61" s="123">
        <f t="shared" si="43"/>
        <v>6.999885311154623E-2</v>
      </c>
      <c r="J61" s="123">
        <f t="shared" si="44"/>
        <v>7.0060406036474246E-2</v>
      </c>
      <c r="K61" s="124">
        <f t="shared" si="45"/>
        <v>0.36404636602153745</v>
      </c>
      <c r="L61" s="124">
        <f t="shared" si="46"/>
        <v>0.6359536339784625</v>
      </c>
      <c r="M61" s="122">
        <f t="shared" si="47"/>
        <v>3.0309081818080603</v>
      </c>
      <c r="N61" s="122">
        <f t="shared" si="48"/>
        <v>10731.887262769278</v>
      </c>
      <c r="O61" s="122">
        <f t="shared" si="49"/>
        <v>737048.7996686534</v>
      </c>
      <c r="P61" s="122">
        <f t="shared" si="50"/>
        <v>1.1021809244341345</v>
      </c>
      <c r="Q61" s="122">
        <f t="shared" si="51"/>
        <v>4797.3563298159552</v>
      </c>
      <c r="R61" s="122">
        <f t="shared" si="52"/>
        <v>125213.3220978031</v>
      </c>
      <c r="S61" s="122">
        <f t="shared" si="53"/>
        <v>1.0000000000001787</v>
      </c>
      <c r="T61" s="122">
        <f t="shared" si="54"/>
        <v>1.0000000000001787</v>
      </c>
      <c r="U61" s="122">
        <f t="shared" si="55"/>
        <v>9939621057.6268063</v>
      </c>
      <c r="V61" s="122">
        <f t="shared" si="56"/>
        <v>125213.3220978031</v>
      </c>
      <c r="W61" s="19">
        <f t="shared" si="57"/>
        <v>0.71258874336196842</v>
      </c>
      <c r="X61" s="19">
        <f t="shared" si="58"/>
        <v>1.0005186136770599</v>
      </c>
      <c r="Y61" s="19">
        <f t="shared" si="59"/>
        <v>1.0220127870328604</v>
      </c>
      <c r="Z61" s="19">
        <f t="shared" si="60"/>
        <v>9.2707941290668561E-2</v>
      </c>
      <c r="AA61" s="19">
        <f t="shared" si="61"/>
        <v>0.99979155186080615</v>
      </c>
      <c r="AB61" s="19">
        <f t="shared" si="62"/>
        <v>1.8008352351854877</v>
      </c>
      <c r="AC61" s="19">
        <f t="shared" si="63"/>
        <v>1.7880095323958857E-13</v>
      </c>
      <c r="AD61" s="19">
        <f t="shared" si="64"/>
        <v>1.7880095323958244E-13</v>
      </c>
      <c r="AE61" s="19">
        <f t="shared" si="65"/>
        <v>0.99999999989939259</v>
      </c>
      <c r="AF61" s="19">
        <f t="shared" si="66"/>
        <v>1.8008352351854877</v>
      </c>
      <c r="AG61" s="122">
        <f t="shared" si="67"/>
        <v>4.3876269396316191E-2</v>
      </c>
      <c r="AH61" s="122">
        <f t="shared" si="68"/>
        <v>7.866817402525722E-6</v>
      </c>
      <c r="AI61" s="122" t="str">
        <f t="shared" si="69"/>
        <v/>
      </c>
      <c r="AJ61" s="122" t="str">
        <f t="shared" si="70"/>
        <v/>
      </c>
      <c r="AK61" s="122" t="str">
        <f t="shared" si="71"/>
        <v/>
      </c>
      <c r="AL61" s="122" t="str">
        <f t="shared" si="72"/>
        <v/>
      </c>
      <c r="AM61" s="122" t="str">
        <f t="shared" si="73"/>
        <v/>
      </c>
      <c r="AN61" s="122" t="str">
        <f t="shared" si="81"/>
        <v/>
      </c>
      <c r="AO61" s="122">
        <f t="shared" si="74"/>
        <v>1.8312889591610727E-12</v>
      </c>
      <c r="AP61" s="122" t="str">
        <f t="shared" si="75"/>
        <v/>
      </c>
      <c r="AQ61" s="130">
        <f t="shared" si="76"/>
        <v>6.2529187809233583E-2</v>
      </c>
      <c r="AR61" s="122">
        <f t="shared" si="77"/>
        <v>6.2529187809233583E-2</v>
      </c>
      <c r="AS61" s="1001"/>
      <c r="AT61" s="442">
        <v>6.2529187790368521E-2</v>
      </c>
      <c r="AU61" s="131">
        <f t="shared" si="78"/>
        <v>0.80859154092743213</v>
      </c>
      <c r="AV61" s="17"/>
      <c r="AW61" s="124">
        <f t="shared" si="79"/>
        <v>5.7748767978367255E-3</v>
      </c>
      <c r="AX61" s="16"/>
      <c r="AY61" s="26"/>
      <c r="AZ61" s="1000"/>
      <c r="BA61" s="1000"/>
    </row>
    <row r="62" spans="1:53">
      <c r="A62" s="6">
        <v>11.939793326018844</v>
      </c>
      <c r="B62" s="508">
        <v>5.7817578076145644</v>
      </c>
      <c r="C62" s="124">
        <v>5.8000121116638184</v>
      </c>
      <c r="D62" s="123">
        <f t="shared" si="39"/>
        <v>2.0512444129868422E-6</v>
      </c>
      <c r="E62" s="123">
        <f t="shared" si="80"/>
        <v>0.26326115232568381</v>
      </c>
      <c r="F62" s="124">
        <f t="shared" si="40"/>
        <v>1.8254304049253989E-2</v>
      </c>
      <c r="G62" s="122">
        <f t="shared" si="41"/>
        <v>3.6987136343195942E-8</v>
      </c>
      <c r="H62" s="122">
        <f t="shared" si="42"/>
        <v>-1.923204002262785E-4</v>
      </c>
      <c r="I62" s="123">
        <f t="shared" si="43"/>
        <v>6.8922871850528825E-2</v>
      </c>
      <c r="J62" s="123">
        <f t="shared" si="44"/>
        <v>6.9115192250755103E-2</v>
      </c>
      <c r="K62" s="124">
        <f t="shared" si="45"/>
        <v>0.37382187179941551</v>
      </c>
      <c r="L62" s="124">
        <f t="shared" si="46"/>
        <v>0.62617812820058449</v>
      </c>
      <c r="M62" s="122">
        <f t="shared" si="47"/>
        <v>2.4673786263954094</v>
      </c>
      <c r="N62" s="122">
        <f t="shared" si="48"/>
        <v>7993.2003620266696</v>
      </c>
      <c r="O62" s="122">
        <f t="shared" si="49"/>
        <v>542174.35428418964</v>
      </c>
      <c r="P62" s="122">
        <f t="shared" si="50"/>
        <v>1.0761144254762856</v>
      </c>
      <c r="Q62" s="122">
        <f t="shared" si="51"/>
        <v>3598.637580449471</v>
      </c>
      <c r="R62" s="122">
        <f t="shared" si="52"/>
        <v>73704.126137682528</v>
      </c>
      <c r="S62" s="122">
        <f t="shared" si="53"/>
        <v>1.0000000000001332</v>
      </c>
      <c r="T62" s="122">
        <f t="shared" si="54"/>
        <v>1.0000000000001332</v>
      </c>
      <c r="U62" s="122">
        <f t="shared" si="55"/>
        <v>7404009608.1435394</v>
      </c>
      <c r="V62" s="122">
        <f t="shared" si="56"/>
        <v>73704.126137682528</v>
      </c>
      <c r="W62" s="19">
        <f t="shared" si="57"/>
        <v>0.62306447206110394</v>
      </c>
      <c r="X62" s="19">
        <f t="shared" si="58"/>
        <v>1.0003338418806083</v>
      </c>
      <c r="Y62" s="19">
        <f t="shared" si="59"/>
        <v>1.0164890624320893</v>
      </c>
      <c r="Z62" s="19">
        <f t="shared" si="60"/>
        <v>7.0730791888230241E-2</v>
      </c>
      <c r="AA62" s="19">
        <f t="shared" si="61"/>
        <v>0.99972211705745728</v>
      </c>
      <c r="AB62" s="19">
        <f t="shared" si="62"/>
        <v>1.7496936780104007</v>
      </c>
      <c r="AC62" s="19">
        <f t="shared" si="63"/>
        <v>1.3318857592263603E-13</v>
      </c>
      <c r="AD62" s="19">
        <f t="shared" si="64"/>
        <v>1.3318857592263343E-13</v>
      </c>
      <c r="AE62" s="19">
        <f t="shared" si="65"/>
        <v>0.99999999986493804</v>
      </c>
      <c r="AF62" s="19">
        <f t="shared" si="66"/>
        <v>1.7496936780104007</v>
      </c>
      <c r="AG62" s="122">
        <f t="shared" si="67"/>
        <v>4.6481132120868421E-2</v>
      </c>
      <c r="AH62" s="122">
        <f t="shared" si="68"/>
        <v>6.4172905937383989E-6</v>
      </c>
      <c r="AI62" s="122" t="str">
        <f t="shared" si="69"/>
        <v/>
      </c>
      <c r="AJ62" s="122" t="str">
        <f t="shared" si="70"/>
        <v/>
      </c>
      <c r="AK62" s="122" t="str">
        <f t="shared" si="71"/>
        <v/>
      </c>
      <c r="AL62" s="122" t="str">
        <f t="shared" si="72"/>
        <v/>
      </c>
      <c r="AM62" s="122" t="str">
        <f t="shared" si="73"/>
        <v/>
      </c>
      <c r="AN62" s="122" t="str">
        <f t="shared" si="81"/>
        <v/>
      </c>
      <c r="AO62" s="122">
        <f t="shared" si="74"/>
        <v>2.5244556097567422E-12</v>
      </c>
      <c r="AP62" s="122" t="str">
        <f t="shared" si="75"/>
        <v/>
      </c>
      <c r="AQ62" s="130">
        <f t="shared" si="76"/>
        <v>6.5614251072327046E-2</v>
      </c>
      <c r="AR62" s="122">
        <f t="shared" si="77"/>
        <v>6.5614251072327046E-2</v>
      </c>
      <c r="AS62" s="1001"/>
      <c r="AT62" s="442">
        <v>6.5614251053278894E-2</v>
      </c>
      <c r="AU62" s="131">
        <f t="shared" si="78"/>
        <v>0.80579539516184617</v>
      </c>
      <c r="AV62" s="17"/>
      <c r="AW62" s="124">
        <f t="shared" si="79"/>
        <v>1.8254304049253989E-2</v>
      </c>
      <c r="AX62" s="16"/>
      <c r="AY62" s="26"/>
      <c r="AZ62" s="1000"/>
      <c r="BA62" s="1000"/>
    </row>
    <row r="63" spans="1:53">
      <c r="A63" s="6">
        <v>12.423383911664132</v>
      </c>
      <c r="B63" s="508">
        <v>5.9118777988780709</v>
      </c>
      <c r="C63" s="124">
        <v>5.9385132789611816</v>
      </c>
      <c r="D63" s="123">
        <f t="shared" si="39"/>
        <v>1.5253056646086688E-6</v>
      </c>
      <c r="E63" s="123">
        <f t="shared" si="80"/>
        <v>0.2937350436623728</v>
      </c>
      <c r="F63" s="124">
        <f t="shared" si="40"/>
        <v>2.6635480083110785E-2</v>
      </c>
      <c r="G63" s="122">
        <f t="shared" si="41"/>
        <v>7.2609237050901384E-8</v>
      </c>
      <c r="H63" s="122">
        <f t="shared" si="42"/>
        <v>-2.6946101211659801E-4</v>
      </c>
      <c r="I63" s="123">
        <f t="shared" si="43"/>
        <v>6.7894896113839545E-2</v>
      </c>
      <c r="J63" s="123">
        <f t="shared" si="44"/>
        <v>6.8164357125956143E-2</v>
      </c>
      <c r="K63" s="124">
        <f t="shared" si="45"/>
        <v>0.38316123775084709</v>
      </c>
      <c r="L63" s="124">
        <f t="shared" si="46"/>
        <v>0.61683876224915291</v>
      </c>
      <c r="M63" s="122">
        <f t="shared" si="47"/>
        <v>2.055791171140557</v>
      </c>
      <c r="N63" s="122">
        <f t="shared" si="48"/>
        <v>5903.4972555333288</v>
      </c>
      <c r="O63" s="122">
        <f t="shared" si="49"/>
        <v>396063.52605285635</v>
      </c>
      <c r="P63" s="122">
        <f t="shared" si="50"/>
        <v>1.0562195699444352</v>
      </c>
      <c r="Q63" s="122">
        <f t="shared" si="51"/>
        <v>2676.2038645059329</v>
      </c>
      <c r="R63" s="122">
        <f t="shared" si="52"/>
        <v>43478.464728345469</v>
      </c>
      <c r="S63" s="122">
        <f t="shared" si="53"/>
        <v>1.0000000000000984</v>
      </c>
      <c r="T63" s="122">
        <f t="shared" si="54"/>
        <v>1.0000000000000984</v>
      </c>
      <c r="U63" s="122">
        <f t="shared" si="55"/>
        <v>5468743059.5384216</v>
      </c>
      <c r="V63" s="122">
        <f t="shared" si="56"/>
        <v>43478.464728345469</v>
      </c>
      <c r="W63" s="19">
        <f t="shared" si="57"/>
        <v>0.53174675535811944</v>
      </c>
      <c r="X63" s="19">
        <f t="shared" si="58"/>
        <v>1.0001719078983538</v>
      </c>
      <c r="Y63" s="19">
        <f t="shared" si="59"/>
        <v>1.0122306962393628</v>
      </c>
      <c r="Z63" s="19">
        <f t="shared" si="60"/>
        <v>5.3227161798746842E-2</v>
      </c>
      <c r="AA63" s="19">
        <f t="shared" si="61"/>
        <v>0.99962633638891907</v>
      </c>
      <c r="AB63" s="19">
        <f t="shared" si="62"/>
        <v>1.6886792058911237</v>
      </c>
      <c r="AC63" s="19">
        <f t="shared" si="63"/>
        <v>9.8375628603269485E-14</v>
      </c>
      <c r="AD63" s="19">
        <f t="shared" si="64"/>
        <v>9.8375628603268425E-14</v>
      </c>
      <c r="AE63" s="19">
        <f t="shared" si="65"/>
        <v>0.9999999998171426</v>
      </c>
      <c r="AF63" s="19">
        <f t="shared" si="66"/>
        <v>1.6886792058911237</v>
      </c>
      <c r="AG63" s="122">
        <f t="shared" si="67"/>
        <v>4.9149315596963256E-2</v>
      </c>
      <c r="AH63" s="122">
        <f t="shared" si="68"/>
        <v>5.527509851312829E-6</v>
      </c>
      <c r="AI63" s="122" t="str">
        <f t="shared" si="69"/>
        <v/>
      </c>
      <c r="AJ63" s="122" t="str">
        <f t="shared" si="70"/>
        <v/>
      </c>
      <c r="AK63" s="122" t="str">
        <f t="shared" si="71"/>
        <v/>
      </c>
      <c r="AL63" s="122" t="str">
        <f t="shared" si="72"/>
        <v/>
      </c>
      <c r="AM63" s="122" t="str">
        <f t="shared" si="73"/>
        <v/>
      </c>
      <c r="AN63" s="122" t="str">
        <f t="shared" si="81"/>
        <v/>
      </c>
      <c r="AO63" s="122">
        <f t="shared" si="74"/>
        <v>3.5031929053838845E-12</v>
      </c>
      <c r="AP63" s="122" t="str">
        <f t="shared" si="75"/>
        <v/>
      </c>
      <c r="AQ63" s="130">
        <f t="shared" si="76"/>
        <v>6.8741769671686798E-2</v>
      </c>
      <c r="AR63" s="122">
        <f t="shared" si="77"/>
        <v>6.8741769671686798E-2</v>
      </c>
      <c r="AS63" s="1001"/>
      <c r="AT63" s="442">
        <v>6.8741769657228322E-2</v>
      </c>
      <c r="AU63" s="131">
        <f t="shared" si="78"/>
        <v>0.80309203382488947</v>
      </c>
      <c r="AV63" s="17"/>
      <c r="AW63" s="124">
        <f t="shared" si="79"/>
        <v>2.6635480083110785E-2</v>
      </c>
      <c r="AX63" s="16"/>
      <c r="AY63" s="26"/>
      <c r="AZ63" s="1000"/>
      <c r="BA63" s="1000"/>
    </row>
    <row r="64" spans="1:53">
      <c r="A64" s="6">
        <v>12.881495391775388</v>
      </c>
      <c r="B64" s="508">
        <v>6.0577402761172214</v>
      </c>
      <c r="C64" s="124">
        <v>6.0759644508361816</v>
      </c>
      <c r="D64" s="123">
        <f t="shared" si="39"/>
        <v>1.0939165261365708E-6</v>
      </c>
      <c r="E64" s="123">
        <f t="shared" si="80"/>
        <v>0.30274812245743393</v>
      </c>
      <c r="F64" s="124">
        <f t="shared" si="40"/>
        <v>1.8224174718960207E-2</v>
      </c>
      <c r="G64" s="122">
        <f t="shared" si="41"/>
        <v>2.8854874968704835E-8</v>
      </c>
      <c r="H64" s="122">
        <f t="shared" si="42"/>
        <v>-1.6986722747105998E-4</v>
      </c>
      <c r="I64" s="123">
        <f t="shared" si="43"/>
        <v>6.6948971028008702E-2</v>
      </c>
      <c r="J64" s="123">
        <f t="shared" si="44"/>
        <v>6.7118838255479762E-2</v>
      </c>
      <c r="K64" s="124">
        <f t="shared" si="45"/>
        <v>0.3917551570661662</v>
      </c>
      <c r="L64" s="124">
        <f t="shared" si="46"/>
        <v>0.60824484293383374</v>
      </c>
      <c r="M64" s="122">
        <f t="shared" si="47"/>
        <v>1.73408674173595</v>
      </c>
      <c r="N64" s="122">
        <f t="shared" si="48"/>
        <v>4204.7957707872683</v>
      </c>
      <c r="O64" s="122">
        <f t="shared" si="49"/>
        <v>279191.48421491974</v>
      </c>
      <c r="P64" s="122">
        <f t="shared" si="50"/>
        <v>1.0400437982251742</v>
      </c>
      <c r="Q64" s="122">
        <f t="shared" si="51"/>
        <v>1919.5988658334045</v>
      </c>
      <c r="R64" s="122">
        <f t="shared" si="52"/>
        <v>24662.494278038786</v>
      </c>
      <c r="S64" s="122">
        <f t="shared" si="53"/>
        <v>1.0000000000000702</v>
      </c>
      <c r="T64" s="122">
        <f t="shared" si="54"/>
        <v>1.0000000000000702</v>
      </c>
      <c r="U64" s="122">
        <f t="shared" si="55"/>
        <v>3895249356.3023076</v>
      </c>
      <c r="V64" s="122">
        <f t="shared" si="56"/>
        <v>24662.494278038786</v>
      </c>
      <c r="W64" s="19">
        <f t="shared" si="57"/>
        <v>0.43402968913501039</v>
      </c>
      <c r="X64" s="19">
        <f t="shared" si="58"/>
        <v>1.0000069555378093</v>
      </c>
      <c r="Y64" s="19">
        <f t="shared" si="59"/>
        <v>1.0087406053395447</v>
      </c>
      <c r="Z64" s="19">
        <f t="shared" si="60"/>
        <v>3.8502030677466249E-2</v>
      </c>
      <c r="AA64" s="19">
        <f t="shared" si="61"/>
        <v>0.99947905782932112</v>
      </c>
      <c r="AB64" s="19">
        <f t="shared" si="62"/>
        <v>1.611724432127922</v>
      </c>
      <c r="AC64" s="19">
        <f t="shared" si="63"/>
        <v>7.0070507877572948E-14</v>
      </c>
      <c r="AD64" s="19">
        <f t="shared" si="64"/>
        <v>7.0070507877572557E-14</v>
      </c>
      <c r="AE64" s="19">
        <f t="shared" si="65"/>
        <v>0.99999999974327702</v>
      </c>
      <c r="AF64" s="19">
        <f t="shared" si="66"/>
        <v>1.611724432127922</v>
      </c>
      <c r="AG64" s="122">
        <f t="shared" si="67"/>
        <v>5.2063543885738264E-2</v>
      </c>
      <c r="AH64" s="122">
        <f t="shared" si="68"/>
        <v>5.1507296961707811E-6</v>
      </c>
      <c r="AI64" s="122" t="str">
        <f t="shared" si="69"/>
        <v/>
      </c>
      <c r="AJ64" s="122" t="str">
        <f t="shared" si="70"/>
        <v/>
      </c>
      <c r="AK64" s="122" t="str">
        <f t="shared" si="71"/>
        <v/>
      </c>
      <c r="AL64" s="122" t="str">
        <f t="shared" si="72"/>
        <v/>
      </c>
      <c r="AM64" s="122" t="str">
        <f t="shared" si="73"/>
        <v/>
      </c>
      <c r="AN64" s="122" t="str">
        <f t="shared" si="81"/>
        <v/>
      </c>
      <c r="AO64" s="122">
        <f t="shared" si="74"/>
        <v>5.028627454007881E-12</v>
      </c>
      <c r="AP64" s="122" t="str">
        <f t="shared" si="75"/>
        <v/>
      </c>
      <c r="AQ64" s="130">
        <f t="shared" si="76"/>
        <v>7.2079139116861521E-2</v>
      </c>
      <c r="AR64" s="122">
        <f t="shared" si="77"/>
        <v>7.2079139116861521E-2</v>
      </c>
      <c r="AS64" s="1001"/>
      <c r="AT64" s="442">
        <v>7.2079139109481119E-2</v>
      </c>
      <c r="AU64" s="131">
        <f t="shared" si="78"/>
        <v>0.80034187518286959</v>
      </c>
      <c r="AV64" s="17"/>
      <c r="AW64" s="124">
        <f t="shared" si="79"/>
        <v>1.8224174718960207E-2</v>
      </c>
      <c r="AX64" s="16"/>
      <c r="AY64" s="26"/>
      <c r="AZ64" s="1000"/>
      <c r="BA64" s="1000"/>
    </row>
    <row r="65" spans="1:53">
      <c r="A65" s="6">
        <v>13.297209756274242</v>
      </c>
      <c r="B65" s="508">
        <v>6.1770905069722941</v>
      </c>
      <c r="C65" s="124">
        <v>6.2145247459411621</v>
      </c>
      <c r="D65" s="123">
        <f t="shared" si="39"/>
        <v>8.3305378924018614E-7</v>
      </c>
      <c r="E65" s="123">
        <f t="shared" si="80"/>
        <v>0.47219089696073652</v>
      </c>
      <c r="F65" s="124">
        <f t="shared" si="40"/>
        <v>3.7434238968867994E-2</v>
      </c>
      <c r="G65" s="122">
        <f t="shared" si="41"/>
        <v>9.7172099712805151E-8</v>
      </c>
      <c r="H65" s="122">
        <f t="shared" si="42"/>
        <v>-3.1172439704457711E-4</v>
      </c>
      <c r="I65" s="123">
        <f t="shared" si="43"/>
        <v>6.6113115737175626E-2</v>
      </c>
      <c r="J65" s="123">
        <f t="shared" si="44"/>
        <v>6.6424840134220203E-2</v>
      </c>
      <c r="K65" s="124">
        <f t="shared" si="45"/>
        <v>0.39934907019554783</v>
      </c>
      <c r="L65" s="124">
        <f t="shared" si="46"/>
        <v>0.60065092980445223</v>
      </c>
      <c r="M65" s="122">
        <f t="shared" si="47"/>
        <v>1.5476411586872996</v>
      </c>
      <c r="N65" s="122">
        <f t="shared" si="48"/>
        <v>3186.8617753238705</v>
      </c>
      <c r="O65" s="122">
        <f t="shared" si="49"/>
        <v>210142.93785306238</v>
      </c>
      <c r="P65" s="122">
        <f t="shared" si="50"/>
        <v>1.0303491087530847</v>
      </c>
      <c r="Q65" s="122">
        <f t="shared" si="51"/>
        <v>1462.0767979337581</v>
      </c>
      <c r="R65" s="122">
        <f t="shared" si="52"/>
        <v>15847.4701593586</v>
      </c>
      <c r="S65" s="122">
        <f t="shared" si="53"/>
        <v>1.0000000000000531</v>
      </c>
      <c r="T65" s="122">
        <f t="shared" si="54"/>
        <v>1.0000000000000531</v>
      </c>
      <c r="U65" s="122">
        <f t="shared" si="55"/>
        <v>2952201129.3668365</v>
      </c>
      <c r="V65" s="122">
        <f t="shared" si="56"/>
        <v>15847.4701593586</v>
      </c>
      <c r="W65" s="19">
        <f t="shared" si="57"/>
        <v>0.36064209474233899</v>
      </c>
      <c r="X65" s="19">
        <f t="shared" si="58"/>
        <v>0.99987261590888821</v>
      </c>
      <c r="Y65" s="19">
        <f t="shared" si="59"/>
        <v>1.0066364936751915</v>
      </c>
      <c r="Z65" s="19">
        <f t="shared" si="60"/>
        <v>2.9455170577876156E-2</v>
      </c>
      <c r="AA65" s="19">
        <f t="shared" si="61"/>
        <v>0.99931604139986818</v>
      </c>
      <c r="AB65" s="19">
        <f t="shared" si="62"/>
        <v>1.5441949202833021</v>
      </c>
      <c r="AC65" s="19">
        <f t="shared" si="63"/>
        <v>5.310628754277312E-14</v>
      </c>
      <c r="AD65" s="19">
        <f t="shared" si="64"/>
        <v>5.310628754277295E-14</v>
      </c>
      <c r="AE65" s="19">
        <f t="shared" si="65"/>
        <v>0.99999999966126973</v>
      </c>
      <c r="AF65" s="19">
        <f t="shared" si="66"/>
        <v>1.5441949202833021</v>
      </c>
      <c r="AG65" s="122">
        <f t="shared" si="67"/>
        <v>5.4108276145575562E-2</v>
      </c>
      <c r="AH65" s="122">
        <f t="shared" si="68"/>
        <v>5.2718102535820928E-6</v>
      </c>
      <c r="AI65" s="122" t="str">
        <f t="shared" si="69"/>
        <v/>
      </c>
      <c r="AJ65" s="122" t="str">
        <f t="shared" si="70"/>
        <v/>
      </c>
      <c r="AK65" s="122" t="str">
        <f t="shared" si="71"/>
        <v/>
      </c>
      <c r="AL65" s="122" t="str">
        <f t="shared" si="72"/>
        <v/>
      </c>
      <c r="AM65" s="122" t="str">
        <f t="shared" si="73"/>
        <v/>
      </c>
      <c r="AN65" s="122" t="str">
        <f t="shared" si="81"/>
        <v/>
      </c>
      <c r="AO65" s="122">
        <f t="shared" si="74"/>
        <v>6.7635816920305315E-12</v>
      </c>
      <c r="AP65" s="122" t="str">
        <f t="shared" si="75"/>
        <v/>
      </c>
      <c r="AQ65" s="130">
        <f t="shared" si="76"/>
        <v>7.4498289606094836E-2</v>
      </c>
      <c r="AR65" s="122">
        <f t="shared" si="77"/>
        <v>7.4498289606094836E-2</v>
      </c>
      <c r="AS65" s="1001"/>
      <c r="AT65" s="442">
        <v>7.4498289602945134E-2</v>
      </c>
      <c r="AU65" s="131">
        <f t="shared" si="78"/>
        <v>0.79842926868475694</v>
      </c>
      <c r="AV65" s="17"/>
      <c r="AW65" s="124">
        <f t="shared" si="79"/>
        <v>3.7434238968867994E-2</v>
      </c>
      <c r="AX65" s="16"/>
      <c r="AY65" s="26"/>
      <c r="AZ65" s="1000"/>
      <c r="BA65" s="1000"/>
    </row>
    <row r="66" spans="1:53">
      <c r="A66" s="6">
        <v>13.659096746414434</v>
      </c>
      <c r="B66" s="508">
        <v>6.4149534237326344</v>
      </c>
      <c r="C66" s="124">
        <v>6.3485226631164551</v>
      </c>
      <c r="D66" s="123">
        <f t="shared" si="39"/>
        <v>4.8367061809937322E-7</v>
      </c>
      <c r="E66" s="123">
        <f t="shared" si="80"/>
        <v>0.43065655041766648</v>
      </c>
      <c r="F66" s="124">
        <f t="shared" si="40"/>
        <v>-6.6430760616179363E-2</v>
      </c>
      <c r="G66" s="122">
        <f t="shared" si="41"/>
        <v>1.9739372707390475E-7</v>
      </c>
      <c r="H66" s="122">
        <f t="shared" si="42"/>
        <v>4.4429013839371312E-4</v>
      </c>
      <c r="I66" s="123">
        <f t="shared" si="43"/>
        <v>6.5402298193758771E-2</v>
      </c>
      <c r="J66" s="123">
        <f t="shared" si="44"/>
        <v>6.4958008055365057E-2</v>
      </c>
      <c r="K66" s="124">
        <f t="shared" si="45"/>
        <v>0.40580699028619899</v>
      </c>
      <c r="L66" s="124">
        <f t="shared" si="46"/>
        <v>0.59419300971380107</v>
      </c>
      <c r="M66" s="122">
        <f t="shared" si="47"/>
        <v>1.3078586612552421</v>
      </c>
      <c r="N66" s="122">
        <f t="shared" si="48"/>
        <v>1835.807344019654</v>
      </c>
      <c r="O66" s="122">
        <f t="shared" si="49"/>
        <v>119731.9224102134</v>
      </c>
      <c r="P66" s="122">
        <f t="shared" si="50"/>
        <v>1.0174800812414895</v>
      </c>
      <c r="Q66" s="122">
        <f t="shared" si="51"/>
        <v>849.30046639824343</v>
      </c>
      <c r="R66" s="122">
        <f t="shared" si="52"/>
        <v>6965.5216508141493</v>
      </c>
      <c r="S66" s="122">
        <f t="shared" si="53"/>
        <v>1.0000000000000306</v>
      </c>
      <c r="T66" s="122">
        <f t="shared" si="54"/>
        <v>1.0000000000000306</v>
      </c>
      <c r="U66" s="122">
        <f t="shared" si="55"/>
        <v>1700370050.9054568</v>
      </c>
      <c r="V66" s="122">
        <f t="shared" si="56"/>
        <v>6965.5216508141493</v>
      </c>
      <c r="W66" s="19">
        <f t="shared" si="57"/>
        <v>0.23799072955311626</v>
      </c>
      <c r="X66" s="19">
        <f t="shared" si="58"/>
        <v>0.9995634901961632</v>
      </c>
      <c r="Y66" s="19">
        <f t="shared" si="59"/>
        <v>1.0038275780577277</v>
      </c>
      <c r="Z66" s="19">
        <f t="shared" si="60"/>
        <v>1.7179777337911976E-2</v>
      </c>
      <c r="AA66" s="19">
        <f t="shared" si="61"/>
        <v>0.99882256040169048</v>
      </c>
      <c r="AB66" s="19">
        <f t="shared" si="62"/>
        <v>1.4073558492418226</v>
      </c>
      <c r="AC66" s="19">
        <f t="shared" si="63"/>
        <v>3.0587462306897754E-14</v>
      </c>
      <c r="AD66" s="19">
        <f t="shared" si="64"/>
        <v>3.0587462306897722E-14</v>
      </c>
      <c r="AE66" s="19">
        <f t="shared" si="65"/>
        <v>0.99999999941189277</v>
      </c>
      <c r="AF66" s="19">
        <f t="shared" si="66"/>
        <v>1.4073558492418226</v>
      </c>
      <c r="AG66" s="122">
        <f t="shared" si="67"/>
        <v>5.8016842916659435E-2</v>
      </c>
      <c r="AH66" s="122">
        <f t="shared" si="68"/>
        <v>6.8075992987392324E-6</v>
      </c>
      <c r="AI66" s="122" t="str">
        <f t="shared" si="69"/>
        <v/>
      </c>
      <c r="AJ66" s="122" t="str">
        <f t="shared" si="70"/>
        <v/>
      </c>
      <c r="AK66" s="122" t="str">
        <f t="shared" si="71"/>
        <v/>
      </c>
      <c r="AL66" s="122" t="str">
        <f t="shared" si="72"/>
        <v/>
      </c>
      <c r="AM66" s="122" t="str">
        <f t="shared" si="73"/>
        <v/>
      </c>
      <c r="AN66" s="122" t="str">
        <f t="shared" si="81"/>
        <v/>
      </c>
      <c r="AO66" s="122">
        <f t="shared" si="74"/>
        <v>1.1932902195910368E-11</v>
      </c>
      <c r="AP66" s="122" t="str">
        <f t="shared" si="75"/>
        <v/>
      </c>
      <c r="AQ66" s="130">
        <f t="shared" si="76"/>
        <v>7.8726638499377347E-2</v>
      </c>
      <c r="AR66" s="122">
        <f t="shared" si="77"/>
        <v>7.8726638499377347E-2</v>
      </c>
      <c r="AS66" s="1001"/>
      <c r="AT66" s="442">
        <v>7.8726638499069912E-2</v>
      </c>
      <c r="AU66" s="131">
        <f t="shared" si="78"/>
        <v>0.79523753505892381</v>
      </c>
      <c r="AV66" s="17"/>
      <c r="AW66" s="124">
        <f t="shared" si="79"/>
        <v>-6.6430760616179363E-2</v>
      </c>
      <c r="AX66" s="16"/>
      <c r="AY66" s="26"/>
      <c r="AZ66" s="1000"/>
      <c r="BA66" s="1000"/>
    </row>
    <row r="67" spans="1:53">
      <c r="A67" s="6">
        <v>13.962769800855312</v>
      </c>
      <c r="B67" s="508">
        <v>6.4769112381131961</v>
      </c>
      <c r="C67" s="124">
        <v>6.4886946678161621</v>
      </c>
      <c r="D67" s="123">
        <f t="shared" si="39"/>
        <v>4.1963201232965797E-7</v>
      </c>
      <c r="E67" s="123">
        <f t="shared" si="80"/>
        <v>0.40620512125552644</v>
      </c>
      <c r="F67" s="124">
        <f t="shared" si="40"/>
        <v>1.1783429702965975E-2</v>
      </c>
      <c r="G67" s="122">
        <f t="shared" si="41"/>
        <v>4.6419851305991997E-9</v>
      </c>
      <c r="H67" s="122">
        <f t="shared" si="42"/>
        <v>-6.8132115265850945E-5</v>
      </c>
      <c r="I67" s="123">
        <f t="shared" si="43"/>
        <v>6.4817513272611024E-2</v>
      </c>
      <c r="J67" s="123">
        <f t="shared" si="44"/>
        <v>6.4885645387876875E-2</v>
      </c>
      <c r="K67" s="124">
        <f t="shared" si="45"/>
        <v>0.41111987870034311</v>
      </c>
      <c r="L67" s="124">
        <f t="shared" si="46"/>
        <v>0.58888012129965683</v>
      </c>
      <c r="M67" s="122">
        <f t="shared" si="47"/>
        <v>1.265683119575117</v>
      </c>
      <c r="N67" s="122">
        <f t="shared" si="48"/>
        <v>1590.8264186291308</v>
      </c>
      <c r="O67" s="122">
        <f t="shared" si="49"/>
        <v>103561.91602975539</v>
      </c>
      <c r="P67" s="122">
        <f t="shared" si="50"/>
        <v>1.0151463822210307</v>
      </c>
      <c r="Q67" s="122">
        <f t="shared" si="51"/>
        <v>736.98440437360853</v>
      </c>
      <c r="R67" s="122">
        <f t="shared" si="52"/>
        <v>5700.0897600567478</v>
      </c>
      <c r="S67" s="122">
        <f t="shared" si="53"/>
        <v>1.0000000000000264</v>
      </c>
      <c r="T67" s="122">
        <f t="shared" si="54"/>
        <v>1.0000000000000264</v>
      </c>
      <c r="U67" s="122">
        <f t="shared" si="55"/>
        <v>1473360126.5772376</v>
      </c>
      <c r="V67" s="122">
        <f t="shared" si="56"/>
        <v>5700.0897600567478</v>
      </c>
      <c r="W67" s="19">
        <f t="shared" si="57"/>
        <v>0.21192156076222632</v>
      </c>
      <c r="X67" s="19">
        <f t="shared" si="58"/>
        <v>0.99946527193878176</v>
      </c>
      <c r="Y67" s="19">
        <f t="shared" si="59"/>
        <v>1.0033158523303078</v>
      </c>
      <c r="Z67" s="19">
        <f t="shared" si="60"/>
        <v>1.4920392257018199E-2</v>
      </c>
      <c r="AA67" s="19">
        <f t="shared" si="61"/>
        <v>0.99864311918398063</v>
      </c>
      <c r="AB67" s="19">
        <f t="shared" si="62"/>
        <v>1.3732263838422496</v>
      </c>
      <c r="AC67" s="19">
        <f t="shared" si="63"/>
        <v>2.6503846796356989E-14</v>
      </c>
      <c r="AD67" s="19">
        <f t="shared" si="64"/>
        <v>2.6503846796356967E-14</v>
      </c>
      <c r="AE67" s="19">
        <f t="shared" si="65"/>
        <v>0.99999999932127936</v>
      </c>
      <c r="AF67" s="19">
        <f t="shared" si="66"/>
        <v>1.3732263838422496</v>
      </c>
      <c r="AG67" s="122">
        <f t="shared" si="67"/>
        <v>5.8448374731728224E-2</v>
      </c>
      <c r="AH67" s="122">
        <f t="shared" si="68"/>
        <v>7.4654020237891636E-6</v>
      </c>
      <c r="AI67" s="122" t="str">
        <f t="shared" si="69"/>
        <v/>
      </c>
      <c r="AJ67" s="122" t="str">
        <f t="shared" si="70"/>
        <v/>
      </c>
      <c r="AK67" s="122" t="str">
        <f t="shared" si="71"/>
        <v/>
      </c>
      <c r="AL67" s="122" t="str">
        <f t="shared" si="72"/>
        <v/>
      </c>
      <c r="AM67" s="122" t="str">
        <f t="shared" si="73"/>
        <v/>
      </c>
      <c r="AN67" s="122" t="str">
        <f t="shared" si="81"/>
        <v/>
      </c>
      <c r="AO67" s="122">
        <f t="shared" si="74"/>
        <v>1.3951778363088173E-11</v>
      </c>
      <c r="AP67" s="122" t="str">
        <f t="shared" si="75"/>
        <v/>
      </c>
      <c r="AQ67" s="130">
        <f t="shared" si="76"/>
        <v>7.9420755773938784E-2</v>
      </c>
      <c r="AR67" s="122">
        <f t="shared" si="77"/>
        <v>7.9420755773938784E-2</v>
      </c>
      <c r="AS67" s="1001"/>
      <c r="AT67" s="442">
        <v>7.9420755773796356E-2</v>
      </c>
      <c r="AU67" s="131">
        <f t="shared" si="78"/>
        <v>0.7947309933904303</v>
      </c>
      <c r="AV67" s="17"/>
      <c r="AW67" s="124">
        <f t="shared" si="79"/>
        <v>1.1783429702965975E-2</v>
      </c>
      <c r="AX67" s="16"/>
      <c r="AY67" s="26"/>
      <c r="AZ67" s="1000"/>
      <c r="BA67" s="1000"/>
    </row>
    <row r="68" spans="1:53">
      <c r="A68" s="6">
        <v>14.210002183972392</v>
      </c>
      <c r="B68" s="508">
        <v>6.6273230229128508</v>
      </c>
      <c r="C68" s="124">
        <v>6.625999927520752</v>
      </c>
      <c r="D68" s="123">
        <f t="shared" si="39"/>
        <v>2.972655449631006E-7</v>
      </c>
      <c r="E68" s="123">
        <f t="shared" si="80"/>
        <v>0.68177706441362218</v>
      </c>
      <c r="F68" s="124">
        <f t="shared" si="40"/>
        <v>-1.3230953920988497E-3</v>
      </c>
      <c r="G68" s="122">
        <f t="shared" si="41"/>
        <v>3.6916065714499604E-11</v>
      </c>
      <c r="H68" s="122">
        <f t="shared" si="42"/>
        <v>6.0758592572984771E-6</v>
      </c>
      <c r="I68" s="123">
        <f t="shared" si="43"/>
        <v>6.4349083361734907E-2</v>
      </c>
      <c r="J68" s="123">
        <f t="shared" si="44"/>
        <v>6.4343007502477609E-2</v>
      </c>
      <c r="K68" s="124">
        <f t="shared" si="45"/>
        <v>0.41537565848592289</v>
      </c>
      <c r="L68" s="124">
        <f t="shared" si="46"/>
        <v>0.58462434151407716</v>
      </c>
      <c r="M68" s="122">
        <f t="shared" si="47"/>
        <v>1.1859008384693921</v>
      </c>
      <c r="N68" s="122">
        <f t="shared" si="48"/>
        <v>1123.6342317711826</v>
      </c>
      <c r="O68" s="122">
        <f t="shared" si="49"/>
        <v>72828.643776106575</v>
      </c>
      <c r="P68" s="122">
        <f t="shared" si="50"/>
        <v>1.0106957041029363</v>
      </c>
      <c r="Q68" s="122">
        <f t="shared" si="51"/>
        <v>522.36824318014737</v>
      </c>
      <c r="R68" s="122">
        <f t="shared" si="52"/>
        <v>3572.4676470239374</v>
      </c>
      <c r="S68" s="122">
        <f t="shared" si="53"/>
        <v>1.0000000000000187</v>
      </c>
      <c r="T68" s="122">
        <f t="shared" si="54"/>
        <v>1.0000000000000187</v>
      </c>
      <c r="U68" s="122">
        <f t="shared" si="55"/>
        <v>1040421648.2471265</v>
      </c>
      <c r="V68" s="122">
        <f t="shared" si="56"/>
        <v>3572.4676470239374</v>
      </c>
      <c r="W68" s="19">
        <f t="shared" si="57"/>
        <v>0.15781790083912539</v>
      </c>
      <c r="X68" s="19">
        <f t="shared" si="58"/>
        <v>0.99917651648827766</v>
      </c>
      <c r="Y68" s="19">
        <f t="shared" si="59"/>
        <v>1.0023368832656188</v>
      </c>
      <c r="Z68" s="19">
        <f t="shared" si="60"/>
        <v>1.0582516636329821E-2</v>
      </c>
      <c r="AA68" s="19">
        <f t="shared" si="61"/>
        <v>0.99808564166551916</v>
      </c>
      <c r="AB68" s="19">
        <f t="shared" si="62"/>
        <v>1.2958724838284008</v>
      </c>
      <c r="AC68" s="19">
        <f t="shared" si="63"/>
        <v>1.8715842418159223E-14</v>
      </c>
      <c r="AD68" s="19">
        <f t="shared" si="64"/>
        <v>1.8715842418159217E-14</v>
      </c>
      <c r="AE68" s="19">
        <f t="shared" si="65"/>
        <v>0.99999999903885117</v>
      </c>
      <c r="AF68" s="19">
        <f t="shared" si="66"/>
        <v>1.2958724838284008</v>
      </c>
      <c r="AG68" s="122">
        <f t="shared" si="67"/>
        <v>5.9987955164142376E-2</v>
      </c>
      <c r="AH68" s="122">
        <f t="shared" si="68"/>
        <v>9.8116466521224907E-6</v>
      </c>
      <c r="AI68" s="122" t="str">
        <f t="shared" si="69"/>
        <v/>
      </c>
      <c r="AJ68" s="122" t="str">
        <f t="shared" si="70"/>
        <v/>
      </c>
      <c r="AK68" s="122" t="str">
        <f t="shared" si="71"/>
        <v/>
      </c>
      <c r="AL68" s="122" t="str">
        <f t="shared" si="72"/>
        <v/>
      </c>
      <c r="AM68" s="122" t="str">
        <f t="shared" si="73"/>
        <v/>
      </c>
      <c r="AN68" s="122" t="str">
        <f t="shared" si="81"/>
        <v/>
      </c>
      <c r="AO68" s="122">
        <f t="shared" si="74"/>
        <v>1.9961890411725683E-11</v>
      </c>
      <c r="AP68" s="122" t="str">
        <f t="shared" si="75"/>
        <v/>
      </c>
      <c r="AQ68" s="130">
        <f t="shared" si="76"/>
        <v>8.1172464545748085E-2</v>
      </c>
      <c r="AR68" s="122">
        <f t="shared" si="77"/>
        <v>8.1172464545748085E-2</v>
      </c>
      <c r="AS68" s="1001"/>
      <c r="AT68" s="442">
        <v>8.1172464545728393E-2</v>
      </c>
      <c r="AU68" s="131">
        <f t="shared" si="78"/>
        <v>0.79347345534586955</v>
      </c>
      <c r="AV68" s="17"/>
      <c r="AW68" s="124">
        <f t="shared" si="79"/>
        <v>-1.3230953920988497E-3</v>
      </c>
      <c r="AX68" s="16"/>
      <c r="AY68" s="26"/>
      <c r="AZ68" s="1000"/>
      <c r="BA68" s="1000"/>
    </row>
    <row r="69" spans="1:53">
      <c r="A69" s="6">
        <v>14.406663844420109</v>
      </c>
      <c r="B69" s="508">
        <v>6.7758363854579944</v>
      </c>
      <c r="C69" s="124">
        <v>6.7635617256164551</v>
      </c>
      <c r="D69" s="123">
        <f t="shared" si="39"/>
        <v>2.1141722493451103E-7</v>
      </c>
      <c r="E69" s="123">
        <f t="shared" si="80"/>
        <v>0.85865529935861806</v>
      </c>
      <c r="F69" s="124">
        <f t="shared" si="40"/>
        <v>-1.2274659841539304E-2</v>
      </c>
      <c r="G69" s="122">
        <f t="shared" si="41"/>
        <v>1.927649846647844E-9</v>
      </c>
      <c r="H69" s="122">
        <f t="shared" si="42"/>
        <v>4.390500935710917E-5</v>
      </c>
      <c r="I69" s="123">
        <f t="shared" si="43"/>
        <v>6.3981276775213439E-2</v>
      </c>
      <c r="J69" s="123">
        <f t="shared" si="44"/>
        <v>6.393737176585633E-2</v>
      </c>
      <c r="K69" s="124">
        <f t="shared" si="45"/>
        <v>0.41871725516789693</v>
      </c>
      <c r="L69" s="124">
        <f t="shared" si="46"/>
        <v>0.58128274483210307</v>
      </c>
      <c r="M69" s="122">
        <f t="shared" si="47"/>
        <v>1.1310281440121031</v>
      </c>
      <c r="N69" s="122">
        <f t="shared" si="48"/>
        <v>797.53968129314262</v>
      </c>
      <c r="O69" s="122">
        <f t="shared" si="49"/>
        <v>51518.977580595507</v>
      </c>
      <c r="P69" s="122">
        <f t="shared" si="50"/>
        <v>1.0075890403358128</v>
      </c>
      <c r="Q69" s="122">
        <f t="shared" si="51"/>
        <v>371.80054856613265</v>
      </c>
      <c r="R69" s="122">
        <f t="shared" si="52"/>
        <v>2311.6335352127494</v>
      </c>
      <c r="S69" s="122">
        <f t="shared" si="53"/>
        <v>1.0000000000000133</v>
      </c>
      <c r="T69" s="122">
        <f t="shared" si="54"/>
        <v>1.0000000000000133</v>
      </c>
      <c r="U69" s="122">
        <f t="shared" si="55"/>
        <v>738221792.77932763</v>
      </c>
      <c r="V69" s="122">
        <f t="shared" si="56"/>
        <v>2311.6335352127494</v>
      </c>
      <c r="W69" s="19">
        <f t="shared" si="57"/>
        <v>0.11640357776071433</v>
      </c>
      <c r="X69" s="19">
        <f t="shared" si="58"/>
        <v>0.99879341273121558</v>
      </c>
      <c r="Y69" s="19">
        <f t="shared" si="59"/>
        <v>1.0016495767760858</v>
      </c>
      <c r="Z69" s="19">
        <f t="shared" si="60"/>
        <v>7.5318805902091579E-3</v>
      </c>
      <c r="AA69" s="19">
        <f t="shared" si="61"/>
        <v>0.99731038589411303</v>
      </c>
      <c r="AB69" s="19">
        <f t="shared" si="62"/>
        <v>1.2294474270150688</v>
      </c>
      <c r="AC69" s="19">
        <f t="shared" si="63"/>
        <v>1.3279657107075863E-14</v>
      </c>
      <c r="AD69" s="19">
        <f t="shared" si="64"/>
        <v>1.327965710707586E-14</v>
      </c>
      <c r="AE69" s="19">
        <f t="shared" si="65"/>
        <v>0.99999999864539357</v>
      </c>
      <c r="AF69" s="19">
        <f t="shared" si="66"/>
        <v>1.2294474270150688</v>
      </c>
      <c r="AG69" s="122">
        <f t="shared" si="67"/>
        <v>6.114156140712735E-2</v>
      </c>
      <c r="AH69" s="122">
        <f t="shared" si="68"/>
        <v>1.3271097343439357E-5</v>
      </c>
      <c r="AI69" s="122" t="str">
        <f t="shared" si="69"/>
        <v/>
      </c>
      <c r="AJ69" s="122" t="str">
        <f t="shared" si="70"/>
        <v/>
      </c>
      <c r="AK69" s="122" t="str">
        <f t="shared" si="71"/>
        <v/>
      </c>
      <c r="AL69" s="122" t="str">
        <f t="shared" si="72"/>
        <v/>
      </c>
      <c r="AM69" s="122" t="str">
        <f t="shared" si="73"/>
        <v/>
      </c>
      <c r="AN69" s="122" t="str">
        <f t="shared" si="81"/>
        <v/>
      </c>
      <c r="AO69" s="122">
        <f t="shared" si="74"/>
        <v>2.8359854671281811E-11</v>
      </c>
      <c r="AP69" s="122" t="str">
        <f t="shared" si="75"/>
        <v/>
      </c>
      <c r="AQ69" s="130">
        <f t="shared" si="76"/>
        <v>8.2494259014804047E-2</v>
      </c>
      <c r="AR69" s="122">
        <f t="shared" si="77"/>
        <v>8.2494259014804047E-2</v>
      </c>
      <c r="AS69" s="1001"/>
      <c r="AT69" s="442">
        <v>8.2494259014801771E-2</v>
      </c>
      <c r="AU69" s="131">
        <f t="shared" si="78"/>
        <v>0.79254375199626093</v>
      </c>
      <c r="AV69" s="17"/>
      <c r="AW69" s="124">
        <f t="shared" si="79"/>
        <v>-1.2274659841539304E-2</v>
      </c>
      <c r="AX69" s="16"/>
      <c r="AY69" s="26"/>
      <c r="AZ69" s="1000"/>
      <c r="BA69" s="1000"/>
    </row>
    <row r="70" spans="1:53">
      <c r="A70" s="6">
        <v>14.560617950337473</v>
      </c>
      <c r="B70" s="508">
        <v>6.9239615864208544</v>
      </c>
      <c r="C70" s="124">
        <v>6.9013829231262207</v>
      </c>
      <c r="D70" s="123">
        <f t="shared" si="39"/>
        <v>1.5044953819332867E-7</v>
      </c>
      <c r="E70" s="123">
        <f t="shared" si="80"/>
        <v>1.0727361569581531</v>
      </c>
      <c r="F70" s="124">
        <f t="shared" si="40"/>
        <v>-2.257866329463365E-2</v>
      </c>
      <c r="G70" s="122">
        <f t="shared" si="41"/>
        <v>3.8580491755427009E-9</v>
      </c>
      <c r="H70" s="122">
        <f t="shared" si="42"/>
        <v>6.2113196468566167E-5</v>
      </c>
      <c r="I70" s="123">
        <f t="shared" si="43"/>
        <v>6.3696265081396697E-2</v>
      </c>
      <c r="J70" s="123">
        <f t="shared" si="44"/>
        <v>6.3634151884928131E-2</v>
      </c>
      <c r="K70" s="124">
        <f t="shared" si="45"/>
        <v>0.42130664362716619</v>
      </c>
      <c r="L70" s="124">
        <f t="shared" si="46"/>
        <v>0.57869335637283381</v>
      </c>
      <c r="M70" s="122">
        <f t="shared" si="47"/>
        <v>1.0926308328873278</v>
      </c>
      <c r="N70" s="122">
        <f t="shared" si="48"/>
        <v>566.84905584517332</v>
      </c>
      <c r="O70" s="122">
        <f t="shared" si="49"/>
        <v>36518.123318208724</v>
      </c>
      <c r="P70" s="122">
        <f t="shared" si="50"/>
        <v>1.0053912065145711</v>
      </c>
      <c r="Q70" s="122">
        <f t="shared" si="51"/>
        <v>264.87051154837644</v>
      </c>
      <c r="R70" s="122">
        <f t="shared" si="52"/>
        <v>1530.4840676383017</v>
      </c>
      <c r="S70" s="122">
        <f t="shared" si="53"/>
        <v>1.0000000000000093</v>
      </c>
      <c r="T70" s="122">
        <f t="shared" si="54"/>
        <v>1.0000000000000093</v>
      </c>
      <c r="U70" s="122">
        <f t="shared" si="55"/>
        <v>524428117.98572743</v>
      </c>
      <c r="V70" s="122">
        <f t="shared" si="56"/>
        <v>1530.4840676383017</v>
      </c>
      <c r="W70" s="19">
        <f t="shared" si="57"/>
        <v>8.5066127766687663E-2</v>
      </c>
      <c r="X70" s="19">
        <f t="shared" si="58"/>
        <v>0.99826948283387495</v>
      </c>
      <c r="Y70" s="19">
        <f t="shared" si="59"/>
        <v>1.0011588181798758</v>
      </c>
      <c r="Z70" s="19">
        <f t="shared" si="60"/>
        <v>5.3622972626356687E-3</v>
      </c>
      <c r="AA70" s="19">
        <f t="shared" si="61"/>
        <v>0.99622457028472433</v>
      </c>
      <c r="AB70" s="19">
        <f t="shared" si="62"/>
        <v>1.174266114062358</v>
      </c>
      <c r="AC70" s="19">
        <f t="shared" si="63"/>
        <v>9.4337848700523669E-15</v>
      </c>
      <c r="AD70" s="19">
        <f t="shared" si="64"/>
        <v>9.4337848700523653E-15</v>
      </c>
      <c r="AE70" s="19">
        <f t="shared" si="65"/>
        <v>0.99999999809316098</v>
      </c>
      <c r="AF70" s="19">
        <f t="shared" si="66"/>
        <v>1.174266114062358</v>
      </c>
      <c r="AG70" s="122">
        <f t="shared" si="67"/>
        <v>6.1998177756121743E-2</v>
      </c>
      <c r="AH70" s="122">
        <f t="shared" si="68"/>
        <v>1.8254938010974644E-5</v>
      </c>
      <c r="AI70" s="122" t="str">
        <f t="shared" si="69"/>
        <v/>
      </c>
      <c r="AJ70" s="122" t="str">
        <f t="shared" si="70"/>
        <v/>
      </c>
      <c r="AK70" s="122" t="str">
        <f t="shared" si="71"/>
        <v/>
      </c>
      <c r="AL70" s="122" t="str">
        <f t="shared" si="72"/>
        <v/>
      </c>
      <c r="AM70" s="122" t="str">
        <f t="shared" si="73"/>
        <v/>
      </c>
      <c r="AN70" s="122" t="str">
        <f t="shared" si="81"/>
        <v/>
      </c>
      <c r="AO70" s="122">
        <f t="shared" si="74"/>
        <v>4.0168197430503935E-11</v>
      </c>
      <c r="AP70" s="122" t="str">
        <f t="shared" si="75"/>
        <v/>
      </c>
      <c r="AQ70" s="130">
        <f t="shared" si="76"/>
        <v>8.3483516508280009E-2</v>
      </c>
      <c r="AR70" s="122">
        <f t="shared" si="77"/>
        <v>8.3483516508280009E-2</v>
      </c>
      <c r="AS70" s="1001"/>
      <c r="AT70" s="442">
        <v>8.3483516508279801E-2</v>
      </c>
      <c r="AU70" s="131">
        <f t="shared" si="78"/>
        <v>0.79185844834501118</v>
      </c>
      <c r="AV70" s="17"/>
      <c r="AW70" s="124">
        <f t="shared" si="79"/>
        <v>-2.257866329463365E-2</v>
      </c>
      <c r="AX70" s="16"/>
      <c r="AY70" s="26"/>
      <c r="AZ70" s="1000"/>
      <c r="BA70" s="1000"/>
    </row>
    <row r="71" spans="1:53">
      <c r="A71" s="6">
        <v>14.680155283713248</v>
      </c>
      <c r="B71" s="508">
        <v>7.0654141329579554</v>
      </c>
      <c r="C71" s="124">
        <v>7.0395674705505371</v>
      </c>
      <c r="D71" s="123">
        <f t="shared" si="39"/>
        <v>1.0869281779098204E-7</v>
      </c>
      <c r="E71" s="123">
        <f t="shared" si="80"/>
        <v>1.1571971716393483</v>
      </c>
      <c r="F71" s="124">
        <f t="shared" si="40"/>
        <v>-2.5846662407418286E-2</v>
      </c>
      <c r="G71" s="122">
        <f t="shared" si="41"/>
        <v>3.0075873747580045E-9</v>
      </c>
      <c r="H71" s="122">
        <f t="shared" si="42"/>
        <v>5.4841474950606539E-5</v>
      </c>
      <c r="I71" s="123">
        <f t="shared" si="43"/>
        <v>6.3476713536383789E-2</v>
      </c>
      <c r="J71" s="123">
        <f t="shared" si="44"/>
        <v>6.3421872061433182E-2</v>
      </c>
      <c r="K71" s="124">
        <f t="shared" si="45"/>
        <v>0.42330131349231448</v>
      </c>
      <c r="L71" s="124">
        <f t="shared" si="46"/>
        <v>0.57669868650768552</v>
      </c>
      <c r="M71" s="122">
        <f t="shared" si="47"/>
        <v>1.0666158597311048</v>
      </c>
      <c r="N71" s="122">
        <f t="shared" si="48"/>
        <v>409.30195000071848</v>
      </c>
      <c r="O71" s="122">
        <f t="shared" si="49"/>
        <v>26310.52138058448</v>
      </c>
      <c r="P71" s="122">
        <f t="shared" si="50"/>
        <v>1.0038901906560997</v>
      </c>
      <c r="Q71" s="122">
        <f t="shared" si="51"/>
        <v>191.63421381384265</v>
      </c>
      <c r="R71" s="122">
        <f t="shared" si="52"/>
        <v>1049.593896971109</v>
      </c>
      <c r="S71" s="122">
        <f t="shared" si="53"/>
        <v>1.0000000000000069</v>
      </c>
      <c r="T71" s="122">
        <f t="shared" si="54"/>
        <v>1.0000000000000069</v>
      </c>
      <c r="U71" s="122">
        <f t="shared" si="55"/>
        <v>378417217.06841499</v>
      </c>
      <c r="V71" s="122">
        <f t="shared" si="56"/>
        <v>1049.593896971109</v>
      </c>
      <c r="W71" s="19">
        <f t="shared" si="57"/>
        <v>6.2608566084576184E-2</v>
      </c>
      <c r="X71" s="19">
        <f t="shared" si="58"/>
        <v>0.99758108918944699</v>
      </c>
      <c r="Y71" s="19">
        <f t="shared" si="59"/>
        <v>1.0008182064551736</v>
      </c>
      <c r="Z71" s="19">
        <f t="shared" si="60"/>
        <v>3.8751157171456395E-3</v>
      </c>
      <c r="AA71" s="19">
        <f t="shared" si="61"/>
        <v>0.9947817251413601</v>
      </c>
      <c r="AB71" s="19">
        <f t="shared" si="62"/>
        <v>1.1316921377337283</v>
      </c>
      <c r="AC71" s="19">
        <f t="shared" si="63"/>
        <v>6.8072372391745354E-15</v>
      </c>
      <c r="AD71" s="19">
        <f t="shared" si="64"/>
        <v>6.8072372391745354E-15</v>
      </c>
      <c r="AE71" s="19">
        <f t="shared" si="65"/>
        <v>0.99999999735741407</v>
      </c>
      <c r="AF71" s="19">
        <f t="shared" si="66"/>
        <v>1.1316921377337283</v>
      </c>
      <c r="AG71" s="122">
        <f t="shared" si="67"/>
        <v>6.2591563460737326E-2</v>
      </c>
      <c r="AH71" s="122">
        <f t="shared" si="68"/>
        <v>2.4968876998980895E-5</v>
      </c>
      <c r="AI71" s="122" t="str">
        <f t="shared" si="69"/>
        <v/>
      </c>
      <c r="AJ71" s="122" t="str">
        <f t="shared" si="70"/>
        <v/>
      </c>
      <c r="AK71" s="122" t="str">
        <f t="shared" si="71"/>
        <v/>
      </c>
      <c r="AL71" s="122" t="str">
        <f t="shared" si="72"/>
        <v/>
      </c>
      <c r="AM71" s="122" t="str">
        <f t="shared" si="73"/>
        <v/>
      </c>
      <c r="AN71" s="122" t="str">
        <f t="shared" si="81"/>
        <v/>
      </c>
      <c r="AO71" s="122">
        <f t="shared" si="74"/>
        <v>5.5930504004497343E-11</v>
      </c>
      <c r="AP71" s="122" t="str">
        <f t="shared" si="75"/>
        <v/>
      </c>
      <c r="AQ71" s="130">
        <f t="shared" si="76"/>
        <v>8.4181965021776189E-2</v>
      </c>
      <c r="AR71" s="122">
        <f t="shared" si="77"/>
        <v>8.4181965021776189E-2</v>
      </c>
      <c r="AS71" s="1001"/>
      <c r="AT71" s="442">
        <v>8.4181965021776189E-2</v>
      </c>
      <c r="AU71" s="131">
        <f t="shared" si="78"/>
        <v>0.79137990687388182</v>
      </c>
      <c r="AV71" s="17"/>
      <c r="AW71" s="124">
        <f t="shared" si="79"/>
        <v>-2.5846662407418286E-2</v>
      </c>
      <c r="AX71" s="16"/>
      <c r="AY71" s="26"/>
      <c r="AZ71" s="1000"/>
      <c r="BA71" s="1000"/>
    </row>
    <row r="72" spans="1:53">
      <c r="A72" s="6">
        <v>14.773074111144524</v>
      </c>
      <c r="B72" s="508">
        <v>7.1705109682570018</v>
      </c>
      <c r="C72" s="124">
        <v>7.1782851219177246</v>
      </c>
      <c r="D72" s="123">
        <f t="shared" si="39"/>
        <v>8.5358228691359987E-8</v>
      </c>
      <c r="E72" s="123">
        <f t="shared" si="80"/>
        <v>1.6898336051436016</v>
      </c>
      <c r="F72" s="124">
        <f t="shared" si="40"/>
        <v>7.7741536607227602E-3</v>
      </c>
      <c r="G72" s="122">
        <f t="shared" si="41"/>
        <v>1.7533776335093832E-10</v>
      </c>
      <c r="H72" s="122">
        <f t="shared" si="42"/>
        <v>-1.3241516655992935E-5</v>
      </c>
      <c r="I72" s="123">
        <f t="shared" si="43"/>
        <v>6.3307094313989482E-2</v>
      </c>
      <c r="J72" s="123">
        <f t="shared" si="44"/>
        <v>6.3320335830645474E-2</v>
      </c>
      <c r="K72" s="124">
        <f t="shared" si="45"/>
        <v>0.42484233818170991</v>
      </c>
      <c r="L72" s="124">
        <f t="shared" si="46"/>
        <v>0.57515766181829009</v>
      </c>
      <c r="M72" s="122">
        <f t="shared" si="47"/>
        <v>1.0521847984003636</v>
      </c>
      <c r="N72" s="122">
        <f t="shared" si="48"/>
        <v>321.43575387201298</v>
      </c>
      <c r="O72" s="122">
        <f t="shared" si="49"/>
        <v>20631.603679391705</v>
      </c>
      <c r="P72" s="122">
        <f t="shared" si="50"/>
        <v>1.0030530412294894</v>
      </c>
      <c r="Q72" s="122">
        <f t="shared" si="51"/>
        <v>150.70813297352623</v>
      </c>
      <c r="R72" s="122">
        <f t="shared" si="52"/>
        <v>799.90857274742882</v>
      </c>
      <c r="S72" s="122">
        <f t="shared" si="53"/>
        <v>1.0000000000000053</v>
      </c>
      <c r="T72" s="122">
        <f t="shared" si="54"/>
        <v>1.0000000000000053</v>
      </c>
      <c r="U72" s="122">
        <f t="shared" si="55"/>
        <v>296983739.00623405</v>
      </c>
      <c r="V72" s="122">
        <f t="shared" si="56"/>
        <v>799.90857274742882</v>
      </c>
      <c r="W72" s="19">
        <f t="shared" si="57"/>
        <v>4.9692086050356694E-2</v>
      </c>
      <c r="X72" s="19">
        <f t="shared" si="58"/>
        <v>0.99690800791945167</v>
      </c>
      <c r="Y72" s="19">
        <f t="shared" si="59"/>
        <v>1.0006236085889892</v>
      </c>
      <c r="Z72" s="19">
        <f t="shared" si="60"/>
        <v>3.0437485397053982E-3</v>
      </c>
      <c r="AA72" s="19">
        <f t="shared" si="61"/>
        <v>0.99336465802959906</v>
      </c>
      <c r="AB72" s="19">
        <f t="shared" si="62"/>
        <v>1.1058801426029301</v>
      </c>
      <c r="AC72" s="19">
        <f t="shared" si="63"/>
        <v>5.3423540865684296E-15</v>
      </c>
      <c r="AD72" s="19">
        <f t="shared" si="64"/>
        <v>5.3423540865684296E-15</v>
      </c>
      <c r="AE72" s="19">
        <f t="shared" si="65"/>
        <v>0.99999999663281225</v>
      </c>
      <c r="AF72" s="19">
        <f t="shared" si="66"/>
        <v>1.1058801426029301</v>
      </c>
      <c r="AG72" s="122">
        <f t="shared" si="67"/>
        <v>6.2887551024307611E-2</v>
      </c>
      <c r="AH72" s="122">
        <f t="shared" si="68"/>
        <v>3.1589611753980818E-5</v>
      </c>
      <c r="AI72" s="122" t="str">
        <f t="shared" si="69"/>
        <v/>
      </c>
      <c r="AJ72" s="122" t="str">
        <f t="shared" si="70"/>
        <v/>
      </c>
      <c r="AK72" s="122" t="str">
        <f t="shared" si="71"/>
        <v/>
      </c>
      <c r="AL72" s="122" t="str">
        <f t="shared" si="72"/>
        <v/>
      </c>
      <c r="AM72" s="122" t="str">
        <f t="shared" si="73"/>
        <v/>
      </c>
      <c r="AN72" s="122" t="str">
        <f t="shared" si="81"/>
        <v/>
      </c>
      <c r="AO72" s="122">
        <f t="shared" si="74"/>
        <v>7.1526195273067111E-11</v>
      </c>
      <c r="AP72" s="122" t="str">
        <f t="shared" si="75"/>
        <v/>
      </c>
      <c r="AQ72" s="130">
        <f t="shared" si="76"/>
        <v>8.4560563671729372E-2</v>
      </c>
      <c r="AR72" s="122">
        <f t="shared" si="77"/>
        <v>8.4560563671729372E-2</v>
      </c>
      <c r="AS72" s="1001"/>
      <c r="AT72" s="442">
        <v>8.4560563671729372E-2</v>
      </c>
      <c r="AU72" s="131">
        <f t="shared" si="78"/>
        <v>0.7911223200167341</v>
      </c>
      <c r="AV72" s="17"/>
      <c r="AW72" s="124">
        <f t="shared" si="79"/>
        <v>7.7741536607227602E-3</v>
      </c>
      <c r="AX72" s="16"/>
      <c r="AY72" s="26"/>
      <c r="AZ72" s="1000"/>
      <c r="BA72" s="1000"/>
    </row>
    <row r="73" spans="1:53">
      <c r="A73" s="6">
        <v>14.84628180769505</v>
      </c>
      <c r="B73" s="508">
        <v>7.335126270298276</v>
      </c>
      <c r="C73" s="124">
        <v>7.3167929649353027</v>
      </c>
      <c r="D73" s="123">
        <f t="shared" ref="D73:D91" si="82">IF(A73="","",10^-((((B73-P$12)/P$13)+7))/$AU73)</f>
        <v>5.8453599736464241E-8</v>
      </c>
      <c r="E73" s="123">
        <f t="shared" si="80"/>
        <v>2.080550712094837</v>
      </c>
      <c r="F73" s="124">
        <f t="shared" si="40"/>
        <v>-1.8333305362973285E-2</v>
      </c>
      <c r="G73" s="122">
        <f t="shared" si="41"/>
        <v>5.9454087448641872E-10</v>
      </c>
      <c r="H73" s="122">
        <f t="shared" si="42"/>
        <v>2.4383208863609784E-5</v>
      </c>
      <c r="I73" s="123">
        <f t="shared" si="43"/>
        <v>6.3174093996319708E-2</v>
      </c>
      <c r="J73" s="123">
        <f t="shared" si="44"/>
        <v>6.3149710787456098E-2</v>
      </c>
      <c r="K73" s="124">
        <f t="shared" si="45"/>
        <v>0.42605067276981523</v>
      </c>
      <c r="L73" s="124">
        <f t="shared" si="46"/>
        <v>0.57394932723018477</v>
      </c>
      <c r="M73" s="122">
        <f t="shared" si="47"/>
        <v>1.0356252822969083</v>
      </c>
      <c r="N73" s="122">
        <f t="shared" si="48"/>
        <v>220.25115062331355</v>
      </c>
      <c r="O73" s="122">
        <f t="shared" si="49"/>
        <v>14102.358251583109</v>
      </c>
      <c r="P73" s="122">
        <f t="shared" si="50"/>
        <v>1.0020889892159301</v>
      </c>
      <c r="Q73" s="122">
        <f t="shared" si="51"/>
        <v>103.52062884024733</v>
      </c>
      <c r="R73" s="122">
        <f t="shared" si="52"/>
        <v>528.68354874960835</v>
      </c>
      <c r="S73" s="122">
        <f t="shared" si="53"/>
        <v>1.0000000000000036</v>
      </c>
      <c r="T73" s="122">
        <f t="shared" si="54"/>
        <v>1.0000000000000036</v>
      </c>
      <c r="U73" s="122">
        <f t="shared" si="55"/>
        <v>203205847.02961558</v>
      </c>
      <c r="V73" s="122">
        <f t="shared" si="56"/>
        <v>528.68354874960835</v>
      </c>
      <c r="W73" s="19">
        <f t="shared" si="57"/>
        <v>3.4445079260595646E-2</v>
      </c>
      <c r="X73" s="19">
        <f t="shared" si="58"/>
        <v>0.99547275514584654</v>
      </c>
      <c r="Y73" s="19">
        <f t="shared" si="59"/>
        <v>1.000389034543</v>
      </c>
      <c r="Z73" s="19">
        <f t="shared" si="60"/>
        <v>2.0846344370720393E-3</v>
      </c>
      <c r="AA73" s="19">
        <f t="shared" si="61"/>
        <v>0.99034008959177411</v>
      </c>
      <c r="AB73" s="19">
        <f t="shared" si="62"/>
        <v>1.0739316092787252</v>
      </c>
      <c r="AC73" s="19">
        <f t="shared" si="63"/>
        <v>3.6554108624954769E-15</v>
      </c>
      <c r="AD73" s="19">
        <f t="shared" si="64"/>
        <v>3.6554108624954769E-15</v>
      </c>
      <c r="AE73" s="19">
        <f t="shared" si="65"/>
        <v>0.99999999507888171</v>
      </c>
      <c r="AF73" s="19">
        <f t="shared" si="66"/>
        <v>1.0739316092787252</v>
      </c>
      <c r="AG73" s="122">
        <f t="shared" si="67"/>
        <v>6.3301365748265837E-2</v>
      </c>
      <c r="AH73" s="122">
        <f t="shared" si="68"/>
        <v>4.5856406722739183E-5</v>
      </c>
      <c r="AI73" s="122" t="str">
        <f t="shared" si="69"/>
        <v/>
      </c>
      <c r="AJ73" s="122" t="str">
        <f t="shared" si="70"/>
        <v/>
      </c>
      <c r="AK73" s="122" t="str">
        <f t="shared" si="71"/>
        <v/>
      </c>
      <c r="AL73" s="122" t="str">
        <f t="shared" si="72"/>
        <v/>
      </c>
      <c r="AM73" s="122" t="str">
        <f t="shared" si="73"/>
        <v/>
      </c>
      <c r="AN73" s="122" t="str">
        <f t="shared" si="81"/>
        <v/>
      </c>
      <c r="AO73" s="122">
        <f t="shared" si="74"/>
        <v>1.0483228681596989E-10</v>
      </c>
      <c r="AP73" s="122" t="str">
        <f t="shared" si="75"/>
        <v/>
      </c>
      <c r="AQ73" s="130">
        <f t="shared" si="76"/>
        <v>8.50482533766449E-2</v>
      </c>
      <c r="AR73" s="122">
        <f t="shared" si="77"/>
        <v>8.50482533766449E-2</v>
      </c>
      <c r="AS73" s="1001"/>
      <c r="AT73" s="442">
        <v>8.5048253376644886E-2</v>
      </c>
      <c r="AU73" s="131">
        <f t="shared" si="78"/>
        <v>0.79079236628453975</v>
      </c>
      <c r="AV73" s="17"/>
      <c r="AW73" s="124">
        <f t="shared" si="79"/>
        <v>-1.8333305362973285E-2</v>
      </c>
      <c r="AX73" s="16"/>
      <c r="AY73" s="26"/>
      <c r="AZ73" s="1000"/>
      <c r="BA73" s="1000"/>
    </row>
    <row r="74" spans="1:53">
      <c r="A74" s="6">
        <v>14.905741201073397</v>
      </c>
      <c r="B74" s="508">
        <v>7.4488420585508965</v>
      </c>
      <c r="C74" s="124">
        <v>7.4554896354675293</v>
      </c>
      <c r="D74" s="123">
        <f t="shared" si="82"/>
        <v>4.499674719347262E-8</v>
      </c>
      <c r="E74" s="123">
        <f t="shared" si="80"/>
        <v>2.8914921964778917</v>
      </c>
      <c r="F74" s="124">
        <f t="shared" si="40"/>
        <v>6.6475769166327581E-3</v>
      </c>
      <c r="G74" s="122">
        <f t="shared" si="41"/>
        <v>5.6059264338711804E-11</v>
      </c>
      <c r="H74" s="122">
        <f t="shared" si="42"/>
        <v>-7.4872734916464623E-6</v>
      </c>
      <c r="I74" s="123">
        <f t="shared" si="43"/>
        <v>6.3066481518343376E-2</v>
      </c>
      <c r="J74" s="123">
        <f t="shared" si="44"/>
        <v>6.3073968791835022E-2</v>
      </c>
      <c r="K74" s="124">
        <f t="shared" si="45"/>
        <v>0.42702835373726505</v>
      </c>
      <c r="L74" s="124">
        <f t="shared" si="46"/>
        <v>0.572971646262735</v>
      </c>
      <c r="M74" s="122">
        <f t="shared" si="47"/>
        <v>1.0273830783279048</v>
      </c>
      <c r="N74" s="122">
        <f t="shared" si="48"/>
        <v>169.70934445318844</v>
      </c>
      <c r="O74" s="122">
        <f t="shared" si="49"/>
        <v>10846.314883198798</v>
      </c>
      <c r="P74" s="122">
        <f t="shared" si="50"/>
        <v>1.0016074399697257</v>
      </c>
      <c r="Q74" s="122">
        <f t="shared" si="51"/>
        <v>79.918917548934601</v>
      </c>
      <c r="R74" s="122">
        <f t="shared" si="52"/>
        <v>399.7752665084231</v>
      </c>
      <c r="S74" s="122">
        <f t="shared" si="53"/>
        <v>1.0000000000000029</v>
      </c>
      <c r="T74" s="122">
        <f t="shared" si="54"/>
        <v>1.0000000000000029</v>
      </c>
      <c r="U74" s="122">
        <f t="shared" si="55"/>
        <v>156363277.79388049</v>
      </c>
      <c r="V74" s="122">
        <f t="shared" si="56"/>
        <v>399.7752665084231</v>
      </c>
      <c r="W74" s="19">
        <f t="shared" si="57"/>
        <v>2.6680234991802127E-2</v>
      </c>
      <c r="X74" s="19">
        <f t="shared" si="58"/>
        <v>0.99411758660725524</v>
      </c>
      <c r="Y74" s="19">
        <f t="shared" si="59"/>
        <v>1.0002617520083688</v>
      </c>
      <c r="Z74" s="19">
        <f t="shared" si="60"/>
        <v>1.6048602532088721E-3</v>
      </c>
      <c r="AA74" s="19">
        <f t="shared" si="61"/>
        <v>0.98748731801343914</v>
      </c>
      <c r="AB74" s="19">
        <f t="shared" si="62"/>
        <v>1.0568467531228911</v>
      </c>
      <c r="AC74" s="19">
        <f t="shared" si="63"/>
        <v>2.8127735084405639E-15</v>
      </c>
      <c r="AD74" s="19">
        <f t="shared" si="64"/>
        <v>2.8127735084405639E-15</v>
      </c>
      <c r="AE74" s="19">
        <f t="shared" si="65"/>
        <v>0.99999999360463654</v>
      </c>
      <c r="AF74" s="19">
        <f t="shared" si="66"/>
        <v>1.0568467531228911</v>
      </c>
      <c r="AG74" s="122">
        <f t="shared" si="67"/>
        <v>6.3471194481960119E-2</v>
      </c>
      <c r="AH74" s="122">
        <f t="shared" si="68"/>
        <v>5.9342415980184796E-5</v>
      </c>
      <c r="AI74" s="122" t="str">
        <f t="shared" si="69"/>
        <v/>
      </c>
      <c r="AJ74" s="122" t="str">
        <f t="shared" si="70"/>
        <v/>
      </c>
      <c r="AK74" s="122" t="str">
        <f t="shared" si="71"/>
        <v/>
      </c>
      <c r="AL74" s="122" t="str">
        <f t="shared" si="72"/>
        <v/>
      </c>
      <c r="AM74" s="122" t="str">
        <f t="shared" si="73"/>
        <v/>
      </c>
      <c r="AN74" s="122" t="str">
        <f t="shared" si="81"/>
        <v/>
      </c>
      <c r="AO74" s="122">
        <f t="shared" si="74"/>
        <v>1.3655007741017611E-10</v>
      </c>
      <c r="AP74" s="122" t="str">
        <f t="shared" si="75"/>
        <v/>
      </c>
      <c r="AQ74" s="130">
        <f t="shared" si="76"/>
        <v>8.527980819624259E-2</v>
      </c>
      <c r="AR74" s="122">
        <f t="shared" si="77"/>
        <v>8.527980819624259E-2</v>
      </c>
      <c r="AS74" s="1001"/>
      <c r="AT74" s="442">
        <v>8.527980819624259E-2</v>
      </c>
      <c r="AU74" s="131">
        <f t="shared" si="78"/>
        <v>0.7906364304313902</v>
      </c>
      <c r="AV74" s="17"/>
      <c r="AW74" s="124">
        <f t="shared" si="79"/>
        <v>6.6475769166327581E-3</v>
      </c>
      <c r="AX74" s="16"/>
      <c r="AY74" s="26"/>
      <c r="AZ74" s="1000"/>
      <c r="BA74" s="1000"/>
    </row>
    <row r="75" spans="1:53">
      <c r="A75" s="6">
        <v>14.956614199036267</v>
      </c>
      <c r="B75" s="508">
        <v>7.6457454612215425</v>
      </c>
      <c r="C75" s="124">
        <v>7.5933661460876465</v>
      </c>
      <c r="D75" s="123">
        <f t="shared" si="82"/>
        <v>2.8602075392979729E-8</v>
      </c>
      <c r="E75" s="123">
        <f t="shared" si="80"/>
        <v>3.1988041364721331</v>
      </c>
      <c r="F75" s="124">
        <f t="shared" si="40"/>
        <v>-5.2379315133896043E-2</v>
      </c>
      <c r="G75" s="122">
        <f t="shared" si="41"/>
        <v>2.6781053472269888E-9</v>
      </c>
      <c r="H75" s="122">
        <f t="shared" si="42"/>
        <v>5.1750413981213605E-5</v>
      </c>
      <c r="I75" s="123">
        <f t="shared" si="43"/>
        <v>6.2974699717979643E-2</v>
      </c>
      <c r="J75" s="123">
        <f t="shared" si="44"/>
        <v>6.2922949303998429E-2</v>
      </c>
      <c r="K75" s="124">
        <f t="shared" si="45"/>
        <v>0.42786220982032669</v>
      </c>
      <c r="L75" s="124">
        <f t="shared" si="46"/>
        <v>0.57213779017967326</v>
      </c>
      <c r="M75" s="122">
        <f t="shared" si="47"/>
        <v>1.0173707696306991</v>
      </c>
      <c r="N75" s="122">
        <f t="shared" si="48"/>
        <v>108.18013786676644</v>
      </c>
      <c r="O75" s="122">
        <f t="shared" si="49"/>
        <v>6886.3053187600763</v>
      </c>
      <c r="P75" s="122">
        <f t="shared" si="50"/>
        <v>1.0010212017032238</v>
      </c>
      <c r="Q75" s="122">
        <f t="shared" si="51"/>
        <v>51.164622343955166</v>
      </c>
      <c r="R75" s="122">
        <f t="shared" si="52"/>
        <v>248.70680516995796</v>
      </c>
      <c r="S75" s="122">
        <f t="shared" si="53"/>
        <v>1.0000000000000018</v>
      </c>
      <c r="T75" s="122">
        <f t="shared" si="54"/>
        <v>1.0000000000000018</v>
      </c>
      <c r="U75" s="122">
        <f t="shared" si="55"/>
        <v>99337113.172728986</v>
      </c>
      <c r="V75" s="122">
        <f t="shared" si="56"/>
        <v>248.70680516995796</v>
      </c>
      <c r="W75" s="19">
        <f t="shared" si="57"/>
        <v>1.7085165712738073E-2</v>
      </c>
      <c r="X75" s="19">
        <f t="shared" si="58"/>
        <v>0.99076250291890267</v>
      </c>
      <c r="Y75" s="19">
        <f t="shared" si="59"/>
        <v>1.0000796642164671</v>
      </c>
      <c r="Z75" s="19">
        <f t="shared" si="60"/>
        <v>1.0201599141819095E-3</v>
      </c>
      <c r="AA75" s="19">
        <f t="shared" si="61"/>
        <v>0.98045524516378757</v>
      </c>
      <c r="AB75" s="19">
        <f t="shared" si="62"/>
        <v>1.0344604694350505</v>
      </c>
      <c r="AC75" s="19">
        <f t="shared" si="63"/>
        <v>1.7869464189063002E-15</v>
      </c>
      <c r="AD75" s="19">
        <f t="shared" si="64"/>
        <v>1.7869464189063002E-15</v>
      </c>
      <c r="AE75" s="19">
        <f t="shared" si="65"/>
        <v>0.999999989933269</v>
      </c>
      <c r="AF75" s="19">
        <f t="shared" si="66"/>
        <v>1.0344604694350505</v>
      </c>
      <c r="AG75" s="122">
        <f t="shared" si="67"/>
        <v>6.372152243087531E-2</v>
      </c>
      <c r="AH75" s="122">
        <f t="shared" si="68"/>
        <v>9.2864869873545235E-5</v>
      </c>
      <c r="AI75" s="122" t="str">
        <f t="shared" si="69"/>
        <v/>
      </c>
      <c r="AJ75" s="122" t="str">
        <f t="shared" si="70"/>
        <v/>
      </c>
      <c r="AK75" s="122" t="str">
        <f t="shared" si="71"/>
        <v/>
      </c>
      <c r="AL75" s="122" t="str">
        <f t="shared" si="72"/>
        <v/>
      </c>
      <c r="AM75" s="122" t="str">
        <f t="shared" si="73"/>
        <v/>
      </c>
      <c r="AN75" s="122" t="str">
        <f t="shared" si="81"/>
        <v/>
      </c>
      <c r="AO75" s="122">
        <f t="shared" si="74"/>
        <v>2.153586892928693E-10</v>
      </c>
      <c r="AP75" s="122" t="str">
        <f t="shared" si="75"/>
        <v/>
      </c>
      <c r="AQ75" s="130">
        <f t="shared" si="76"/>
        <v>8.5604867320664885E-2</v>
      </c>
      <c r="AR75" s="122">
        <f t="shared" si="77"/>
        <v>8.5604867320664885E-2</v>
      </c>
      <c r="AS75" s="1001"/>
      <c r="AT75" s="442">
        <v>8.5604867320664885E-2</v>
      </c>
      <c r="AU75" s="131">
        <f t="shared" si="78"/>
        <v>0.79041830925752476</v>
      </c>
      <c r="AV75" s="17"/>
      <c r="AW75" s="124">
        <f t="shared" si="79"/>
        <v>-5.2379315133896043E-2</v>
      </c>
      <c r="AX75" s="16"/>
      <c r="AY75" s="26"/>
      <c r="AZ75" s="1000"/>
      <c r="BA75" s="1000"/>
    </row>
    <row r="76" spans="1:53">
      <c r="A76" s="6">
        <v>15.003504943160806</v>
      </c>
      <c r="B76" s="508">
        <v>7.7642439426149625</v>
      </c>
      <c r="C76" s="124">
        <v>7.7303175926208496</v>
      </c>
      <c r="D76" s="123">
        <f t="shared" si="82"/>
        <v>2.1774343767850104E-8</v>
      </c>
      <c r="E76" s="123">
        <f t="shared" si="80"/>
        <v>2.4735614723517472</v>
      </c>
      <c r="F76" s="124">
        <f t="shared" si="40"/>
        <v>-3.3926349994112925E-2</v>
      </c>
      <c r="G76" s="122">
        <f t="shared" si="41"/>
        <v>1.0920557527999819E-9</v>
      </c>
      <c r="H76" s="122">
        <f t="shared" si="42"/>
        <v>3.3046266851188832E-5</v>
      </c>
      <c r="I76" s="123">
        <f t="shared" si="43"/>
        <v>6.2890338722256772E-2</v>
      </c>
      <c r="J76" s="123">
        <f t="shared" si="44"/>
        <v>6.2857292455405583E-2</v>
      </c>
      <c r="K76" s="124">
        <f t="shared" si="45"/>
        <v>0.42862864640337339</v>
      </c>
      <c r="L76" s="124">
        <f t="shared" si="46"/>
        <v>0.57137135359662661</v>
      </c>
      <c r="M76" s="122">
        <f t="shared" si="47"/>
        <v>1.0132136780499055</v>
      </c>
      <c r="N76" s="122">
        <f t="shared" si="48"/>
        <v>82.577267964888392</v>
      </c>
      <c r="O76" s="122">
        <f t="shared" si="49"/>
        <v>5240.1804844976105</v>
      </c>
      <c r="P76" s="122">
        <f t="shared" si="50"/>
        <v>1.0007772612909938</v>
      </c>
      <c r="Q76" s="122">
        <f t="shared" si="51"/>
        <v>39.189596974831957</v>
      </c>
      <c r="R76" s="122">
        <f t="shared" si="52"/>
        <v>187.75599805482159</v>
      </c>
      <c r="S76" s="122">
        <f t="shared" si="53"/>
        <v>1.0000000000000013</v>
      </c>
      <c r="T76" s="122">
        <f t="shared" si="54"/>
        <v>1.0000000000000013</v>
      </c>
      <c r="U76" s="122">
        <f t="shared" si="55"/>
        <v>75607877.296344027</v>
      </c>
      <c r="V76" s="122">
        <f t="shared" si="56"/>
        <v>187.75599805482159</v>
      </c>
      <c r="W76" s="19">
        <f t="shared" si="57"/>
        <v>1.3047741062349034E-2</v>
      </c>
      <c r="X76" s="19">
        <f t="shared" si="58"/>
        <v>0.98789494537121447</v>
      </c>
      <c r="Y76" s="19">
        <f t="shared" si="59"/>
        <v>0.99998032984222762</v>
      </c>
      <c r="Z76" s="19">
        <f t="shared" si="60"/>
        <v>7.766576250853866E-4</v>
      </c>
      <c r="AA76" s="19">
        <f t="shared" si="61"/>
        <v>0.97448302413923238</v>
      </c>
      <c r="AB76" s="19">
        <f t="shared" si="62"/>
        <v>1.0241970565565353</v>
      </c>
      <c r="AC76" s="19">
        <f t="shared" si="63"/>
        <v>1.3600880963007156E-15</v>
      </c>
      <c r="AD76" s="19">
        <f t="shared" si="64"/>
        <v>1.3600880963007156E-15</v>
      </c>
      <c r="AE76" s="19">
        <f t="shared" si="65"/>
        <v>0.99999998677386492</v>
      </c>
      <c r="AF76" s="19">
        <f t="shared" si="66"/>
        <v>1.0241970565565353</v>
      </c>
      <c r="AG76" s="122">
        <f t="shared" si="67"/>
        <v>6.3780199539943669E-2</v>
      </c>
      <c r="AH76" s="122">
        <f t="shared" si="68"/>
        <v>1.214593688006941E-4</v>
      </c>
      <c r="AI76" s="122" t="str">
        <f t="shared" si="69"/>
        <v/>
      </c>
      <c r="AJ76" s="122" t="str">
        <f t="shared" si="70"/>
        <v/>
      </c>
      <c r="AK76" s="122" t="str">
        <f t="shared" si="71"/>
        <v/>
      </c>
      <c r="AL76" s="122" t="str">
        <f t="shared" si="72"/>
        <v/>
      </c>
      <c r="AM76" s="122" t="str">
        <f t="shared" si="73"/>
        <v/>
      </c>
      <c r="AN76" s="122" t="str">
        <f t="shared" si="81"/>
        <v/>
      </c>
      <c r="AO76" s="122">
        <f t="shared" si="74"/>
        <v>2.8345501932514875E-10</v>
      </c>
      <c r="AP76" s="122" t="str">
        <f t="shared" si="75"/>
        <v/>
      </c>
      <c r="AQ76" s="130">
        <f t="shared" si="76"/>
        <v>8.573001391014598E-2</v>
      </c>
      <c r="AR76" s="122">
        <f t="shared" si="77"/>
        <v>8.573001391014598E-2</v>
      </c>
      <c r="AS76" s="1001"/>
      <c r="AT76" s="442">
        <v>8.573001391014598E-2</v>
      </c>
      <c r="AU76" s="131">
        <f t="shared" si="78"/>
        <v>0.79033457618501024</v>
      </c>
      <c r="AV76" s="17"/>
      <c r="AW76" s="124">
        <f t="shared" si="79"/>
        <v>-3.3926349994112925E-2</v>
      </c>
      <c r="AX76" s="16"/>
      <c r="AY76" s="26"/>
      <c r="AZ76" s="1000"/>
      <c r="BA76" s="1000"/>
    </row>
    <row r="77" spans="1:53">
      <c r="A77" s="6">
        <v>15.050747345958371</v>
      </c>
      <c r="B77" s="508">
        <v>7.8785707528177369</v>
      </c>
      <c r="C77" s="124">
        <v>7.8659453392028809</v>
      </c>
      <c r="D77" s="123">
        <f t="shared" si="82"/>
        <v>1.6736051822460672E-8</v>
      </c>
      <c r="E77" s="123">
        <f t="shared" si="80"/>
        <v>2.6789506656145434</v>
      </c>
      <c r="F77" s="124">
        <f t="shared" si="40"/>
        <v>-1.2625413614856029E-2</v>
      </c>
      <c r="G77" s="122">
        <f t="shared" si="41"/>
        <v>1.7131297412859456E-10</v>
      </c>
      <c r="H77" s="122">
        <f t="shared" si="42"/>
        <v>1.3088658224913452E-5</v>
      </c>
      <c r="I77" s="123">
        <f t="shared" si="43"/>
        <v>6.2805573319548891E-2</v>
      </c>
      <c r="J77" s="123">
        <f t="shared" si="44"/>
        <v>6.2792484661323977E-2</v>
      </c>
      <c r="K77" s="124">
        <f t="shared" si="45"/>
        <v>0.42939875710507042</v>
      </c>
      <c r="L77" s="124">
        <f t="shared" si="46"/>
        <v>0.57060124289492953</v>
      </c>
      <c r="M77" s="122">
        <f t="shared" si="47"/>
        <v>1.0101501837411</v>
      </c>
      <c r="N77" s="122">
        <f t="shared" si="48"/>
        <v>63.691276021955709</v>
      </c>
      <c r="O77" s="122">
        <f t="shared" si="49"/>
        <v>4026.4561077528156</v>
      </c>
      <c r="P77" s="122">
        <f t="shared" si="50"/>
        <v>1.0005973178351228</v>
      </c>
      <c r="Q77" s="122">
        <f t="shared" si="51"/>
        <v>30.353034969227039</v>
      </c>
      <c r="R77" s="122">
        <f t="shared" si="52"/>
        <v>143.51118789753539</v>
      </c>
      <c r="S77" s="122">
        <f t="shared" si="53"/>
        <v>1.0000000000000011</v>
      </c>
      <c r="T77" s="122">
        <f t="shared" si="54"/>
        <v>1.0000000000000011</v>
      </c>
      <c r="U77" s="122">
        <f t="shared" si="55"/>
        <v>58103927.582822151</v>
      </c>
      <c r="V77" s="122">
        <f t="shared" si="56"/>
        <v>143.51118789753539</v>
      </c>
      <c r="W77" s="19">
        <f t="shared" si="57"/>
        <v>1.0051974504243742E-2</v>
      </c>
      <c r="X77" s="19">
        <f t="shared" si="58"/>
        <v>0.98430295048699301</v>
      </c>
      <c r="Y77" s="19">
        <f t="shared" si="59"/>
        <v>0.99988317738084131</v>
      </c>
      <c r="Z77" s="19">
        <f t="shared" si="60"/>
        <v>5.9696125951566711E-4</v>
      </c>
      <c r="AA77" s="19">
        <f t="shared" si="61"/>
        <v>0.96705436537025591</v>
      </c>
      <c r="AB77" s="19">
        <f t="shared" si="62"/>
        <v>1.0158394017511752</v>
      </c>
      <c r="AC77" s="19">
        <f t="shared" si="63"/>
        <v>1.0452146358811575E-15</v>
      </c>
      <c r="AD77" s="19">
        <f t="shared" si="64"/>
        <v>1.0452146358811575E-15</v>
      </c>
      <c r="AE77" s="19">
        <f t="shared" si="65"/>
        <v>0.99999998278945945</v>
      </c>
      <c r="AF77" s="19">
        <f t="shared" si="66"/>
        <v>1.0158394017511752</v>
      </c>
      <c r="AG77" s="122">
        <f t="shared" si="67"/>
        <v>6.3800978740563605E-2</v>
      </c>
      <c r="AH77" s="122">
        <f t="shared" si="68"/>
        <v>1.5723714936942523E-4</v>
      </c>
      <c r="AI77" s="122" t="str">
        <f t="shared" si="69"/>
        <v/>
      </c>
      <c r="AJ77" s="122" t="str">
        <f t="shared" si="70"/>
        <v/>
      </c>
      <c r="AK77" s="122" t="str">
        <f t="shared" si="71"/>
        <v/>
      </c>
      <c r="AL77" s="122" t="str">
        <f t="shared" si="72"/>
        <v/>
      </c>
      <c r="AM77" s="122" t="str">
        <f t="shared" si="73"/>
        <v/>
      </c>
      <c r="AN77" s="122" t="str">
        <f t="shared" si="81"/>
        <v/>
      </c>
      <c r="AO77" s="122">
        <f t="shared" si="74"/>
        <v>3.6950923540667663E-10</v>
      </c>
      <c r="AP77" s="122" t="str">
        <f t="shared" si="75"/>
        <v/>
      </c>
      <c r="AQ77" s="130">
        <f t="shared" si="76"/>
        <v>8.582465103153665E-2</v>
      </c>
      <c r="AR77" s="122">
        <f t="shared" si="77"/>
        <v>8.582465103153665E-2</v>
      </c>
      <c r="AS77" s="1001"/>
      <c r="AT77" s="442">
        <v>8.582465103153665E-2</v>
      </c>
      <c r="AU77" s="131">
        <f t="shared" si="78"/>
        <v>0.79027134569291391</v>
      </c>
      <c r="AV77" s="17"/>
      <c r="AW77" s="124">
        <f t="shared" si="79"/>
        <v>-1.2625413614856029E-2</v>
      </c>
      <c r="AX77" s="16"/>
      <c r="AY77" s="26"/>
      <c r="AZ77" s="1000"/>
      <c r="BA77" s="1000"/>
    </row>
    <row r="78" spans="1:53">
      <c r="A78" s="6">
        <v>15.102709837083239</v>
      </c>
      <c r="B78" s="508">
        <v>8.0312312097087091</v>
      </c>
      <c r="C78" s="124">
        <v>8.000582218170166</v>
      </c>
      <c r="D78" s="123">
        <f t="shared" si="82"/>
        <v>1.1777023889858332E-8</v>
      </c>
      <c r="E78" s="123">
        <f t="shared" si="80"/>
        <v>2.318036706325743</v>
      </c>
      <c r="F78" s="124">
        <f t="shared" si="40"/>
        <v>-3.0648991538543058E-2</v>
      </c>
      <c r="G78" s="122">
        <f t="shared" si="41"/>
        <v>1.3694120544335032E-9</v>
      </c>
      <c r="H78" s="122">
        <f t="shared" si="42"/>
        <v>3.7005567884218493E-5</v>
      </c>
      <c r="I78" s="123">
        <f t="shared" si="43"/>
        <v>6.2712602319265565E-2</v>
      </c>
      <c r="J78" s="123">
        <f t="shared" si="44"/>
        <v>6.2675596751381346E-2</v>
      </c>
      <c r="K78" s="124">
        <f t="shared" si="45"/>
        <v>0.4302434173081538</v>
      </c>
      <c r="L78" s="124">
        <f t="shared" si="46"/>
        <v>0.56975658269184626</v>
      </c>
      <c r="M78" s="122">
        <f t="shared" si="47"/>
        <v>1.0071375631230071</v>
      </c>
      <c r="N78" s="122">
        <f t="shared" si="48"/>
        <v>45.10655821183893</v>
      </c>
      <c r="O78" s="122">
        <f t="shared" si="49"/>
        <v>2832.4486953511837</v>
      </c>
      <c r="P78" s="122">
        <f t="shared" si="50"/>
        <v>1.0004202444867307</v>
      </c>
      <c r="Q78" s="122">
        <f t="shared" si="51"/>
        <v>21.655492570147139</v>
      </c>
      <c r="R78" s="122">
        <f t="shared" si="52"/>
        <v>100.56172688423037</v>
      </c>
      <c r="S78" s="122">
        <f t="shared" si="53"/>
        <v>1.0000000000000007</v>
      </c>
      <c r="T78" s="122">
        <f t="shared" si="54"/>
        <v>1.0000000000000007</v>
      </c>
      <c r="U78" s="122">
        <f t="shared" si="55"/>
        <v>40879166.777497992</v>
      </c>
      <c r="V78" s="122">
        <f t="shared" si="56"/>
        <v>100.56172688423037</v>
      </c>
      <c r="W78" s="19">
        <f t="shared" si="57"/>
        <v>7.0888557510205086E-3</v>
      </c>
      <c r="X78" s="19">
        <f t="shared" si="58"/>
        <v>0.97783285289498889</v>
      </c>
      <c r="Y78" s="19">
        <f t="shared" si="59"/>
        <v>0.99973948411107205</v>
      </c>
      <c r="Z78" s="19">
        <f t="shared" si="60"/>
        <v>4.2006795548847354E-4</v>
      </c>
      <c r="AA78" s="19">
        <f t="shared" si="61"/>
        <v>0.95382233875490163</v>
      </c>
      <c r="AB78" s="19">
        <f t="shared" si="62"/>
        <v>1.0061637170113673</v>
      </c>
      <c r="AC78" s="19">
        <f t="shared" si="63"/>
        <v>7.3536342353601365E-16</v>
      </c>
      <c r="AD78" s="19">
        <f t="shared" si="64"/>
        <v>7.3536342353601365E-16</v>
      </c>
      <c r="AE78" s="19">
        <f t="shared" si="65"/>
        <v>0.99999997553766184</v>
      </c>
      <c r="AF78" s="19">
        <f t="shared" si="66"/>
        <v>1.0061637170113673</v>
      </c>
      <c r="AG78" s="122">
        <f t="shared" si="67"/>
        <v>6.3811968205006855E-2</v>
      </c>
      <c r="AH78" s="122">
        <f t="shared" si="68"/>
        <v>2.2166675421984007E-4</v>
      </c>
      <c r="AI78" s="122" t="str">
        <f t="shared" si="69"/>
        <v/>
      </c>
      <c r="AJ78" s="122" t="str">
        <f t="shared" si="70"/>
        <v/>
      </c>
      <c r="AK78" s="122" t="str">
        <f t="shared" si="71"/>
        <v/>
      </c>
      <c r="AL78" s="122" t="str">
        <f t="shared" si="72"/>
        <v/>
      </c>
      <c r="AM78" s="122" t="str">
        <f t="shared" si="73"/>
        <v/>
      </c>
      <c r="AN78" s="122" t="str">
        <f t="shared" si="81"/>
        <v/>
      </c>
      <c r="AO78" s="122">
        <f t="shared" si="74"/>
        <v>5.2623799752320547E-10</v>
      </c>
      <c r="AP78" s="122" t="str">
        <f t="shared" si="75"/>
        <v/>
      </c>
      <c r="AQ78" s="130">
        <f t="shared" si="76"/>
        <v>8.5941917534501255E-2</v>
      </c>
      <c r="AR78" s="122">
        <f t="shared" si="77"/>
        <v>8.5941917534501255E-2</v>
      </c>
      <c r="AS78" s="1001"/>
      <c r="AT78" s="442">
        <v>8.5941917534501255E-2</v>
      </c>
      <c r="AU78" s="131">
        <f t="shared" si="78"/>
        <v>0.79019310214667948</v>
      </c>
      <c r="AV78" s="17"/>
      <c r="AW78" s="124">
        <f t="shared" si="79"/>
        <v>-3.0648991538543058E-2</v>
      </c>
      <c r="AX78" s="16"/>
      <c r="AY78" s="26"/>
      <c r="AZ78" s="1000"/>
      <c r="BA78" s="1000"/>
    </row>
    <row r="79" spans="1:53">
      <c r="A79" s="6">
        <v>15.16410350886872</v>
      </c>
      <c r="B79" s="508">
        <v>8.1354884830845489</v>
      </c>
      <c r="C79" s="124">
        <v>8.134885311126709</v>
      </c>
      <c r="D79" s="123">
        <f t="shared" si="82"/>
        <v>9.2639529581840176E-9</v>
      </c>
      <c r="E79" s="123">
        <f t="shared" si="80"/>
        <v>1.8311608678704774</v>
      </c>
      <c r="F79" s="124">
        <f t="shared" si="40"/>
        <v>-6.0317195783987643E-4</v>
      </c>
      <c r="G79" s="122">
        <f t="shared" si="41"/>
        <v>7.5128529277352796E-13</v>
      </c>
      <c r="H79" s="122">
        <f t="shared" si="42"/>
        <v>8.6676715026212658E-7</v>
      </c>
      <c r="I79" s="123">
        <f t="shared" si="43"/>
        <v>6.2603111203627396E-2</v>
      </c>
      <c r="J79" s="123">
        <f t="shared" si="44"/>
        <v>6.2602244436477134E-2</v>
      </c>
      <c r="K79" s="124">
        <f t="shared" si="45"/>
        <v>0.43123816607592996</v>
      </c>
      <c r="L79" s="124">
        <f t="shared" si="46"/>
        <v>0.56876183392407009</v>
      </c>
      <c r="M79" s="122">
        <f t="shared" si="47"/>
        <v>1.005612777731052</v>
      </c>
      <c r="N79" s="122">
        <f t="shared" si="48"/>
        <v>35.691860667029168</v>
      </c>
      <c r="O79" s="122">
        <f t="shared" si="49"/>
        <v>2227.8382212395763</v>
      </c>
      <c r="P79" s="122">
        <f t="shared" si="50"/>
        <v>1.0003305420321393</v>
      </c>
      <c r="Q79" s="122">
        <f t="shared" si="51"/>
        <v>17.247866463338251</v>
      </c>
      <c r="R79" s="122">
        <f t="shared" si="52"/>
        <v>79.031530851432251</v>
      </c>
      <c r="S79" s="122">
        <f t="shared" si="53"/>
        <v>1.0000000000000007</v>
      </c>
      <c r="T79" s="122">
        <f t="shared" si="54"/>
        <v>1.0000000000000007</v>
      </c>
      <c r="U79" s="122">
        <f t="shared" si="55"/>
        <v>32153385.410509866</v>
      </c>
      <c r="V79" s="122">
        <f t="shared" si="56"/>
        <v>79.031530851432251</v>
      </c>
      <c r="W79" s="19">
        <f t="shared" si="57"/>
        <v>5.5826125969468321E-3</v>
      </c>
      <c r="X79" s="19">
        <f t="shared" si="58"/>
        <v>0.97198442354645775</v>
      </c>
      <c r="Y79" s="19">
        <f t="shared" si="59"/>
        <v>0.99962391236799808</v>
      </c>
      <c r="Z79" s="19">
        <f t="shared" si="60"/>
        <v>3.3043281020672747E-4</v>
      </c>
      <c r="AA79" s="19">
        <f t="shared" si="61"/>
        <v>0.94202181457482981</v>
      </c>
      <c r="AB79" s="19">
        <f t="shared" si="62"/>
        <v>1.0000257739147103</v>
      </c>
      <c r="AC79" s="19">
        <f t="shared" si="63"/>
        <v>5.7839788040093262E-16</v>
      </c>
      <c r="AD79" s="19">
        <f t="shared" si="64"/>
        <v>5.7839788040093262E-16</v>
      </c>
      <c r="AE79" s="19">
        <f t="shared" si="65"/>
        <v>0.99999996889907583</v>
      </c>
      <c r="AF79" s="19">
        <f t="shared" si="66"/>
        <v>1.0000257739147103</v>
      </c>
      <c r="AG79" s="122">
        <f t="shared" si="67"/>
        <v>6.3754063010734843E-2</v>
      </c>
      <c r="AH79" s="122">
        <f t="shared" si="68"/>
        <v>2.7963588520922312E-4</v>
      </c>
      <c r="AI79" s="122" t="str">
        <f t="shared" si="69"/>
        <v/>
      </c>
      <c r="AJ79" s="122" t="str">
        <f t="shared" si="70"/>
        <v/>
      </c>
      <c r="AK79" s="122" t="str">
        <f t="shared" si="71"/>
        <v/>
      </c>
      <c r="AL79" s="122" t="str">
        <f t="shared" si="72"/>
        <v/>
      </c>
      <c r="AM79" s="122" t="str">
        <f t="shared" si="73"/>
        <v/>
      </c>
      <c r="AN79" s="122" t="str">
        <f t="shared" si="81"/>
        <v/>
      </c>
      <c r="AO79" s="122">
        <f t="shared" si="74"/>
        <v>6.7059527413709396E-10</v>
      </c>
      <c r="AP79" s="122" t="str">
        <f t="shared" si="75"/>
        <v/>
      </c>
      <c r="AQ79" s="130">
        <f t="shared" si="76"/>
        <v>8.5991213215872886E-2</v>
      </c>
      <c r="AR79" s="122">
        <f t="shared" si="77"/>
        <v>8.5991213215872886E-2</v>
      </c>
      <c r="AS79" s="1001"/>
      <c r="AT79" s="442">
        <v>8.5991213215872886E-2</v>
      </c>
      <c r="AU79" s="131">
        <f t="shared" si="78"/>
        <v>0.79016024578083632</v>
      </c>
      <c r="AV79" s="17"/>
      <c r="AW79" s="124">
        <f t="shared" si="79"/>
        <v>-6.0317195783987643E-4</v>
      </c>
      <c r="AX79" s="16"/>
      <c r="AY79" s="26"/>
      <c r="AZ79" s="1000"/>
      <c r="BA79" s="1000"/>
    </row>
    <row r="80" spans="1:53">
      <c r="A80" s="6">
        <v>15.240280378202442</v>
      </c>
      <c r="B80" s="508">
        <v>8.2851109395244986</v>
      </c>
      <c r="C80" s="124">
        <v>8.2692437171936035</v>
      </c>
      <c r="D80" s="123">
        <f t="shared" si="82"/>
        <v>6.5645802521581926E-9</v>
      </c>
      <c r="E80" s="123">
        <f t="shared" si="80"/>
        <v>1.6569367789215488</v>
      </c>
      <c r="F80" s="124">
        <f t="shared" si="40"/>
        <v>-1.5867222330895103E-2</v>
      </c>
      <c r="G80" s="122">
        <f t="shared" si="41"/>
        <v>8.4393116694131578E-10</v>
      </c>
      <c r="H80" s="122">
        <f t="shared" si="42"/>
        <v>2.9050493402717203E-5</v>
      </c>
      <c r="I80" s="123">
        <f t="shared" si="43"/>
        <v>6.2467785690582013E-2</v>
      </c>
      <c r="J80" s="123">
        <f t="shared" si="44"/>
        <v>6.2438735197179296E-2</v>
      </c>
      <c r="K80" s="124">
        <f t="shared" si="45"/>
        <v>0.43246762553084511</v>
      </c>
      <c r="L80" s="124">
        <f t="shared" si="46"/>
        <v>0.56753237446915494</v>
      </c>
      <c r="M80" s="122">
        <f t="shared" si="47"/>
        <v>1.0039752425128043</v>
      </c>
      <c r="N80" s="122">
        <f t="shared" si="48"/>
        <v>25.579429429505403</v>
      </c>
      <c r="O80" s="122">
        <f t="shared" si="49"/>
        <v>1578.4578404282538</v>
      </c>
      <c r="P80" s="122">
        <f t="shared" si="50"/>
        <v>1.0002341915165691</v>
      </c>
      <c r="Q80" s="122">
        <f t="shared" si="51"/>
        <v>12.513489307035725</v>
      </c>
      <c r="R80" s="122">
        <f t="shared" si="52"/>
        <v>56.070592014654927</v>
      </c>
      <c r="S80" s="122">
        <f t="shared" si="53"/>
        <v>1.0000000000000004</v>
      </c>
      <c r="T80" s="122">
        <f t="shared" si="54"/>
        <v>1.0000000000000004</v>
      </c>
      <c r="U80" s="122">
        <f t="shared" si="55"/>
        <v>22780915.757478479</v>
      </c>
      <c r="V80" s="122">
        <f t="shared" si="56"/>
        <v>56.070592014654927</v>
      </c>
      <c r="W80" s="19">
        <f t="shared" si="57"/>
        <v>3.9600866696661331E-3</v>
      </c>
      <c r="X80" s="19">
        <f t="shared" si="58"/>
        <v>0.96090749872943448</v>
      </c>
      <c r="Y80" s="19">
        <f t="shared" si="59"/>
        <v>0.9994180255755839</v>
      </c>
      <c r="Z80" s="19">
        <f t="shared" si="60"/>
        <v>2.3413668374412766E-4</v>
      </c>
      <c r="AA80" s="19">
        <f t="shared" si="61"/>
        <v>0.92008623850121896</v>
      </c>
      <c r="AB80" s="19">
        <f t="shared" si="62"/>
        <v>0.99113490384696468</v>
      </c>
      <c r="AC80" s="19">
        <f t="shared" si="63"/>
        <v>4.0979924977794276E-16</v>
      </c>
      <c r="AD80" s="19">
        <f t="shared" si="64"/>
        <v>4.0979924977794276E-16</v>
      </c>
      <c r="AE80" s="19">
        <f t="shared" si="65"/>
        <v>0.99999995610360837</v>
      </c>
      <c r="AF80" s="19">
        <f t="shared" si="66"/>
        <v>0.99113490384696468</v>
      </c>
      <c r="AG80" s="122">
        <f t="shared" si="67"/>
        <v>6.3673763637483657E-2</v>
      </c>
      <c r="AH80" s="122">
        <f t="shared" si="68"/>
        <v>3.8932821206559418E-4</v>
      </c>
      <c r="AI80" s="122" t="str">
        <f t="shared" si="69"/>
        <v/>
      </c>
      <c r="AJ80" s="122" t="str">
        <f t="shared" si="70"/>
        <v/>
      </c>
      <c r="AK80" s="122" t="str">
        <f t="shared" si="71"/>
        <v/>
      </c>
      <c r="AL80" s="122" t="str">
        <f t="shared" si="72"/>
        <v/>
      </c>
      <c r="AM80" s="122" t="str">
        <f t="shared" si="73"/>
        <v/>
      </c>
      <c r="AN80" s="122" t="str">
        <f t="shared" si="81"/>
        <v/>
      </c>
      <c r="AO80" s="122">
        <f t="shared" si="74"/>
        <v>9.4918841308843232E-10</v>
      </c>
      <c r="AP80" s="122" t="str">
        <f t="shared" si="75"/>
        <v/>
      </c>
      <c r="AQ80" s="130">
        <f t="shared" si="76"/>
        <v>8.6081582912331228E-2</v>
      </c>
      <c r="AR80" s="122">
        <f t="shared" si="77"/>
        <v>8.6081582912331228E-2</v>
      </c>
      <c r="AS80" s="1001"/>
      <c r="AT80" s="442">
        <v>8.6081582912331228E-2</v>
      </c>
      <c r="AU80" s="131">
        <f t="shared" si="78"/>
        <v>0.79010006680850886</v>
      </c>
      <c r="AV80" s="17"/>
      <c r="AW80" s="124">
        <f t="shared" si="79"/>
        <v>-1.5867222330895103E-2</v>
      </c>
      <c r="AX80" s="16"/>
      <c r="AY80" s="26"/>
      <c r="AZ80" s="1000"/>
      <c r="BA80" s="1000"/>
    </row>
    <row r="81" spans="1:53">
      <c r="A81" s="6">
        <v>15.337496060237754</v>
      </c>
      <c r="B81" s="508">
        <v>8.4163256715274422</v>
      </c>
      <c r="C81" s="124">
        <v>8.4039196968078613</v>
      </c>
      <c r="D81" s="123">
        <f t="shared" si="82"/>
        <v>4.853073744199056E-9</v>
      </c>
      <c r="E81" s="123">
        <f t="shared" si="80"/>
        <v>1.0728061310714274</v>
      </c>
      <c r="F81" s="124">
        <f t="shared" si="40"/>
        <v>-1.2405974719580826E-2</v>
      </c>
      <c r="G81" s="122">
        <f t="shared" si="41"/>
        <v>8.4044907478382053E-10</v>
      </c>
      <c r="H81" s="122">
        <f t="shared" si="42"/>
        <v>2.8990499733254349E-5</v>
      </c>
      <c r="I81" s="123">
        <f t="shared" si="43"/>
        <v>6.2295932869408897E-2</v>
      </c>
      <c r="J81" s="123">
        <f t="shared" si="44"/>
        <v>6.2266942369675643E-2</v>
      </c>
      <c r="K81" s="124">
        <f t="shared" si="45"/>
        <v>0.43402894291357896</v>
      </c>
      <c r="L81" s="124">
        <f t="shared" si="46"/>
        <v>0.56597105708642104</v>
      </c>
      <c r="M81" s="122">
        <f t="shared" si="47"/>
        <v>1.0029377097010848</v>
      </c>
      <c r="N81" s="122">
        <f t="shared" si="48"/>
        <v>19.169050757116626</v>
      </c>
      <c r="O81" s="122">
        <f t="shared" si="49"/>
        <v>1166.9051048044753</v>
      </c>
      <c r="P81" s="122">
        <f t="shared" si="50"/>
        <v>1.0001731138305707</v>
      </c>
      <c r="Q81" s="122">
        <f t="shared" si="51"/>
        <v>9.5117114139509145</v>
      </c>
      <c r="R81" s="122">
        <f t="shared" si="52"/>
        <v>41.606486331904975</v>
      </c>
      <c r="S81" s="122">
        <f t="shared" si="53"/>
        <v>1.0000000000000002</v>
      </c>
      <c r="T81" s="122">
        <f t="shared" si="54"/>
        <v>1.0000000000000002</v>
      </c>
      <c r="U81" s="122">
        <f t="shared" si="55"/>
        <v>16839600.80850447</v>
      </c>
      <c r="V81" s="122">
        <f t="shared" si="56"/>
        <v>41.606486331904975</v>
      </c>
      <c r="W81" s="19">
        <f t="shared" si="57"/>
        <v>2.9294242434508163E-3</v>
      </c>
      <c r="X81" s="19">
        <f t="shared" si="58"/>
        <v>0.94783360571153075</v>
      </c>
      <c r="Y81" s="19">
        <f t="shared" si="59"/>
        <v>0.9991811338558535</v>
      </c>
      <c r="Z81" s="19">
        <f t="shared" si="60"/>
        <v>1.7308386735941209E-4</v>
      </c>
      <c r="AA81" s="19">
        <f t="shared" si="61"/>
        <v>0.89486644868837262</v>
      </c>
      <c r="AB81" s="19">
        <f t="shared" si="62"/>
        <v>0.98256944265431301</v>
      </c>
      <c r="AC81" s="19">
        <f t="shared" si="63"/>
        <v>3.0292266318221047E-16</v>
      </c>
      <c r="AD81" s="19">
        <f t="shared" si="64"/>
        <v>3.0292266318221047E-16</v>
      </c>
      <c r="AE81" s="19">
        <f t="shared" si="65"/>
        <v>0.99999994061616948</v>
      </c>
      <c r="AF81" s="19">
        <f t="shared" si="66"/>
        <v>0.98256944265431301</v>
      </c>
      <c r="AG81" s="122">
        <f t="shared" si="67"/>
        <v>6.353502818786122E-2</v>
      </c>
      <c r="AH81" s="122">
        <f t="shared" si="68"/>
        <v>5.1808687278907925E-4</v>
      </c>
      <c r="AI81" s="122" t="str">
        <f t="shared" si="69"/>
        <v/>
      </c>
      <c r="AJ81" s="122" t="str">
        <f t="shared" si="70"/>
        <v/>
      </c>
      <c r="AK81" s="122" t="str">
        <f t="shared" si="71"/>
        <v/>
      </c>
      <c r="AL81" s="122" t="str">
        <f t="shared" si="72"/>
        <v/>
      </c>
      <c r="AM81" s="122" t="str">
        <f t="shared" si="73"/>
        <v/>
      </c>
      <c r="AN81" s="122" t="str">
        <f t="shared" si="81"/>
        <v/>
      </c>
      <c r="AO81" s="122">
        <f t="shared" si="74"/>
        <v>1.2887150587749749E-9</v>
      </c>
      <c r="AP81" s="122" t="str">
        <f t="shared" si="75"/>
        <v/>
      </c>
      <c r="AQ81" s="130">
        <f t="shared" si="76"/>
        <v>8.6149021342099313E-2</v>
      </c>
      <c r="AR81" s="122">
        <f t="shared" si="77"/>
        <v>8.6149021342099313E-2</v>
      </c>
      <c r="AS81" s="1001"/>
      <c r="AT81" s="442">
        <v>8.6149021342099313E-2</v>
      </c>
      <c r="AU81" s="131">
        <f t="shared" si="78"/>
        <v>0.79005520359539361</v>
      </c>
      <c r="AV81" s="17"/>
      <c r="AW81" s="124">
        <f t="shared" si="79"/>
        <v>-1.2405974719580826E-2</v>
      </c>
      <c r="AX81" s="16"/>
      <c r="AY81" s="26"/>
      <c r="AZ81" s="1000"/>
      <c r="BA81" s="1000"/>
    </row>
    <row r="82" spans="1:53">
      <c r="A82" s="6">
        <v>15.463084501971025</v>
      </c>
      <c r="B82" s="508">
        <v>8.5162795307449155</v>
      </c>
      <c r="C82" s="124">
        <v>8.5389704704284668</v>
      </c>
      <c r="D82" s="123">
        <f t="shared" si="82"/>
        <v>3.8554032506285902E-9</v>
      </c>
      <c r="E82" s="123">
        <f t="shared" si="80"/>
        <v>0.99816342344360975</v>
      </c>
      <c r="F82" s="124">
        <f t="shared" si="40"/>
        <v>2.2690939683551292E-2</v>
      </c>
      <c r="G82" s="122">
        <f t="shared" si="41"/>
        <v>4.3555833181155555E-9</v>
      </c>
      <c r="H82" s="122">
        <f t="shared" si="42"/>
        <v>-6.5996843243563974E-5</v>
      </c>
      <c r="I82" s="123">
        <f t="shared" si="43"/>
        <v>6.2075318976250377E-2</v>
      </c>
      <c r="J82" s="123">
        <f t="shared" si="44"/>
        <v>6.2141315819493941E-2</v>
      </c>
      <c r="K82" s="124">
        <f t="shared" si="45"/>
        <v>0.43603326442491463</v>
      </c>
      <c r="L82" s="124">
        <f t="shared" si="46"/>
        <v>0.56396673557508537</v>
      </c>
      <c r="M82" s="122">
        <f t="shared" si="47"/>
        <v>1.0023335192684422</v>
      </c>
      <c r="N82" s="122">
        <f t="shared" si="48"/>
        <v>15.433494935237343</v>
      </c>
      <c r="O82" s="122">
        <f t="shared" si="49"/>
        <v>927.1591168955847</v>
      </c>
      <c r="P82" s="122">
        <f t="shared" si="50"/>
        <v>1.0001375216673802</v>
      </c>
      <c r="Q82" s="122">
        <f t="shared" si="51"/>
        <v>7.7619165880148282</v>
      </c>
      <c r="R82" s="122">
        <f t="shared" si="52"/>
        <v>33.211918057613694</v>
      </c>
      <c r="S82" s="122">
        <f t="shared" si="53"/>
        <v>1.0000000000000002</v>
      </c>
      <c r="T82" s="122">
        <f t="shared" si="54"/>
        <v>1.0000000000000002</v>
      </c>
      <c r="U82" s="122">
        <f t="shared" si="55"/>
        <v>13377383.01532316</v>
      </c>
      <c r="V82" s="122">
        <f t="shared" si="56"/>
        <v>33.211918057613694</v>
      </c>
      <c r="W82" s="19">
        <f t="shared" si="57"/>
        <v>2.3282883013222336E-3</v>
      </c>
      <c r="X82" s="19">
        <f t="shared" si="58"/>
        <v>0.9352066692341483</v>
      </c>
      <c r="Y82" s="19">
        <f t="shared" si="59"/>
        <v>0.99895169790094218</v>
      </c>
      <c r="Z82" s="19">
        <f t="shared" si="60"/>
        <v>1.3750275777164389E-4</v>
      </c>
      <c r="AA82" s="19">
        <f t="shared" si="61"/>
        <v>0.87116584046469925</v>
      </c>
      <c r="AB82" s="19">
        <f t="shared" si="62"/>
        <v>0.97511127781657614</v>
      </c>
      <c r="AC82" s="19">
        <f t="shared" si="63"/>
        <v>2.4064183428117344E-16</v>
      </c>
      <c r="AD82" s="19">
        <f t="shared" si="64"/>
        <v>2.4064183428117344E-16</v>
      </c>
      <c r="AE82" s="19">
        <f t="shared" si="65"/>
        <v>0.99999992524696357</v>
      </c>
      <c r="AF82" s="19">
        <f t="shared" si="66"/>
        <v>0.97511127781657614</v>
      </c>
      <c r="AG82" s="122">
        <f t="shared" si="67"/>
        <v>6.3331202281907889E-2</v>
      </c>
      <c r="AH82" s="122">
        <f t="shared" si="68"/>
        <v>6.4120221730865621E-4</v>
      </c>
      <c r="AI82" s="122" t="str">
        <f t="shared" si="69"/>
        <v/>
      </c>
      <c r="AJ82" s="122" t="str">
        <f t="shared" si="70"/>
        <v/>
      </c>
      <c r="AK82" s="122" t="str">
        <f t="shared" si="71"/>
        <v/>
      </c>
      <c r="AL82" s="122" t="str">
        <f t="shared" si="72"/>
        <v/>
      </c>
      <c r="AM82" s="122" t="str">
        <f t="shared" si="73"/>
        <v/>
      </c>
      <c r="AN82" s="122" t="str">
        <f t="shared" si="81"/>
        <v/>
      </c>
      <c r="AO82" s="122">
        <f t="shared" si="74"/>
        <v>1.6297405252038427E-9</v>
      </c>
      <c r="AP82" s="122" t="str">
        <f t="shared" si="75"/>
        <v/>
      </c>
      <c r="AQ82" s="130">
        <f t="shared" si="76"/>
        <v>8.6167565798717372E-2</v>
      </c>
      <c r="AR82" s="122">
        <f t="shared" si="77"/>
        <v>8.6167565798717372E-2</v>
      </c>
      <c r="AS82" s="1001"/>
      <c r="AT82" s="442">
        <v>8.6167565798717372E-2</v>
      </c>
      <c r="AU82" s="131">
        <f t="shared" si="78"/>
        <v>0.7900428737415871</v>
      </c>
      <c r="AV82" s="17"/>
      <c r="AW82" s="124">
        <f t="shared" si="79"/>
        <v>2.2690939683551292E-2</v>
      </c>
      <c r="AX82" s="16"/>
      <c r="AY82" s="26"/>
      <c r="AZ82" s="1000"/>
      <c r="BA82" s="1000"/>
    </row>
    <row r="83" spans="1:53">
      <c r="A83" s="6">
        <v>15.625451547384728</v>
      </c>
      <c r="B83" s="508">
        <v>8.7111918529670387</v>
      </c>
      <c r="C83" s="124">
        <v>8.674278736114502</v>
      </c>
      <c r="D83" s="123">
        <f t="shared" si="82"/>
        <v>2.4616575271215111E-9</v>
      </c>
      <c r="E83" s="123">
        <f t="shared" si="80"/>
        <v>0.83167890294500124</v>
      </c>
      <c r="F83" s="124">
        <f t="shared" si="40"/>
        <v>-3.6913116852536731E-2</v>
      </c>
      <c r="G83" s="122">
        <f t="shared" si="41"/>
        <v>2.1118531328091156E-8</v>
      </c>
      <c r="H83" s="122">
        <f t="shared" si="42"/>
        <v>1.453221639258484E-4</v>
      </c>
      <c r="I83" s="123">
        <f t="shared" si="43"/>
        <v>6.1792403653145457E-2</v>
      </c>
      <c r="J83" s="123">
        <f t="shared" si="44"/>
        <v>6.1647081489219609E-2</v>
      </c>
      <c r="K83" s="124">
        <f t="shared" si="45"/>
        <v>0.4386036069353848</v>
      </c>
      <c r="L83" s="124">
        <f t="shared" si="46"/>
        <v>0.5613963930646152</v>
      </c>
      <c r="M83" s="122">
        <f t="shared" si="47"/>
        <v>1.001488451629531</v>
      </c>
      <c r="N83" s="122">
        <f t="shared" si="48"/>
        <v>10.212741827203033</v>
      </c>
      <c r="O83" s="122">
        <f t="shared" si="49"/>
        <v>591.96000337755913</v>
      </c>
      <c r="P83" s="122">
        <f t="shared" si="50"/>
        <v>1.0000877786023565</v>
      </c>
      <c r="Q83" s="122">
        <f t="shared" si="51"/>
        <v>5.317453139030424</v>
      </c>
      <c r="R83" s="122">
        <f t="shared" si="52"/>
        <v>21.513860008362585</v>
      </c>
      <c r="S83" s="122">
        <f t="shared" si="53"/>
        <v>1.0000000000000002</v>
      </c>
      <c r="T83" s="122">
        <f t="shared" si="54"/>
        <v>1.0000000000000002</v>
      </c>
      <c r="U83" s="122">
        <f t="shared" si="55"/>
        <v>8538640.1749321353</v>
      </c>
      <c r="V83" s="122">
        <f t="shared" si="56"/>
        <v>21.513860008362585</v>
      </c>
      <c r="W83" s="19">
        <f t="shared" si="57"/>
        <v>1.486321585667108E-3</v>
      </c>
      <c r="X83" s="19">
        <f t="shared" si="58"/>
        <v>0.90208359911442815</v>
      </c>
      <c r="Y83" s="19">
        <f t="shared" si="59"/>
        <v>0.99833000061962929</v>
      </c>
      <c r="Z83" s="19">
        <f t="shared" si="60"/>
        <v>8.7770897949764737E-5</v>
      </c>
      <c r="AA83" s="19">
        <f t="shared" si="61"/>
        <v>0.81194004463152858</v>
      </c>
      <c r="AB83" s="19">
        <f t="shared" si="62"/>
        <v>0.95680095205464033</v>
      </c>
      <c r="AC83" s="19">
        <f t="shared" si="63"/>
        <v>1.5359909666640325E-16</v>
      </c>
      <c r="AD83" s="19">
        <f t="shared" si="64"/>
        <v>1.5359909666640325E-16</v>
      </c>
      <c r="AE83" s="19">
        <f t="shared" si="65"/>
        <v>0.99999988288533304</v>
      </c>
      <c r="AF83" s="19">
        <f t="shared" si="66"/>
        <v>0.95680095205464033</v>
      </c>
      <c r="AG83" s="122">
        <f t="shared" si="67"/>
        <v>6.3072088387255101E-2</v>
      </c>
      <c r="AH83" s="122">
        <f t="shared" si="68"/>
        <v>9.6456138124608002E-4</v>
      </c>
      <c r="AI83" s="122" t="str">
        <f t="shared" si="69"/>
        <v/>
      </c>
      <c r="AJ83" s="122" t="str">
        <f t="shared" si="70"/>
        <v/>
      </c>
      <c r="AK83" s="122" t="str">
        <f t="shared" si="71"/>
        <v/>
      </c>
      <c r="AL83" s="122" t="str">
        <f t="shared" si="72"/>
        <v/>
      </c>
      <c r="AM83" s="122" t="str">
        <f t="shared" si="73"/>
        <v/>
      </c>
      <c r="AN83" s="122" t="str">
        <f t="shared" si="81"/>
        <v/>
      </c>
      <c r="AO83" s="122">
        <f t="shared" si="74"/>
        <v>2.5683457667126185E-9</v>
      </c>
      <c r="AP83" s="122" t="str">
        <f t="shared" si="75"/>
        <v/>
      </c>
      <c r="AQ83" s="130">
        <f t="shared" si="76"/>
        <v>8.6359730163169196E-2</v>
      </c>
      <c r="AR83" s="122">
        <f t="shared" si="77"/>
        <v>8.6359730163169196E-2</v>
      </c>
      <c r="AS83" s="1001"/>
      <c r="AT83" s="442">
        <v>8.6359730163169196E-2</v>
      </c>
      <c r="AU83" s="131">
        <f t="shared" si="78"/>
        <v>0.78991527945488438</v>
      </c>
      <c r="AV83" s="17"/>
      <c r="AW83" s="124">
        <f t="shared" si="79"/>
        <v>-3.6913116852536731E-2</v>
      </c>
      <c r="AX83" s="16"/>
      <c r="AY83" s="26"/>
      <c r="AZ83" s="1000"/>
      <c r="BA83" s="1000"/>
    </row>
    <row r="84" spans="1:53">
      <c r="A84" s="6">
        <v>15.83374493784504</v>
      </c>
      <c r="B84" s="508">
        <v>8.8076140254745106</v>
      </c>
      <c r="C84" s="124">
        <v>8.8099255561828613</v>
      </c>
      <c r="D84" s="123">
        <f t="shared" si="82"/>
        <v>1.9715555135191421E-9</v>
      </c>
      <c r="E84" s="123">
        <f t="shared" si="80"/>
        <v>0.47433538667689767</v>
      </c>
      <c r="F84" s="124">
        <f t="shared" si="40"/>
        <v>2.311530708350773E-3</v>
      </c>
      <c r="G84" s="122">
        <f t="shared" si="41"/>
        <v>1.2343303359597466E-10</v>
      </c>
      <c r="H84" s="122">
        <f t="shared" si="42"/>
        <v>-1.1110042015941013E-5</v>
      </c>
      <c r="I84" s="123">
        <f t="shared" si="43"/>
        <v>6.1433218497255915E-2</v>
      </c>
      <c r="J84" s="123">
        <f t="shared" si="44"/>
        <v>6.1444328539271856E-2</v>
      </c>
      <c r="K84" s="124">
        <f t="shared" si="45"/>
        <v>0.44186687618916914</v>
      </c>
      <c r="L84" s="124">
        <f t="shared" si="46"/>
        <v>0.55813312381083091</v>
      </c>
      <c r="M84" s="122">
        <f t="shared" si="47"/>
        <v>1.0011920377876353</v>
      </c>
      <c r="N84" s="122">
        <f t="shared" si="48"/>
        <v>8.3784158851434132</v>
      </c>
      <c r="O84" s="122">
        <f t="shared" si="49"/>
        <v>474.28592975214855</v>
      </c>
      <c r="P84" s="122">
        <f t="shared" si="50"/>
        <v>1.0000703012324901</v>
      </c>
      <c r="Q84" s="122">
        <f t="shared" si="51"/>
        <v>4.4578727734598438</v>
      </c>
      <c r="R84" s="122">
        <f t="shared" si="52"/>
        <v>17.417868529060172</v>
      </c>
      <c r="S84" s="122">
        <f t="shared" si="53"/>
        <v>1.0000000000000002</v>
      </c>
      <c r="T84" s="122">
        <f t="shared" si="54"/>
        <v>1.0000000000000002</v>
      </c>
      <c r="U84" s="122">
        <f t="shared" si="55"/>
        <v>6838533.873280474</v>
      </c>
      <c r="V84" s="122">
        <f t="shared" si="56"/>
        <v>17.417868529060172</v>
      </c>
      <c r="W84" s="19">
        <f t="shared" si="57"/>
        <v>1.1906712327768331E-3</v>
      </c>
      <c r="X84" s="19">
        <f t="shared" si="58"/>
        <v>0.88064608428942726</v>
      </c>
      <c r="Y84" s="19">
        <f t="shared" si="59"/>
        <v>0.99790702117515451</v>
      </c>
      <c r="Z84" s="19">
        <f t="shared" si="60"/>
        <v>7.0296290574193158E-5</v>
      </c>
      <c r="AA84" s="19">
        <f t="shared" si="61"/>
        <v>0.77567776138575606</v>
      </c>
      <c r="AB84" s="19">
        <f t="shared" si="62"/>
        <v>0.94518836118636895</v>
      </c>
      <c r="AC84" s="19">
        <f t="shared" si="63"/>
        <v>1.2301637887944863E-16</v>
      </c>
      <c r="AD84" s="19">
        <f t="shared" si="64"/>
        <v>1.2301637887944863E-16</v>
      </c>
      <c r="AE84" s="19">
        <f t="shared" si="65"/>
        <v>0.9999998537698257</v>
      </c>
      <c r="AF84" s="19">
        <f t="shared" si="66"/>
        <v>0.94518836118636895</v>
      </c>
      <c r="AG84" s="122">
        <f t="shared" si="67"/>
        <v>6.2715772201365552E-2</v>
      </c>
      <c r="AH84" s="122">
        <f t="shared" si="68"/>
        <v>1.1689009138422539E-3</v>
      </c>
      <c r="AI84" s="122" t="str">
        <f t="shared" si="69"/>
        <v/>
      </c>
      <c r="AJ84" s="122" t="str">
        <f t="shared" si="70"/>
        <v/>
      </c>
      <c r="AK84" s="122" t="str">
        <f t="shared" si="71"/>
        <v/>
      </c>
      <c r="AL84" s="122" t="str">
        <f t="shared" si="72"/>
        <v/>
      </c>
      <c r="AM84" s="122" t="str">
        <f t="shared" si="73"/>
        <v/>
      </c>
      <c r="AN84" s="122" t="str">
        <f t="shared" si="81"/>
        <v/>
      </c>
      <c r="AO84" s="122">
        <f t="shared" si="74"/>
        <v>3.2307135153313482E-9</v>
      </c>
      <c r="AP84" s="122" t="str">
        <f t="shared" si="75"/>
        <v/>
      </c>
      <c r="AQ84" s="130">
        <f t="shared" si="76"/>
        <v>8.636946747769364E-2</v>
      </c>
      <c r="AR84" s="122">
        <f t="shared" si="77"/>
        <v>8.636946747769364E-2</v>
      </c>
      <c r="AS84" s="1001"/>
      <c r="AT84" s="442">
        <v>8.636946747769364E-2</v>
      </c>
      <c r="AU84" s="131">
        <f t="shared" si="78"/>
        <v>0.78990882236727844</v>
      </c>
      <c r="AV84" s="17"/>
      <c r="AW84" s="124">
        <f t="shared" si="79"/>
        <v>2.311530708350773E-3</v>
      </c>
      <c r="AX84" s="16"/>
      <c r="AY84" s="26"/>
      <c r="AZ84" s="1000"/>
      <c r="BA84" s="1000"/>
    </row>
    <row r="85" spans="1:53">
      <c r="A85" s="6">
        <v>16.097023374459241</v>
      </c>
      <c r="B85" s="508">
        <v>8.9355029984547709</v>
      </c>
      <c r="C85" s="124">
        <v>8.9457507133483887</v>
      </c>
      <c r="D85" s="123">
        <f t="shared" si="82"/>
        <v>1.4687580495018501E-9</v>
      </c>
      <c r="E85" s="123">
        <f t="shared" si="80"/>
        <v>0.45565432256897198</v>
      </c>
      <c r="F85" s="124">
        <f t="shared" si="40"/>
        <v>1.0247714893617754E-2</v>
      </c>
      <c r="G85" s="122">
        <f t="shared" si="41"/>
        <v>3.6960539896203783E-9</v>
      </c>
      <c r="H85" s="122">
        <f t="shared" si="42"/>
        <v>-6.0795180644689084E-5</v>
      </c>
      <c r="I85" s="123">
        <f t="shared" si="43"/>
        <v>6.0985147154797796E-2</v>
      </c>
      <c r="J85" s="123">
        <f t="shared" si="44"/>
        <v>6.1045942335442485E-2</v>
      </c>
      <c r="K85" s="124">
        <f t="shared" si="45"/>
        <v>0.4459376942933424</v>
      </c>
      <c r="L85" s="124">
        <f t="shared" si="46"/>
        <v>0.5540623057066576</v>
      </c>
      <c r="M85" s="122">
        <f t="shared" si="47"/>
        <v>1.0008876566878544</v>
      </c>
      <c r="N85" s="122">
        <f t="shared" si="48"/>
        <v>6.4959640861631698</v>
      </c>
      <c r="O85" s="122">
        <f t="shared" si="49"/>
        <v>353.48629570468978</v>
      </c>
      <c r="P85" s="122">
        <f t="shared" si="50"/>
        <v>1.0000523653177706</v>
      </c>
      <c r="Q85" s="122">
        <f t="shared" si="51"/>
        <v>3.5760261049444306</v>
      </c>
      <c r="R85" s="122">
        <f t="shared" si="52"/>
        <v>13.218877652986558</v>
      </c>
      <c r="S85" s="122">
        <f t="shared" si="53"/>
        <v>1</v>
      </c>
      <c r="T85" s="122">
        <f t="shared" si="54"/>
        <v>1</v>
      </c>
      <c r="U85" s="122">
        <f t="shared" si="55"/>
        <v>5093822.7483580792</v>
      </c>
      <c r="V85" s="122">
        <f t="shared" si="56"/>
        <v>13.218877652986558</v>
      </c>
      <c r="W85" s="19">
        <f t="shared" si="57"/>
        <v>8.8689869267834698E-4</v>
      </c>
      <c r="X85" s="19">
        <f t="shared" si="58"/>
        <v>0.84605854041267115</v>
      </c>
      <c r="Y85" s="19">
        <f t="shared" si="59"/>
        <v>0.99718253894193143</v>
      </c>
      <c r="Z85" s="19">
        <f t="shared" si="60"/>
        <v>5.2362575787711609E-5</v>
      </c>
      <c r="AA85" s="19">
        <f t="shared" si="61"/>
        <v>0.72035998321786876</v>
      </c>
      <c r="AB85" s="19">
        <f t="shared" si="62"/>
        <v>0.92625163103236818</v>
      </c>
      <c r="AC85" s="19">
        <f t="shared" si="63"/>
        <v>9.1631277899987474E-17</v>
      </c>
      <c r="AD85" s="19">
        <f t="shared" si="64"/>
        <v>9.1631277899987474E-17</v>
      </c>
      <c r="AE85" s="19">
        <f t="shared" si="65"/>
        <v>0.99999980368378538</v>
      </c>
      <c r="AF85" s="19">
        <f t="shared" si="66"/>
        <v>0.92625163103236818</v>
      </c>
      <c r="AG85" s="122">
        <f t="shared" si="67"/>
        <v>6.226885988832867E-2</v>
      </c>
      <c r="AH85" s="122">
        <f t="shared" si="68"/>
        <v>1.4966359562409517E-3</v>
      </c>
      <c r="AI85" s="122" t="str">
        <f t="shared" si="69"/>
        <v/>
      </c>
      <c r="AJ85" s="122" t="str">
        <f t="shared" si="70"/>
        <v/>
      </c>
      <c r="AK85" s="122" t="str">
        <f t="shared" si="71"/>
        <v/>
      </c>
      <c r="AL85" s="122" t="str">
        <f t="shared" si="72"/>
        <v/>
      </c>
      <c r="AM85" s="122" t="str">
        <f t="shared" si="73"/>
        <v/>
      </c>
      <c r="AN85" s="122" t="str">
        <f t="shared" si="81"/>
        <v/>
      </c>
      <c r="AO85" s="122">
        <f t="shared" si="74"/>
        <v>4.3772400054270051E-9</v>
      </c>
      <c r="AP85" s="122" t="str">
        <f t="shared" si="75"/>
        <v/>
      </c>
      <c r="AQ85" s="130">
        <f t="shared" si="76"/>
        <v>8.6452408556328506E-2</v>
      </c>
      <c r="AR85" s="122">
        <f t="shared" si="77"/>
        <v>8.6452408556328506E-2</v>
      </c>
      <c r="AS85" s="1001"/>
      <c r="AT85" s="442">
        <v>8.6452408556328506E-2</v>
      </c>
      <c r="AU85" s="131">
        <f t="shared" si="78"/>
        <v>0.78985385436735944</v>
      </c>
      <c r="AV85" s="17"/>
      <c r="AW85" s="124">
        <f t="shared" si="79"/>
        <v>1.0247714893617754E-2</v>
      </c>
      <c r="AX85" s="16"/>
      <c r="AY85" s="26"/>
      <c r="AZ85" s="1000"/>
      <c r="BA85" s="1000"/>
    </row>
    <row r="86" spans="1:53">
      <c r="A86" s="6">
        <v>16.422776044055354</v>
      </c>
      <c r="B86" s="508">
        <v>9.0741280413936671</v>
      </c>
      <c r="C86" s="124">
        <v>9.0817131996154785</v>
      </c>
      <c r="D86" s="123">
        <f t="shared" si="82"/>
        <v>1.0675119873172551E-9</v>
      </c>
      <c r="E86" s="123">
        <f t="shared" si="80"/>
        <v>0.39395823176258093</v>
      </c>
      <c r="F86" s="124">
        <f t="shared" si="40"/>
        <v>7.5851582218113833E-3</v>
      </c>
      <c r="G86" s="122">
        <f t="shared" si="41"/>
        <v>2.9816907945223886E-9</v>
      </c>
      <c r="H86" s="122">
        <f t="shared" si="42"/>
        <v>-5.4604860539354816E-5</v>
      </c>
      <c r="I86" s="123">
        <f t="shared" si="43"/>
        <v>6.0439717161560644E-2</v>
      </c>
      <c r="J86" s="123">
        <f t="shared" si="44"/>
        <v>6.0494322022099999E-2</v>
      </c>
      <c r="K86" s="124">
        <f t="shared" si="45"/>
        <v>0.45089303528624786</v>
      </c>
      <c r="L86" s="124">
        <f t="shared" si="46"/>
        <v>0.54910696471375209</v>
      </c>
      <c r="M86" s="122">
        <f t="shared" si="47"/>
        <v>1.0006447307021631</v>
      </c>
      <c r="N86" s="122">
        <f t="shared" si="48"/>
        <v>4.9936615818514003</v>
      </c>
      <c r="O86" s="122">
        <f t="shared" si="49"/>
        <v>257.07854487634302</v>
      </c>
      <c r="P86" s="122">
        <f t="shared" si="50"/>
        <v>1.0000380514452623</v>
      </c>
      <c r="Q86" s="122">
        <f t="shared" si="51"/>
        <v>2.8722884600380829</v>
      </c>
      <c r="R86" s="122">
        <f t="shared" si="52"/>
        <v>9.8719570132387382</v>
      </c>
      <c r="S86" s="122">
        <f t="shared" si="53"/>
        <v>1</v>
      </c>
      <c r="T86" s="122">
        <f t="shared" si="54"/>
        <v>1</v>
      </c>
      <c r="U86" s="122">
        <f t="shared" si="55"/>
        <v>3701444.7739503509</v>
      </c>
      <c r="V86" s="122">
        <f t="shared" si="56"/>
        <v>9.8719570132387382</v>
      </c>
      <c r="W86" s="19">
        <f t="shared" si="57"/>
        <v>6.4433072559689272E-4</v>
      </c>
      <c r="X86" s="19">
        <f t="shared" si="58"/>
        <v>0.79974633258996064</v>
      </c>
      <c r="Y86" s="19">
        <f t="shared" si="59"/>
        <v>0.99611848802100567</v>
      </c>
      <c r="Z86" s="19">
        <f t="shared" si="60"/>
        <v>3.8049997404803817E-5</v>
      </c>
      <c r="AA86" s="19">
        <f t="shared" si="61"/>
        <v>0.65184555314937231</v>
      </c>
      <c r="AB86" s="19">
        <f t="shared" si="62"/>
        <v>0.90004677119378063</v>
      </c>
      <c r="AC86" s="19">
        <f t="shared" si="63"/>
        <v>6.658419548958045E-17</v>
      </c>
      <c r="AD86" s="19">
        <f t="shared" si="64"/>
        <v>6.658419548958045E-17</v>
      </c>
      <c r="AE86" s="19">
        <f t="shared" si="65"/>
        <v>0.99999972983522356</v>
      </c>
      <c r="AF86" s="19">
        <f t="shared" si="66"/>
        <v>0.90004677119378063</v>
      </c>
      <c r="AG86" s="122">
        <f t="shared" si="67"/>
        <v>6.1720269025111886E-2</v>
      </c>
      <c r="AH86" s="122">
        <f t="shared" si="68"/>
        <v>1.9294727962607507E-3</v>
      </c>
      <c r="AI86" s="122" t="str">
        <f t="shared" si="69"/>
        <v/>
      </c>
      <c r="AJ86" s="122" t="str">
        <f t="shared" si="70"/>
        <v/>
      </c>
      <c r="AK86" s="122" t="str">
        <f t="shared" si="71"/>
        <v/>
      </c>
      <c r="AL86" s="122" t="str">
        <f t="shared" si="72"/>
        <v/>
      </c>
      <c r="AM86" s="122" t="str">
        <f t="shared" si="73"/>
        <v/>
      </c>
      <c r="AN86" s="122" t="str">
        <f t="shared" si="81"/>
        <v/>
      </c>
      <c r="AO86" s="122">
        <f t="shared" si="74"/>
        <v>6.0907708046800633E-9</v>
      </c>
      <c r="AP86" s="122" t="str">
        <f t="shared" si="75"/>
        <v/>
      </c>
      <c r="AQ86" s="130">
        <f t="shared" si="76"/>
        <v>8.6583050825817395E-2</v>
      </c>
      <c r="AR86" s="122">
        <f t="shared" si="77"/>
        <v>8.6583050825817395E-2</v>
      </c>
      <c r="AS86" s="1001"/>
      <c r="AT86" s="442">
        <v>8.6583050825817395E-2</v>
      </c>
      <c r="AU86" s="131">
        <f t="shared" si="78"/>
        <v>0.78976739113363115</v>
      </c>
      <c r="AV86" s="17"/>
      <c r="AW86" s="124">
        <f t="shared" si="79"/>
        <v>7.5851582218113833E-3</v>
      </c>
      <c r="AX86" s="16"/>
      <c r="AY86" s="26"/>
      <c r="AZ86" s="1000"/>
      <c r="BA86" s="1000"/>
    </row>
    <row r="87" spans="1:53">
      <c r="A87" s="6">
        <v>16.814808531489689</v>
      </c>
      <c r="B87" s="508">
        <v>9.2161862707342443</v>
      </c>
      <c r="C87" s="124">
        <v>9.2177720069885254</v>
      </c>
      <c r="D87" s="123">
        <f t="shared" si="82"/>
        <v>7.6979587826164677E-10</v>
      </c>
      <c r="E87" s="123">
        <f t="shared" si="80"/>
        <v>0.3550392573377037</v>
      </c>
      <c r="F87" s="124">
        <f t="shared" si="40"/>
        <v>1.5857362542810449E-3</v>
      </c>
      <c r="G87" s="122">
        <f t="shared" si="41"/>
        <v>1.8041713226054163E-10</v>
      </c>
      <c r="H87" s="122">
        <f t="shared" si="42"/>
        <v>-1.3431944470572443E-5</v>
      </c>
      <c r="I87" s="123">
        <f t="shared" si="43"/>
        <v>5.9796108418127762E-2</v>
      </c>
      <c r="J87" s="123">
        <f t="shared" si="44"/>
        <v>5.9809540362598335E-2</v>
      </c>
      <c r="K87" s="124">
        <f t="shared" si="45"/>
        <v>0.45674034993573515</v>
      </c>
      <c r="L87" s="124">
        <f t="shared" si="46"/>
        <v>0.5432596500642648</v>
      </c>
      <c r="M87" s="122">
        <f t="shared" si="47"/>
        <v>1.0004645280739721</v>
      </c>
      <c r="N87" s="122">
        <f t="shared" si="48"/>
        <v>3.8790681953765156</v>
      </c>
      <c r="O87" s="122">
        <f t="shared" si="49"/>
        <v>185.55711695217383</v>
      </c>
      <c r="P87" s="122">
        <f t="shared" si="50"/>
        <v>1.0000274316465978</v>
      </c>
      <c r="Q87" s="122">
        <f t="shared" si="51"/>
        <v>2.3501299812812562</v>
      </c>
      <c r="R87" s="122">
        <f t="shared" si="52"/>
        <v>7.391411391577245</v>
      </c>
      <c r="S87" s="122">
        <f t="shared" si="53"/>
        <v>1</v>
      </c>
      <c r="T87" s="122">
        <f t="shared" si="54"/>
        <v>1</v>
      </c>
      <c r="U87" s="122">
        <f t="shared" si="55"/>
        <v>2668406.8071559705</v>
      </c>
      <c r="V87" s="122">
        <f t="shared" si="56"/>
        <v>7.391411391577245</v>
      </c>
      <c r="W87" s="19">
        <f t="shared" si="57"/>
        <v>4.6432040334936519E-4</v>
      </c>
      <c r="X87" s="19">
        <f t="shared" si="58"/>
        <v>0.74220625844490629</v>
      </c>
      <c r="Y87" s="19">
        <f t="shared" si="59"/>
        <v>0.99461683417844393</v>
      </c>
      <c r="Z87" s="19">
        <f t="shared" si="60"/>
        <v>2.7430894123123255E-5</v>
      </c>
      <c r="AA87" s="19">
        <f t="shared" si="61"/>
        <v>0.57449162047844915</v>
      </c>
      <c r="AB87" s="19">
        <f t="shared" si="62"/>
        <v>0.86564034994012173</v>
      </c>
      <c r="AC87" s="19">
        <f t="shared" si="63"/>
        <v>4.8001175962610282E-17</v>
      </c>
      <c r="AD87" s="19">
        <f t="shared" si="64"/>
        <v>4.8001175962610282E-17</v>
      </c>
      <c r="AE87" s="19">
        <f t="shared" si="65"/>
        <v>0.99999962524454766</v>
      </c>
      <c r="AF87" s="19">
        <f t="shared" si="66"/>
        <v>0.86564034994012173</v>
      </c>
      <c r="AG87" s="122">
        <f t="shared" si="67"/>
        <v>6.1069132715951144E-2</v>
      </c>
      <c r="AH87" s="122">
        <f t="shared" si="68"/>
        <v>2.4574271408088423E-3</v>
      </c>
      <c r="AI87" s="122" t="str">
        <f t="shared" si="69"/>
        <v/>
      </c>
      <c r="AJ87" s="122" t="str">
        <f t="shared" si="70"/>
        <v/>
      </c>
      <c r="AK87" s="122" t="str">
        <f t="shared" si="71"/>
        <v/>
      </c>
      <c r="AL87" s="122" t="str">
        <f t="shared" si="72"/>
        <v/>
      </c>
      <c r="AM87" s="122" t="str">
        <f t="shared" si="73"/>
        <v/>
      </c>
      <c r="AN87" s="122" t="str">
        <f t="shared" si="81"/>
        <v/>
      </c>
      <c r="AO87" s="122">
        <f t="shared" si="74"/>
        <v>8.5582968217379143E-9</v>
      </c>
      <c r="AP87" s="122" t="str">
        <f t="shared" si="75"/>
        <v/>
      </c>
      <c r="AQ87" s="130">
        <f t="shared" si="76"/>
        <v>8.6751105997088268E-2</v>
      </c>
      <c r="AR87" s="122">
        <f t="shared" si="77"/>
        <v>8.6751105997088268E-2</v>
      </c>
      <c r="AS87" s="1001"/>
      <c r="AT87" s="442">
        <v>8.6751105997088268E-2</v>
      </c>
      <c r="AU87" s="131">
        <f t="shared" si="78"/>
        <v>0.78965637866679395</v>
      </c>
      <c r="AV87" s="17"/>
      <c r="AW87" s="124">
        <f t="shared" si="79"/>
        <v>1.5857362542810449E-3</v>
      </c>
      <c r="AX87" s="16"/>
      <c r="AY87" s="26"/>
      <c r="AZ87" s="1000"/>
      <c r="BA87" s="1000"/>
    </row>
    <row r="88" spans="1:53">
      <c r="A88" s="6">
        <v>17.270861055294517</v>
      </c>
      <c r="B88" s="508">
        <v>9.3747626213641411</v>
      </c>
      <c r="C88" s="124">
        <v>9.3538632392883301</v>
      </c>
      <c r="D88" s="123">
        <f t="shared" si="82"/>
        <v>5.3443913265893984E-10</v>
      </c>
      <c r="E88" s="123">
        <f t="shared" si="80"/>
        <v>0.27525838712905137</v>
      </c>
      <c r="F88" s="124">
        <f t="shared" si="40"/>
        <v>-2.0899382075810991E-2</v>
      </c>
      <c r="G88" s="122">
        <f t="shared" si="41"/>
        <v>4.0583455569816206E-8</v>
      </c>
      <c r="H88" s="122">
        <f t="shared" si="42"/>
        <v>2.0145335829867966E-4</v>
      </c>
      <c r="I88" s="123">
        <f t="shared" si="43"/>
        <v>5.9064433179465137E-2</v>
      </c>
      <c r="J88" s="123">
        <f t="shared" si="44"/>
        <v>5.8862979821166457E-2</v>
      </c>
      <c r="K88" s="124">
        <f t="shared" si="45"/>
        <v>0.46338776637523116</v>
      </c>
      <c r="L88" s="124">
        <f t="shared" si="46"/>
        <v>0.53661223362476884</v>
      </c>
      <c r="M88" s="122">
        <f t="shared" si="47"/>
        <v>1.0003220610612511</v>
      </c>
      <c r="N88" s="122">
        <f t="shared" si="48"/>
        <v>2.9979129354503464</v>
      </c>
      <c r="O88" s="122">
        <f t="shared" si="49"/>
        <v>129.01373949511103</v>
      </c>
      <c r="P88" s="122">
        <f t="shared" si="50"/>
        <v>1.0000190360355319</v>
      </c>
      <c r="Q88" s="122">
        <f t="shared" si="51"/>
        <v>1.9373423741917368</v>
      </c>
      <c r="R88" s="122">
        <f t="shared" si="52"/>
        <v>5.4317984239493073</v>
      </c>
      <c r="S88" s="122">
        <f t="shared" si="53"/>
        <v>1</v>
      </c>
      <c r="T88" s="122">
        <f t="shared" si="54"/>
        <v>1</v>
      </c>
      <c r="U88" s="122">
        <f t="shared" si="55"/>
        <v>1851726.0715392188</v>
      </c>
      <c r="V88" s="122">
        <f t="shared" si="56"/>
        <v>5.4317984239493073</v>
      </c>
      <c r="W88" s="19">
        <f t="shared" si="57"/>
        <v>3.2196122653087121E-4</v>
      </c>
      <c r="X88" s="19">
        <f t="shared" si="58"/>
        <v>0.66643468890217095</v>
      </c>
      <c r="Y88" s="19">
        <f t="shared" si="59"/>
        <v>0.99225304854568419</v>
      </c>
      <c r="Z88" s="19">
        <f t="shared" si="60"/>
        <v>1.9035673168166504E-5</v>
      </c>
      <c r="AA88" s="19">
        <f t="shared" si="61"/>
        <v>0.48382897451608053</v>
      </c>
      <c r="AB88" s="19">
        <f t="shared" si="62"/>
        <v>0.81650969589711897</v>
      </c>
      <c r="AC88" s="19">
        <f t="shared" si="63"/>
        <v>3.3310143740102388E-17</v>
      </c>
      <c r="AD88" s="19">
        <f t="shared" si="64"/>
        <v>3.3310143740102388E-17</v>
      </c>
      <c r="AE88" s="19">
        <f t="shared" si="65"/>
        <v>0.99999945996331996</v>
      </c>
      <c r="AF88" s="19">
        <f t="shared" si="66"/>
        <v>0.81650969589711897</v>
      </c>
      <c r="AG88" s="122">
        <f t="shared" si="67"/>
        <v>6.0326652475985731E-2</v>
      </c>
      <c r="AH88" s="122">
        <f t="shared" si="68"/>
        <v>3.1408128377612425E-3</v>
      </c>
      <c r="AI88" s="122" t="str">
        <f t="shared" si="69"/>
        <v/>
      </c>
      <c r="AJ88" s="122" t="str">
        <f t="shared" si="70"/>
        <v/>
      </c>
      <c r="AK88" s="122" t="str">
        <f t="shared" si="71"/>
        <v/>
      </c>
      <c r="AL88" s="122" t="str">
        <f t="shared" si="72"/>
        <v/>
      </c>
      <c r="AM88" s="122" t="str">
        <f t="shared" si="73"/>
        <v/>
      </c>
      <c r="AN88" s="122" t="str">
        <f t="shared" si="81"/>
        <v/>
      </c>
      <c r="AO88" s="122">
        <f t="shared" si="74"/>
        <v>1.2512319546001942E-8</v>
      </c>
      <c r="AP88" s="122" t="str">
        <f t="shared" si="75"/>
        <v/>
      </c>
      <c r="AQ88" s="130">
        <f t="shared" si="76"/>
        <v>8.7024398507915879E-2</v>
      </c>
      <c r="AR88" s="122">
        <f t="shared" si="77"/>
        <v>8.7024398507915879E-2</v>
      </c>
      <c r="AS88" s="1001"/>
      <c r="AT88" s="442">
        <v>8.7024398507915879E-2</v>
      </c>
      <c r="AU88" s="131">
        <f t="shared" si="78"/>
        <v>0.78947635647256631</v>
      </c>
      <c r="AV88" s="17"/>
      <c r="AW88" s="124">
        <f t="shared" si="79"/>
        <v>-2.0899382075810991E-2</v>
      </c>
      <c r="AX88" s="16"/>
      <c r="AY88" s="26"/>
      <c r="AZ88" s="1000"/>
      <c r="BA88" s="1000"/>
    </row>
    <row r="89" spans="1:53">
      <c r="A89" s="6">
        <v>17.780781710462179</v>
      </c>
      <c r="B89" s="508">
        <v>9.4781753820591188</v>
      </c>
      <c r="C89" s="124">
        <v>9.4900803565979004</v>
      </c>
      <c r="D89" s="123">
        <f t="shared" si="82"/>
        <v>4.2120293788466257E-10</v>
      </c>
      <c r="E89" s="123">
        <f t="shared" si="80"/>
        <v>0.2261984371227721</v>
      </c>
      <c r="F89" s="124">
        <f t="shared" si="40"/>
        <v>1.1904974538781588E-2</v>
      </c>
      <c r="G89" s="122">
        <f t="shared" si="41"/>
        <v>1.5005841234133771E-8</v>
      </c>
      <c r="H89" s="122">
        <f t="shared" si="42"/>
        <v>-1.2249833155653089E-4</v>
      </c>
      <c r="I89" s="123">
        <f t="shared" si="43"/>
        <v>5.82672507734791E-2</v>
      </c>
      <c r="J89" s="123">
        <f t="shared" si="44"/>
        <v>5.8389749105035631E-2</v>
      </c>
      <c r="K89" s="124">
        <f t="shared" si="45"/>
        <v>0.47063032858153808</v>
      </c>
      <c r="L89" s="124">
        <f t="shared" si="46"/>
        <v>0.52936967141846192</v>
      </c>
      <c r="M89" s="122">
        <f t="shared" si="47"/>
        <v>1.0002538018873754</v>
      </c>
      <c r="N89" s="122">
        <f t="shared" si="48"/>
        <v>2.5745551803675899</v>
      </c>
      <c r="O89" s="122">
        <f t="shared" si="49"/>
        <v>101.8847987294686</v>
      </c>
      <c r="P89" s="122">
        <f t="shared" si="50"/>
        <v>1.0000150022999443</v>
      </c>
      <c r="Q89" s="122">
        <f t="shared" si="51"/>
        <v>1.7387396200743761</v>
      </c>
      <c r="R89" s="122">
        <f t="shared" si="52"/>
        <v>4.4920514615772511</v>
      </c>
      <c r="S89" s="122">
        <f t="shared" si="53"/>
        <v>1</v>
      </c>
      <c r="T89" s="122">
        <f t="shared" si="54"/>
        <v>1</v>
      </c>
      <c r="U89" s="122">
        <f t="shared" si="55"/>
        <v>1459345.5621113647</v>
      </c>
      <c r="V89" s="122">
        <f t="shared" si="56"/>
        <v>4.4920514615772511</v>
      </c>
      <c r="W89" s="19">
        <f t="shared" si="57"/>
        <v>2.5373988276836926E-4</v>
      </c>
      <c r="X89" s="19">
        <f t="shared" si="58"/>
        <v>0.61158344588923397</v>
      </c>
      <c r="Y89" s="19">
        <f t="shared" si="59"/>
        <v>0.99018826557283945</v>
      </c>
      <c r="Z89" s="19">
        <f t="shared" si="60"/>
        <v>1.5002074878700154E-5</v>
      </c>
      <c r="AA89" s="19">
        <f t="shared" si="61"/>
        <v>0.42487075784399264</v>
      </c>
      <c r="AB89" s="19">
        <f t="shared" si="62"/>
        <v>0.7778432719751851</v>
      </c>
      <c r="AC89" s="19">
        <f t="shared" si="63"/>
        <v>2.6251724879357051E-17</v>
      </c>
      <c r="AD89" s="19">
        <f t="shared" si="64"/>
        <v>2.6251724879357051E-17</v>
      </c>
      <c r="AE89" s="19">
        <f t="shared" si="65"/>
        <v>0.9999993147613383</v>
      </c>
      <c r="AF89" s="19">
        <f t="shared" si="66"/>
        <v>0.7778432719751851</v>
      </c>
      <c r="AG89" s="122">
        <f t="shared" si="67"/>
        <v>5.9514690065046345E-2</v>
      </c>
      <c r="AH89" s="122">
        <f t="shared" si="68"/>
        <v>3.607923465307201E-3</v>
      </c>
      <c r="AI89" s="122" t="str">
        <f t="shared" si="69"/>
        <v/>
      </c>
      <c r="AJ89" s="122" t="str">
        <f t="shared" si="70"/>
        <v/>
      </c>
      <c r="AK89" s="122" t="str">
        <f t="shared" si="71"/>
        <v/>
      </c>
      <c r="AL89" s="122" t="str">
        <f t="shared" si="72"/>
        <v/>
      </c>
      <c r="AM89" s="122" t="str">
        <f t="shared" si="73"/>
        <v/>
      </c>
      <c r="AN89" s="122" t="str">
        <f t="shared" si="81"/>
        <v/>
      </c>
      <c r="AO89" s="122">
        <f t="shared" si="74"/>
        <v>1.6124704826615412E-8</v>
      </c>
      <c r="AP89" s="122" t="str">
        <f t="shared" si="75"/>
        <v/>
      </c>
      <c r="AQ89" s="130">
        <f t="shared" si="76"/>
        <v>8.7040715764705012E-2</v>
      </c>
      <c r="AR89" s="122">
        <f t="shared" si="77"/>
        <v>8.7040715764705012E-2</v>
      </c>
      <c r="AS89" s="1001"/>
      <c r="AT89" s="442">
        <v>8.7040715764705012E-2</v>
      </c>
      <c r="AU89" s="131">
        <f t="shared" si="78"/>
        <v>0.78946562783847363</v>
      </c>
      <c r="AV89" s="17"/>
      <c r="AW89" s="124">
        <f t="shared" si="79"/>
        <v>1.1904974538781588E-2</v>
      </c>
      <c r="AX89" s="16"/>
      <c r="AY89" s="26"/>
      <c r="AZ89" s="1000"/>
      <c r="BA89" s="1000"/>
    </row>
    <row r="90" spans="1:53">
      <c r="A90" s="6">
        <v>18.326342337240931</v>
      </c>
      <c r="B90" s="508">
        <v>9.6143446978506706</v>
      </c>
      <c r="C90" s="124">
        <v>9.6262354850769043</v>
      </c>
      <c r="D90" s="123">
        <f t="shared" si="82"/>
        <v>3.078848709580271E-10</v>
      </c>
      <c r="E90" s="123">
        <f t="shared" si="80"/>
        <v>0.23726722187081739</v>
      </c>
      <c r="F90" s="124">
        <f t="shared" si="40"/>
        <v>1.1890787226233712E-2</v>
      </c>
      <c r="G90" s="122">
        <f t="shared" si="41"/>
        <v>1.5970113203008671E-8</v>
      </c>
      <c r="H90" s="122">
        <f t="shared" si="42"/>
        <v>-1.2637291324887889E-4</v>
      </c>
      <c r="I90" s="123">
        <f t="shared" si="43"/>
        <v>5.7437839044779754E-2</v>
      </c>
      <c r="J90" s="123">
        <f t="shared" si="44"/>
        <v>5.7564211958028633E-2</v>
      </c>
      <c r="K90" s="124">
        <f t="shared" si="45"/>
        <v>0.47816570065527997</v>
      </c>
      <c r="L90" s="124">
        <f t="shared" si="46"/>
        <v>0.52183429934472003</v>
      </c>
      <c r="M90" s="122">
        <f t="shared" si="47"/>
        <v>1.0001853502016527</v>
      </c>
      <c r="N90" s="122">
        <f t="shared" si="48"/>
        <v>2.1505944781063659</v>
      </c>
      <c r="O90" s="122">
        <f t="shared" si="49"/>
        <v>74.698256042441258</v>
      </c>
      <c r="P90" s="122">
        <f t="shared" si="50"/>
        <v>1.0000109628192952</v>
      </c>
      <c r="Q90" s="122">
        <f t="shared" si="51"/>
        <v>1.5399932719853504</v>
      </c>
      <c r="R90" s="122">
        <f t="shared" si="52"/>
        <v>3.5506066909513487</v>
      </c>
      <c r="S90" s="122">
        <f t="shared" si="53"/>
        <v>1</v>
      </c>
      <c r="T90" s="122">
        <f t="shared" si="54"/>
        <v>1</v>
      </c>
      <c r="U90" s="122">
        <f t="shared" si="55"/>
        <v>1066406.2034206337</v>
      </c>
      <c r="V90" s="122">
        <f t="shared" si="56"/>
        <v>3.5506066909513487</v>
      </c>
      <c r="W90" s="19">
        <f t="shared" si="57"/>
        <v>1.8531713083677634E-4</v>
      </c>
      <c r="X90" s="19">
        <f t="shared" si="58"/>
        <v>0.53501232758037942</v>
      </c>
      <c r="Y90" s="19">
        <f t="shared" si="59"/>
        <v>0.98661518929605296</v>
      </c>
      <c r="Z90" s="19">
        <f t="shared" si="60"/>
        <v>1.096269911314354E-5</v>
      </c>
      <c r="AA90" s="19">
        <f t="shared" si="61"/>
        <v>0.35064651372742311</v>
      </c>
      <c r="AB90" s="19">
        <f t="shared" si="62"/>
        <v>0.71866778748481719</v>
      </c>
      <c r="AC90" s="19">
        <f t="shared" si="63"/>
        <v>1.9183253041765598E-17</v>
      </c>
      <c r="AD90" s="19">
        <f t="shared" si="64"/>
        <v>1.9183253041765598E-17</v>
      </c>
      <c r="AE90" s="19">
        <f t="shared" si="65"/>
        <v>0.99999906227102131</v>
      </c>
      <c r="AF90" s="19">
        <f t="shared" si="66"/>
        <v>0.71866778748481719</v>
      </c>
      <c r="AG90" s="122">
        <f t="shared" si="67"/>
        <v>5.8669751928797975E-2</v>
      </c>
      <c r="AH90" s="122">
        <f t="shared" si="68"/>
        <v>4.2576948226429392E-3</v>
      </c>
      <c r="AI90" s="122" t="str">
        <f t="shared" si="69"/>
        <v/>
      </c>
      <c r="AJ90" s="122" t="str">
        <f t="shared" si="70"/>
        <v/>
      </c>
      <c r="AK90" s="122" t="str">
        <f t="shared" si="71"/>
        <v/>
      </c>
      <c r="AL90" s="122" t="str">
        <f t="shared" si="72"/>
        <v/>
      </c>
      <c r="AM90" s="122" t="str">
        <f t="shared" si="73"/>
        <v/>
      </c>
      <c r="AN90" s="122" t="str">
        <f t="shared" si="81"/>
        <v/>
      </c>
      <c r="AO90" s="122">
        <f t="shared" si="74"/>
        <v>2.2419491705951383E-8</v>
      </c>
      <c r="AP90" s="122" t="str">
        <f t="shared" si="75"/>
        <v/>
      </c>
      <c r="AQ90" s="130">
        <f t="shared" si="76"/>
        <v>8.7224160763593711E-2</v>
      </c>
      <c r="AR90" s="122">
        <f t="shared" si="77"/>
        <v>8.7224160763593711E-2</v>
      </c>
      <c r="AS90" s="1001"/>
      <c r="AT90" s="442">
        <v>8.7224160763593725E-2</v>
      </c>
      <c r="AU90" s="131">
        <f t="shared" si="78"/>
        <v>0.78934516544487965</v>
      </c>
      <c r="AV90" s="17"/>
      <c r="AW90" s="124">
        <f t="shared" si="79"/>
        <v>1.1890787226233712E-2</v>
      </c>
      <c r="AX90" s="16"/>
      <c r="AY90" s="26"/>
      <c r="AZ90" s="1000"/>
      <c r="BA90" s="1000"/>
    </row>
    <row r="91" spans="1:53">
      <c r="A91" s="6">
        <v>18.883451000147033</v>
      </c>
      <c r="B91" s="508">
        <v>9.7396602970849475</v>
      </c>
      <c r="C91" s="124">
        <v>9.7623715400695801</v>
      </c>
      <c r="D91" s="123">
        <f t="shared" si="82"/>
        <v>2.3073778918356198E-10</v>
      </c>
      <c r="E91" s="123">
        <f t="shared" si="80"/>
        <v>0.28386297888986095</v>
      </c>
      <c r="F91" s="124">
        <f>IF(A91="","",IF(C91="","0,00001",(IF(ABS(C91-B91)&lt;0.00001,0.00001,C91-B91))))</f>
        <v>2.2711242984632563E-2</v>
      </c>
      <c r="G91" s="122">
        <f t="shared" si="41"/>
        <v>5.6664852789042865E-8</v>
      </c>
      <c r="H91" s="122">
        <f t="shared" si="42"/>
        <v>-2.3804380434920558E-4</v>
      </c>
      <c r="I91" s="123">
        <f t="shared" si="43"/>
        <v>5.6614889515162838E-2</v>
      </c>
      <c r="J91" s="123">
        <f t="shared" si="44"/>
        <v>5.6852933319512043E-2</v>
      </c>
      <c r="K91" s="124">
        <f t="shared" si="45"/>
        <v>0.4856423623529616</v>
      </c>
      <c r="L91" s="124">
        <f t="shared" si="46"/>
        <v>0.51435763764703835</v>
      </c>
      <c r="M91" s="122">
        <f t="shared" si="47"/>
        <v>1.0001388183329387</v>
      </c>
      <c r="N91" s="122">
        <f t="shared" si="48"/>
        <v>1.8621060664671361</v>
      </c>
      <c r="O91" s="122">
        <f t="shared" si="49"/>
        <v>56.208178194822636</v>
      </c>
      <c r="P91" s="122">
        <f t="shared" si="50"/>
        <v>1.0000082141131068</v>
      </c>
      <c r="Q91" s="122">
        <f t="shared" si="51"/>
        <v>1.4046865094871241</v>
      </c>
      <c r="R91" s="122">
        <f t="shared" si="52"/>
        <v>2.9104822209317858</v>
      </c>
      <c r="S91" s="122">
        <f t="shared" si="53"/>
        <v>1</v>
      </c>
      <c r="T91" s="122">
        <f t="shared" si="54"/>
        <v>1</v>
      </c>
      <c r="U91" s="122">
        <f t="shared" si="55"/>
        <v>799026.57204372587</v>
      </c>
      <c r="V91" s="122">
        <f t="shared" si="56"/>
        <v>2.9104822209317858</v>
      </c>
      <c r="W91" s="19">
        <f t="shared" si="57"/>
        <v>1.3879978186591375E-4</v>
      </c>
      <c r="X91" s="19">
        <f t="shared" si="58"/>
        <v>0.46297368690468732</v>
      </c>
      <c r="Y91" s="19">
        <f t="shared" si="59"/>
        <v>0.98221077194433282</v>
      </c>
      <c r="Z91" s="19">
        <f t="shared" si="60"/>
        <v>8.2140456357078859E-6</v>
      </c>
      <c r="AA91" s="19">
        <f t="shared" si="61"/>
        <v>0.28809738454374584</v>
      </c>
      <c r="AB91" s="19">
        <f t="shared" si="62"/>
        <v>0.65662645264526409</v>
      </c>
      <c r="AC91" s="19">
        <f t="shared" si="63"/>
        <v>1.4373438619942657E-17</v>
      </c>
      <c r="AD91" s="19">
        <f t="shared" si="64"/>
        <v>1.4373438619942657E-17</v>
      </c>
      <c r="AE91" s="19">
        <f t="shared" si="65"/>
        <v>0.99999874847716586</v>
      </c>
      <c r="AF91" s="19">
        <f t="shared" si="66"/>
        <v>0.65662645264526409</v>
      </c>
      <c r="AG91" s="122">
        <f t="shared" si="67"/>
        <v>5.7830646600455823E-2</v>
      </c>
      <c r="AH91" s="122">
        <f t="shared" si="68"/>
        <v>4.8468680589321645E-3</v>
      </c>
      <c r="AI91" s="122" t="str">
        <f t="shared" si="69"/>
        <v/>
      </c>
      <c r="AJ91" s="122" t="str">
        <f t="shared" si="70"/>
        <v/>
      </c>
      <c r="AK91" s="122" t="str">
        <f t="shared" si="71"/>
        <v/>
      </c>
      <c r="AL91" s="122" t="str">
        <f t="shared" si="72"/>
        <v/>
      </c>
      <c r="AM91" s="122" t="str">
        <f t="shared" si="73"/>
        <v/>
      </c>
      <c r="AN91" s="122" t="str">
        <f t="shared" si="81"/>
        <v/>
      </c>
      <c r="AO91" s="122">
        <f t="shared" si="74"/>
        <v>3.0389625285602224E-8</v>
      </c>
      <c r="AP91" s="122" t="str">
        <f t="shared" si="75"/>
        <v/>
      </c>
      <c r="AQ91" s="130">
        <f t="shared" si="76"/>
        <v>8.7351663134341145E-2</v>
      </c>
      <c r="AR91" s="122">
        <f t="shared" si="77"/>
        <v>8.7351663134341145E-2</v>
      </c>
      <c r="AS91" s="1001"/>
      <c r="AT91" s="442">
        <v>8.7351663134341145E-2</v>
      </c>
      <c r="AU91" s="131">
        <f t="shared" si="78"/>
        <v>0.78926160406799306</v>
      </c>
      <c r="AV91" s="17"/>
      <c r="AW91" s="124">
        <f t="shared" si="79"/>
        <v>2.2711242984632563E-2</v>
      </c>
      <c r="AX91" s="16"/>
      <c r="AY91" s="26"/>
      <c r="AZ91" s="1000"/>
      <c r="BA91" s="1000"/>
    </row>
    <row r="92" spans="1:53">
      <c r="A92" s="6">
        <v>19.426484357973095</v>
      </c>
      <c r="B92" s="508">
        <v>9.9258049194563522</v>
      </c>
      <c r="C92" s="124">
        <v>9.8983235359191895</v>
      </c>
      <c r="D92" s="123">
        <f t="shared" ref="D92:D111" si="83">IF(A92="","",10^-((((B92-P$12)/P$13)+7))/$AU92)</f>
        <v>1.5035835624469762E-10</v>
      </c>
      <c r="E92" s="123">
        <f t="shared" si="80"/>
        <v>0.27614741342926019</v>
      </c>
      <c r="F92" s="124">
        <f t="shared" si="40"/>
        <v>-2.7481383537162785E-2</v>
      </c>
      <c r="G92" s="122">
        <f t="shared" si="41"/>
        <v>7.1993603332104511E-8</v>
      </c>
      <c r="H92" s="122">
        <f t="shared" si="42"/>
        <v>2.683162375483536E-4</v>
      </c>
      <c r="I92" s="123">
        <f t="shared" ref="I92:I111" si="84">IF(A92="","",L92*I$18+K92*E$19)</f>
        <v>5.5835114852090376E-2</v>
      </c>
      <c r="J92" s="123">
        <f t="shared" ref="J92:J111" si="85">IF(A92="","",D92 -$AC$9/AU92^2/D92+L92*(W92*$B$11+X92*$C$11+Y92*$D$11+Z92*$E$11+AA92*$F$11+AB92*$G$11+AC92*$H$11)+K92*(AD92*$B$18+AE92*$C$18+AF92*$D$18))</f>
        <v>5.5566798614542022E-2</v>
      </c>
      <c r="K92" s="124">
        <f t="shared" ref="K92:K111" si="86">IF(A92="","",A92/(A92+$G$16))</f>
        <v>0.49272677171999835</v>
      </c>
      <c r="L92" s="124">
        <f t="shared" ref="L92:L111" si="87">IF(A92="","",$E$16/(A92+$G$16))</f>
        <v>0.50727322828000165</v>
      </c>
      <c r="M92" s="122">
        <f t="shared" ref="M92:M111" si="88">IF($A92="","",(1+(V$5*$AU92^(-2*V$4))*$D92+(V$6*$AU92^(-4*V$4-2))*$D92^2+(V$7*$AU92^(-6*V$4-6))*$D92^3+(V$8*$AU92^(-8*V$4-12))*$D92^4+(V$9*$AU92^(-10*V$4-20))*$D92^5+(V$10*$AU92^(-12*V$4-30))*$D92^6))</f>
        <v>1.0000902680574075</v>
      </c>
      <c r="N92" s="122">
        <f t="shared" ref="N92:N111" si="89">IF($A92="","",(1+(W$5*$AU92^(-2*W$4))*$D92+(W$6*$AU92^(-4*W$4-2))*$D92^2+(W$7*$AU92^(-6*W$4-6))*$D92^3+(W$8*$AU92^(-8*W$4-12))*$D92^4+(W$9*$AU92^(-10*W$4-20))*$D92^5+(W$10*$AU92^(-12*W$4-30))*$D92^6))</f>
        <v>1.5613873295811935</v>
      </c>
      <c r="O92" s="122">
        <f t="shared" ref="O92:O111" si="90">IF($A92="","",(1+(X$5*$AU92^(-2*X$4))*$D92+(X$6*$AU92^(-4*X$4-2))*$D92^2+(X$7*$AU92^(-6*X$4-6))*$D92^3+(X$8*$AU92^(-8*X$4-12))*$D92^4+(X$9*$AU92^(-10*X$4-20))*$D92^5+(X$10*$AU92^(-12*X$4-30))*$D92^6))</f>
        <v>36.92511161897842</v>
      </c>
      <c r="P92" s="122">
        <f t="shared" ref="P92:P111" si="91">IF($A92="","",(1+(Y$5*$AU92^(-2*Y$4))*$D92+(Y$6*$AU92^(-4*Y$4-2))*$D92^2+(Y$7*$AU92^(-6*Y$4-6))*$D92^3+(Y$8*$AU92^(-8*Y$4-12))*$D92^4+(Y$9*$AU92^(-10*Y$4-20))*$D92^5+(Y$10*$AU92^(-12*Y$4-30))*$D92^6))</f>
        <v>1.0000053488767615</v>
      </c>
      <c r="Q92" s="122">
        <f t="shared" ref="Q92:Q111" si="92">IF($A92="","",(1+(Z$5*$AU92^(-2*Z$4))*$D92+(Z$6*$AU92^(-4*Z$4-2))*$D92^2+(Z$7*$AU92^(-6*Z$4-6))*$D92^3+(Z$8*$AU92^(-8*Z$4-12))*$D92^4+(Z$9*$AU92^(-10*Z$4-20))*$D92^5+(Z$10*$AU92^(-12*Z$4-30))*$D92^6))</f>
        <v>1.2637105893065526</v>
      </c>
      <c r="R92" s="122">
        <f t="shared" ref="R92:R111" si="93">IF($A92="","",(1+(AA$5*$AU92^(-2*AA$4))*$D92+(AA$6*$AU92^(-4*AA$4-2))*$D92^2+(AA$7*$AU92^(-6*AA$4-6))*$D92^3+(AA$8*$AU92^(-8*AA$4-12))*$D92^4+(AA$9*$AU92^(-10*AA$4-20))*$D92^5+(AA$10*$AU92^(-12*AA$4-30))*$D92^6))</f>
        <v>2.2430512253119521</v>
      </c>
      <c r="S92" s="122">
        <f t="shared" ref="S92:S111" si="94">IF($A92="","",(1+(AB$5*$AU92^(-2*AB$4))*$D92+(AB$6*$AU92^(-4*AB$4-2))*$D92^2+(AB$7*$AU92^(-6*AB$4-6))*$D92^3+(AB$8*$AU92^(-8*AB$4-12))*$D92^4+(AB$9*$AU92^(-10*AB$4-20))*$D92^5+(AB$10*$AU92^(-12*AB$4-30))*$D92^6))</f>
        <v>1</v>
      </c>
      <c r="T92" s="122">
        <f t="shared" ref="T92:T111" si="95">IF($A92="","",(1+(AC$5*$AU92^(-2*AC$4))*$D92+(AC$6*$AU92^(-4*AC$4-2))*$D92^2))</f>
        <v>1</v>
      </c>
      <c r="U92" s="122">
        <f t="shared" ref="U92:U111" si="96">IF($A92="","",(1+(AD$5*$AU92^(-2*AD$4))*$D92+(AD$6*$AU92^(-4*AD$4-2))*$D92^2))</f>
        <v>520311.50200894469</v>
      </c>
      <c r="V92" s="122">
        <f t="shared" ref="V92:V111" si="97">IF($A92="","",(1+(AE$5*$AU92^(-2*AE$4))*$D92+(AE$6*$AU92^(-4*AE$4-2))*$D92^2))</f>
        <v>2.2430512253119521</v>
      </c>
      <c r="W92" s="19">
        <f t="shared" ref="W92:W111" si="98">IF($A92="","",((V$5*$AU92^(-2*V$4))*$D92+2*(V$6*$AU92^(-4*V$4-2))*$D92^2+3*(V$7*$AU92^(-6*V$4-6))*$D92^3+4*(V$8*$AU92^(-8*V$4-12))*$D92^4+5*(V$9*$AU92^(-10*V$4-20))*$D92^5+6*(V$10*$AU92^(-12*V$4-30))*$D92^6)/M92)</f>
        <v>9.0260213133875599E-5</v>
      </c>
      <c r="X92" s="19">
        <f t="shared" ref="X92:X111" si="99">IF($A92="","",((W$5*$AU92^(-2*W$4))*$D92+2*(W$6*$AU92^(-4*W$4-2))*$D92^2+3*(W$7*$AU92^(-6*W$4-6))*$D92^3+4*(W$8*$AU92^(-8*W$4-12))*$D92^4+5*(W$9*$AU92^(-10*W$4-20))*$D92^5+6*(W$10*$AU92^(-12*W$4-30))*$D92^6)/N92)</f>
        <v>0.35954393752423697</v>
      </c>
      <c r="Y92" s="19">
        <f t="shared" ref="Y92:Y111" si="100">IF($A92="","",((X$5*$AU92^(-2*X$4))*$D92+2*(X$6*$AU92^(-4*X$4-2))*$D92^2+3*(X$7*$AU92^(-6*X$4-6))*$D92^3+4*(X$8*$AU92^(-8*X$4-12))*$D92^4+5*(X$9*$AU92^(-10*X$4-20))*$D92^5+6*(X$10*$AU92^(-12*X$4-30))*$D92^6)/O92)</f>
        <v>0.97291930545383987</v>
      </c>
      <c r="Z92" s="19">
        <f t="shared" ref="Z92:Z111" si="101">IF($A92="","",((Y$5*$AU92^(-2*Y$4))*$D92+2*(Y$6*$AU92^(-4*Y$4-2))*$D92^2+3*(Y$7*$AU92^(-6*Y$4-6))*$D92^3+4*(Y$8*$AU92^(-8*Y$4-12))*$D92^4+5*(Y$9*$AU92^(-10*Y$4-20))*$D92^5+6*(Y$10*$AU92^(-12*Y$4-30))*$D92^6)/P92)</f>
        <v>5.3488481511860561E-6</v>
      </c>
      <c r="AA92" s="19">
        <f t="shared" ref="AA92:AA111" si="102">IF($A92="","",((Z$5*$AU92^(-2*Z$4))*$D92+2*(Z$6*$AU92^(-4*Z$4-2))*$D92^2+3*(Z$7*$AU92^(-6*Z$4-6))*$D92^3+4*(Z$8*$AU92^(-8*Z$4-12))*$D92^4+5*(Z$9*$AU92^(-10*Z$4-20))*$D92^5+6*(Z$10*$AU92^(-12*Z$4-30))*$D92^6)/Q92)</f>
        <v>0.20867957548038021</v>
      </c>
      <c r="AB92" s="19">
        <f t="shared" ref="AB92:AB111" si="103">IF($A92="","",((AA$5*$AU92^(-2*AA$4))*$D92+2*(AA$6*$AU92^(-4*AA$4-2))*$D92^2+3*(AA$7*$AU92^(-6*AA$4-6))*$D92^3+4*(AA$8*$AU92^(-8*AA$4-12))*$D92^4+5*(AA$9*$AU92^(-10*AA$4-20))*$D92^5+6*(AA$10*$AU92^(-12*AA$4-30))*$D92^6)/R92)</f>
        <v>0.55429533878446668</v>
      </c>
      <c r="AC92" s="19">
        <f t="shared" ref="AC92:AC111" si="104">IF($A92="","",((AB$5*$AU92^(-2*AB$4))*$D92+2*(AB$6*$AU92^(-4*AB$4-2))*$D92^2+3*(AB$7*$AU92^(-6*AB$4-6))*$D92^3+4*(AB$8*$AU92^(-8*AB$4-12))*$D92^4+5*(AB$9*$AU92^(-10*AB$4-20))*$D92^5+6*(AB$10*$AU92^(-12*AB$4-30))*$D92^6)/S92)</f>
        <v>9.3597142890023193E-18</v>
      </c>
      <c r="AD92" s="19">
        <f t="shared" ref="AD92:AD111" si="105">IF($A92="","",((AC$5*$AU92^(-2*AC$4))*$D92+2*(AC$6*$AU92^(-4*AC$4-2))*$D92^2)/T92)</f>
        <v>9.3597142890023193E-18</v>
      </c>
      <c r="AE92" s="19">
        <f t="shared" ref="AE92:AE111" si="106">IF($A92="","",((AD$5*$AU92^(-2*AD$4))*$D92+2*(AD$6*$AU92^(-4*AD$4-2))*$D92^2)/U92)</f>
        <v>0.99999807807439167</v>
      </c>
      <c r="AF92" s="19">
        <f t="shared" ref="AF92:AF111" si="107">IF($A92="","",((AE$5*$AU92^(-2*AE$4))*$D92+2*(AE$6*$AU92^(-4*AE$4-2))*$D92^2)/V92)</f>
        <v>0.55429533878446668</v>
      </c>
      <c r="AG92" s="122">
        <f t="shared" ref="AG92:AG111" si="108">IF(B$11=0,"",IF($A92="","",0.5*B$11*$L92*(1*V$4^2+(V$5*$AU92^(-2*V$4))*$D92*(V$4+1)^2+(V$6*$AU92^(-4*V$4-2))*$D92^2*(V$4+2)^2+(V$7*$AU92^(-6*V$4-6))*$D92^3*(V$4+3)^2+(V$8*$AU92^(-8*V$4-12))*$D92^4*(V$4+4)^2+(V$9*$AU92^(-10*V$4-20))*$D92^5*(V$4+5)^2+(V$10*$AU92^(-12*V$4-30))*$D92^6*(V$4+6)^2)/M92))</f>
        <v>5.7035665053017E-2</v>
      </c>
      <c r="AH92" s="122">
        <f t="shared" ref="AH92:AH111" si="109">IF(C$11=0,"",IF($A92="","",0.5*C$11*$L92*(1*W$4^2+(W$5*$AU92^(-2*W$4))*$D92*(W$4+1)^2+(W$6*$AU92^(-4*W$4-2))*$D92^2*(W$4+2)^2+(W$7*$AU92^(-6*W$4-6))*$D92^3*(W$4+3)^2+(W$8*$AU92^(-8*W$4-12))*$D92^4*(W$4+4)^2+(W$9*$AU92^(-10*W$4-20))*$D92^5*(W$4+5)^2+(W$10*$AU92^(-12*W$4-30))*$D92^6*(W$4+6)^2)/N92))</f>
        <v>5.7007461192185973E-3</v>
      </c>
      <c r="AI92" s="122" t="str">
        <f t="shared" ref="AI92:AI111" si="110">IF(D$11=0,"",IF($A92="","",0.5*D$11*$L92*(1*X$4^2+(X$5*$AU92^(-2*X$4))*$D92*(X$4+1)^2+(X$6*$AU92^(-4*X$4-2))*$D92^2*(X$4+2)^2+(X$7*$AU92^(-6*X$4-6))*$D92^3*(X$4+3)^2+(X$8*$AU92^(-8*X$4-12))*$D92^4*(X$4+4)^2+(X$9*$AU92^(-10*X$4-20))*$D92^5*(X$4+5)^2+(X$10*$AU92^(-12*X$4-30))*$D92^6*(X$4+6)^2)/O92))</f>
        <v/>
      </c>
      <c r="AJ92" s="122" t="str">
        <f t="shared" ref="AJ92:AJ111" si="111">IF(E$11=0,"",IF($A92="","",0.5*E$11*$L92*(1*Y$4^2+(Y$5*$AU92^(-2*Y$4))*$D92*(Y$4+1)^2+(Y$6*$AU92^(-4*Y$4-2))*$D92^2*(Y$4+2)^2+(Y$7*$AU92^(-6*Y$4-6))*$D92^3*(Y$4+3)^2+(Y$8*$AU92^(-8*Y$4-12))*$D92^4*(Y$4+4)^2+(Y$9*$AU92^(-10*Y$4-20))*$D92^5*(Y$4+5)^2+(Y$10*$AU92^(-12*Y$4-30))*$D92^6*(Y$4+6)^2)/P92))</f>
        <v/>
      </c>
      <c r="AK92" s="122" t="str">
        <f t="shared" ref="AK92:AK111" si="112">IF(F$11=0,"",IF($A92="","",0.5*F$11*$L92*(1*Z$4^2+(Z$5*$AU92^(-2*Z$4))*$D92*(Z$4+1)^2+(Z$6*$AU92^(-4*Z$4-2))*$D92^2*(Z$4+2)^2+(Z$7*$AU92^(-6*Z$4-6))*$D92^3*(Z$4+3)^2+(Z$8*$AU92^(-8*Z$4-12))*$D92^4*(Z$4+4)^2+(Z$9*$AU92^(-10*Z$4-20))*$D92^5*(Z$4+5)^2+(Z$10*$AU92^(-12*Z$4-30))*$D92^6*(Z$4+6)^2)/Q92))</f>
        <v/>
      </c>
      <c r="AL92" s="122" t="str">
        <f t="shared" ref="AL92:AL111" si="113">IF(G$11=0,"",IF($A92="","",0.5*G$11*$L92*(1*AA$4^2+(AA$5*$AU92^(-2*AA$4))*$D92*(AA$4+1)^2+(AA$6*$AU92^(-4*AA$4-2))*$D92^2*(AA$4+2)^2+(AA$7*$AU92^(-6*AA$4-6))*$D92^3*(AA$4+3)^2+(AA$8*$AU92^(-8*AA$4-12))*$D92^4*(AA$4+4)^2+(AA$9*$AU92^(-10*AA$4-20))*$D92^5*(AA$4+5)^2+(AA$10*$AU92^(-12*AA$4-30))*$D92^6*(AA$4+6)^2)/R92))</f>
        <v/>
      </c>
      <c r="AM92" s="122" t="str">
        <f t="shared" ref="AM92:AM111" si="114">IF(H$11=0,"",IF($A92="","",0.5*H$11*$L92*(1*AB$4^2+(AB$5*$AU92^(-2*AB$4))*$D92*(AB$4+1)^2+(AB$6*$AU92^(-4*AB$4-2))*$D92^2*(AB$4+2)^2+(AB$7*$AU92^(-6*AB$4-6))*$D92^3*(AB$4+3)^2+(AB$8*$AU92^(-8*AB$4-12))*$D92^4*(AB$4+4)^2+(AB$9*$AU92^(-10*AB$4-20))*$D92^5*(AB$4+5)^2+(AB$10*$AU92^(-12*AB$4-30))*$D92^6*(AB$4+6)^2)/S92))</f>
        <v/>
      </c>
      <c r="AN92" s="122" t="str">
        <f t="shared" ref="AN92:AN111" si="115">IF(B$18=0,"",IF($A92="","",0.5*B$18*$K92*(1*AC$4^2+(AC$5*$AU92^(-2*AC$4))*$D92*(AC$4+1)^2+(AC$6*$AU92^(-4*AC$4-2))*$D92^2*(AC$4+2)^2)/T92))</f>
        <v/>
      </c>
      <c r="AO92" s="122">
        <f t="shared" ref="AO92:AO111" si="116">IF(C$18=0,"",IF($A92="","",0.5*C$18*$K92*(1*AD$4^2+(AD$5*$AU92^(-2*AD$4))*$D92*(AD$4+1)^2+(AD$6*$AU92^(-4*AD$4-2))*$D92^2*(AD$4+2)^2)/U92))</f>
        <v>4.7349210022991952E-8</v>
      </c>
      <c r="AP92" s="122" t="str">
        <f t="shared" ref="AP92:AP111" si="117">IF(D$18=0,"",IF($A92="","",0.5*D$18*$K92*(1*AE$4^2+(AE$5*$AU92^(-2*AE$4))*$D92*(AE$4+1)^2+(AE$6*$AU92^(-4*AE$4-2))*$D92^2*(AE$4+2)^2)/V92))</f>
        <v/>
      </c>
      <c r="AQ92" s="130">
        <f t="shared" si="76"/>
        <v>8.7778643482577745E-2</v>
      </c>
      <c r="AR92" s="122">
        <f t="shared" si="77"/>
        <v>8.7778643482577745E-2</v>
      </c>
      <c r="AS92" s="1001"/>
      <c r="AT92" s="442">
        <v>8.7778643482577745E-2</v>
      </c>
      <c r="AU92" s="131">
        <f t="shared" si="78"/>
        <v>0.78898275584625743</v>
      </c>
      <c r="AV92" s="17"/>
      <c r="AW92" s="124">
        <f t="shared" si="79"/>
        <v>-2.7481383537162785E-2</v>
      </c>
      <c r="AX92" s="16"/>
      <c r="AY92" s="26"/>
    </row>
    <row r="93" spans="1:53">
      <c r="A93" s="6">
        <v>19.933300970296841</v>
      </c>
      <c r="B93" s="508">
        <v>10.031987109556535</v>
      </c>
      <c r="C93" s="124">
        <v>10.034309864044189</v>
      </c>
      <c r="D93" s="123">
        <f t="shared" si="83"/>
        <v>1.1774703282959727E-10</v>
      </c>
      <c r="E93" s="123">
        <f t="shared" si="80"/>
        <v>0.29222654407881288</v>
      </c>
      <c r="F93" s="124">
        <f t="shared" si="40"/>
        <v>2.3227544876540662E-3</v>
      </c>
      <c r="G93" s="122">
        <f t="shared" si="41"/>
        <v>4.269235063673871E-10</v>
      </c>
      <c r="H93" s="122">
        <f t="shared" si="42"/>
        <v>-2.0662127343702708E-5</v>
      </c>
      <c r="I93" s="123">
        <f t="shared" si="84"/>
        <v>5.5126479125254459E-2</v>
      </c>
      <c r="J93" s="123">
        <f t="shared" si="85"/>
        <v>5.5147141252598161E-2</v>
      </c>
      <c r="K93" s="124">
        <f t="shared" si="86"/>
        <v>0.49916486956897488</v>
      </c>
      <c r="L93" s="124">
        <f t="shared" si="87"/>
        <v>0.50083513043102512</v>
      </c>
      <c r="M93" s="122">
        <f t="shared" si="88"/>
        <v>1.0000706852219319</v>
      </c>
      <c r="N93" s="122">
        <f t="shared" si="89"/>
        <v>1.4396183586117026</v>
      </c>
      <c r="O93" s="122">
        <f t="shared" si="90"/>
        <v>29.132093149132757</v>
      </c>
      <c r="P93" s="122">
        <f t="shared" si="91"/>
        <v>1.0000041886667468</v>
      </c>
      <c r="Q93" s="122">
        <f t="shared" si="92"/>
        <v>1.2065142250295524</v>
      </c>
      <c r="R93" s="122">
        <f t="shared" si="93"/>
        <v>1.9733594090907622</v>
      </c>
      <c r="S93" s="122">
        <f t="shared" si="94"/>
        <v>1</v>
      </c>
      <c r="T93" s="122">
        <f t="shared" si="95"/>
        <v>1</v>
      </c>
      <c r="U93" s="122">
        <f t="shared" si="96"/>
        <v>407452.39492586959</v>
      </c>
      <c r="V93" s="122">
        <f t="shared" si="97"/>
        <v>1.9733594090907622</v>
      </c>
      <c r="W93" s="19">
        <f t="shared" si="98"/>
        <v>7.0680411878264101E-5</v>
      </c>
      <c r="X93" s="19">
        <f t="shared" si="99"/>
        <v>0.30537146707694834</v>
      </c>
      <c r="Y93" s="19">
        <f t="shared" si="100"/>
        <v>0.96567448701647496</v>
      </c>
      <c r="Z93" s="19">
        <f t="shared" si="101"/>
        <v>4.1886492019259824E-6</v>
      </c>
      <c r="AA93" s="19">
        <f t="shared" si="102"/>
        <v>0.17116600927311404</v>
      </c>
      <c r="AB93" s="19">
        <f t="shared" si="103"/>
        <v>0.49333123586272615</v>
      </c>
      <c r="AC93" s="19">
        <f t="shared" si="104"/>
        <v>7.3295246366097352E-18</v>
      </c>
      <c r="AD93" s="19">
        <f t="shared" si="105"/>
        <v>7.3295246366097352E-18</v>
      </c>
      <c r="AE93" s="19">
        <f t="shared" si="106"/>
        <v>0.99999754572555599</v>
      </c>
      <c r="AF93" s="19">
        <f t="shared" si="107"/>
        <v>0.49333123586272615</v>
      </c>
      <c r="AG93" s="122">
        <f t="shared" si="108"/>
        <v>5.6312405019610608E-2</v>
      </c>
      <c r="AH93" s="122">
        <f t="shared" si="109"/>
        <v>6.1044678833490993E-3</v>
      </c>
      <c r="AI93" s="122" t="str">
        <f t="shared" si="110"/>
        <v/>
      </c>
      <c r="AJ93" s="122" t="str">
        <f t="shared" si="111"/>
        <v/>
      </c>
      <c r="AK93" s="122" t="str">
        <f t="shared" si="112"/>
        <v/>
      </c>
      <c r="AL93" s="122" t="str">
        <f t="shared" si="113"/>
        <v/>
      </c>
      <c r="AM93" s="122" t="str">
        <f t="shared" si="114"/>
        <v/>
      </c>
      <c r="AN93" s="122" t="str">
        <f t="shared" si="115"/>
        <v/>
      </c>
      <c r="AO93" s="122">
        <f t="shared" si="116"/>
        <v>6.1254379135480497E-8</v>
      </c>
      <c r="AP93" s="122" t="str">
        <f t="shared" si="117"/>
        <v/>
      </c>
      <c r="AQ93" s="130">
        <f t="shared" si="76"/>
        <v>8.7791455167843285E-2</v>
      </c>
      <c r="AR93" s="122">
        <f t="shared" si="77"/>
        <v>8.7791455167843285E-2</v>
      </c>
      <c r="AS93" s="1001"/>
      <c r="AT93" s="442">
        <v>8.7791455167843285E-2</v>
      </c>
      <c r="AU93" s="131">
        <f t="shared" si="78"/>
        <v>0.78897441220748254</v>
      </c>
      <c r="AV93" s="17"/>
      <c r="AW93" s="124">
        <f t="shared" si="79"/>
        <v>2.3227544876540662E-3</v>
      </c>
      <c r="AX93" s="16"/>
      <c r="AY93" s="26"/>
    </row>
    <row r="94" spans="1:53">
      <c r="A94" s="6">
        <v>20.389101548062172</v>
      </c>
      <c r="B94" s="508">
        <v>10.202887247648615</v>
      </c>
      <c r="C94" s="124">
        <v>10.170055866241455</v>
      </c>
      <c r="D94" s="123">
        <f t="shared" si="83"/>
        <v>7.9459893797157368E-11</v>
      </c>
      <c r="E94" s="123">
        <f t="shared" si="80"/>
        <v>0.29745563918420004</v>
      </c>
      <c r="F94" s="124">
        <f t="shared" si="40"/>
        <v>-3.283138140715991E-2</v>
      </c>
      <c r="G94" s="122">
        <f t="shared" si="41"/>
        <v>6.3188810234652343E-8</v>
      </c>
      <c r="H94" s="122">
        <f t="shared" si="42"/>
        <v>2.513738455660261E-4</v>
      </c>
      <c r="I94" s="123">
        <f t="shared" si="84"/>
        <v>5.4504363750750295E-2</v>
      </c>
      <c r="J94" s="123">
        <f t="shared" si="85"/>
        <v>5.4252989905184269E-2</v>
      </c>
      <c r="K94" s="124">
        <f t="shared" si="86"/>
        <v>0.50481691264658546</v>
      </c>
      <c r="L94" s="124">
        <f t="shared" si="87"/>
        <v>0.49518308735341454</v>
      </c>
      <c r="M94" s="122">
        <f t="shared" si="88"/>
        <v>1.000047636229985</v>
      </c>
      <c r="N94" s="122">
        <f t="shared" si="89"/>
        <v>1.2965360731566342</v>
      </c>
      <c r="O94" s="122">
        <f t="shared" si="90"/>
        <v>19.967379730171171</v>
      </c>
      <c r="P94" s="122">
        <f t="shared" si="91"/>
        <v>1.0000028253842796</v>
      </c>
      <c r="Q94" s="122">
        <f t="shared" si="92"/>
        <v>1.1393631584092514</v>
      </c>
      <c r="R94" s="122">
        <f t="shared" si="93"/>
        <v>1.6562289058467783</v>
      </c>
      <c r="S94" s="122">
        <f t="shared" si="94"/>
        <v>1</v>
      </c>
      <c r="T94" s="122">
        <f t="shared" si="95"/>
        <v>1</v>
      </c>
      <c r="U94" s="122">
        <f t="shared" si="96"/>
        <v>274839.47142030596</v>
      </c>
      <c r="V94" s="122">
        <f t="shared" si="97"/>
        <v>1.6562289058467783</v>
      </c>
      <c r="W94" s="19">
        <f t="shared" si="98"/>
        <v>4.763404539576792E-5</v>
      </c>
      <c r="X94" s="19">
        <f t="shared" si="99"/>
        <v>0.22871409795001263</v>
      </c>
      <c r="Y94" s="19">
        <f t="shared" si="100"/>
        <v>0.94991890733748352</v>
      </c>
      <c r="Z94" s="19">
        <f t="shared" si="101"/>
        <v>2.8253762969486465E-6</v>
      </c>
      <c r="AA94" s="19">
        <f t="shared" si="102"/>
        <v>0.12231671471967423</v>
      </c>
      <c r="AB94" s="19">
        <f t="shared" si="103"/>
        <v>0.39626277713841385</v>
      </c>
      <c r="AC94" s="19">
        <f t="shared" si="104"/>
        <v>4.9439893259652216E-18</v>
      </c>
      <c r="AD94" s="19">
        <f t="shared" si="105"/>
        <v>4.9439893259652216E-18</v>
      </c>
      <c r="AE94" s="19">
        <f t="shared" si="106"/>
        <v>0.99999636151243187</v>
      </c>
      <c r="AF94" s="19">
        <f t="shared" si="107"/>
        <v>0.39626277713841385</v>
      </c>
      <c r="AG94" s="122">
        <f t="shared" si="108"/>
        <v>5.5677619078545501E-2</v>
      </c>
      <c r="AH94" s="122">
        <f t="shared" si="109"/>
        <v>6.7016478166965834E-3</v>
      </c>
      <c r="AI94" s="122" t="str">
        <f t="shared" si="110"/>
        <v/>
      </c>
      <c r="AJ94" s="122" t="str">
        <f t="shared" si="111"/>
        <v/>
      </c>
      <c r="AK94" s="122" t="str">
        <f t="shared" si="112"/>
        <v/>
      </c>
      <c r="AL94" s="122" t="str">
        <f t="shared" si="113"/>
        <v/>
      </c>
      <c r="AM94" s="122" t="str">
        <f t="shared" si="114"/>
        <v/>
      </c>
      <c r="AN94" s="122" t="str">
        <f t="shared" si="115"/>
        <v/>
      </c>
      <c r="AO94" s="122">
        <f t="shared" si="116"/>
        <v>9.1838503042850804E-8</v>
      </c>
      <c r="AP94" s="122" t="str">
        <f t="shared" si="117"/>
        <v/>
      </c>
      <c r="AQ94" s="130">
        <f t="shared" si="76"/>
        <v>8.8065703030936388E-2</v>
      </c>
      <c r="AR94" s="122">
        <f t="shared" si="77"/>
        <v>8.8065703030936388E-2</v>
      </c>
      <c r="AS94" s="1001"/>
      <c r="AT94" s="442">
        <v>8.8065703030936388E-2</v>
      </c>
      <c r="AU94" s="131">
        <f t="shared" si="78"/>
        <v>0.78879613162325657</v>
      </c>
      <c r="AV94" s="17"/>
      <c r="AW94" s="124">
        <f t="shared" si="79"/>
        <v>-3.283138140715991E-2</v>
      </c>
      <c r="AX94" s="16"/>
      <c r="AY94" s="26"/>
    </row>
    <row r="95" spans="1:53">
      <c r="A95" s="6">
        <v>20.788013354467694</v>
      </c>
      <c r="B95" s="508">
        <v>10.290634401448534</v>
      </c>
      <c r="C95" s="124">
        <v>10.3057541847229</v>
      </c>
      <c r="D95" s="123">
        <f t="shared" si="83"/>
        <v>6.4920211132189452E-11</v>
      </c>
      <c r="E95" s="123">
        <f t="shared" si="80"/>
        <v>0.29469540398881311</v>
      </c>
      <c r="F95" s="124">
        <f t="shared" si="40"/>
        <v>1.5119783274366583E-2</v>
      </c>
      <c r="G95" s="122">
        <f t="shared" si="41"/>
        <v>1.0386617981989922E-8</v>
      </c>
      <c r="H95" s="122">
        <f t="shared" si="42"/>
        <v>-1.0191475841108549E-4</v>
      </c>
      <c r="I95" s="123">
        <f t="shared" si="84"/>
        <v>5.3971304344011282E-2</v>
      </c>
      <c r="J95" s="123">
        <f t="shared" si="85"/>
        <v>5.4073219102422368E-2</v>
      </c>
      <c r="K95" s="124">
        <f t="shared" si="86"/>
        <v>0.50965986437754973</v>
      </c>
      <c r="L95" s="124">
        <f t="shared" si="87"/>
        <v>0.49034013562245021</v>
      </c>
      <c r="M95" s="122">
        <f t="shared" si="88"/>
        <v>1.0000389309142856</v>
      </c>
      <c r="N95" s="122">
        <f t="shared" si="89"/>
        <v>1.2422988092516281</v>
      </c>
      <c r="O95" s="122">
        <f t="shared" si="90"/>
        <v>16.499684011360436</v>
      </c>
      <c r="P95" s="122">
        <f t="shared" si="91"/>
        <v>1.0000023086137264</v>
      </c>
      <c r="Q95" s="122">
        <f t="shared" si="92"/>
        <v>1.1138622924801975</v>
      </c>
      <c r="R95" s="122">
        <f t="shared" si="93"/>
        <v>1.5362435479014354</v>
      </c>
      <c r="S95" s="122">
        <f t="shared" si="94"/>
        <v>1</v>
      </c>
      <c r="T95" s="122">
        <f t="shared" si="95"/>
        <v>1</v>
      </c>
      <c r="U95" s="122">
        <f t="shared" si="96"/>
        <v>224570.75931985417</v>
      </c>
      <c r="V95" s="122">
        <f t="shared" si="97"/>
        <v>1.5362435479014354</v>
      </c>
      <c r="W95" s="19">
        <f t="shared" si="98"/>
        <v>3.8929455170359458E-5</v>
      </c>
      <c r="X95" s="19">
        <f t="shared" si="99"/>
        <v>0.19504068664375476</v>
      </c>
      <c r="Y95" s="19">
        <f t="shared" si="100"/>
        <v>0.93939325646288285</v>
      </c>
      <c r="Z95" s="19">
        <f t="shared" si="101"/>
        <v>2.3086083967864656E-6</v>
      </c>
      <c r="AA95" s="19">
        <f t="shared" si="102"/>
        <v>0.10222295273741999</v>
      </c>
      <c r="AB95" s="19">
        <f t="shared" si="103"/>
        <v>0.34909325730887769</v>
      </c>
      <c r="AC95" s="19">
        <f t="shared" si="104"/>
        <v>4.0397200845801059E-18</v>
      </c>
      <c r="AD95" s="19">
        <f t="shared" si="105"/>
        <v>4.0397200845801059E-18</v>
      </c>
      <c r="AE95" s="19">
        <f t="shared" si="106"/>
        <v>0.99999554706052107</v>
      </c>
      <c r="AF95" s="19">
        <f t="shared" si="107"/>
        <v>0.34909325730887769</v>
      </c>
      <c r="AG95" s="122">
        <f t="shared" si="108"/>
        <v>5.5133351713733403E-2</v>
      </c>
      <c r="AH95" s="122">
        <f t="shared" si="109"/>
        <v>6.9258291763381373E-3</v>
      </c>
      <c r="AI95" s="122" t="str">
        <f t="shared" si="110"/>
        <v/>
      </c>
      <c r="AJ95" s="122" t="str">
        <f t="shared" si="111"/>
        <v/>
      </c>
      <c r="AK95" s="122" t="str">
        <f t="shared" si="112"/>
        <v/>
      </c>
      <c r="AL95" s="122" t="str">
        <f t="shared" si="113"/>
        <v/>
      </c>
      <c r="AM95" s="122" t="str">
        <f t="shared" si="114"/>
        <v/>
      </c>
      <c r="AN95" s="122" t="str">
        <f t="shared" si="115"/>
        <v/>
      </c>
      <c r="AO95" s="122">
        <f t="shared" si="116"/>
        <v>1.1347422654693117E-7</v>
      </c>
      <c r="AP95" s="122" t="str">
        <f t="shared" si="117"/>
        <v/>
      </c>
      <c r="AQ95" s="130">
        <f t="shared" si="76"/>
        <v>8.8007220073165068E-2</v>
      </c>
      <c r="AR95" s="122">
        <f t="shared" si="77"/>
        <v>8.8007220073165068E-2</v>
      </c>
      <c r="AS95" s="1001"/>
      <c r="AT95" s="442">
        <v>8.8007220073165068E-2</v>
      </c>
      <c r="AU95" s="131">
        <f t="shared" si="78"/>
        <v>0.78883409785051062</v>
      </c>
      <c r="AV95" s="17"/>
      <c r="AW95" s="124">
        <f t="shared" si="79"/>
        <v>1.5119783274366583E-2</v>
      </c>
      <c r="AX95" s="16"/>
      <c r="AY95" s="26"/>
    </row>
    <row r="96" spans="1:53">
      <c r="A96" s="6">
        <v>21.132498390215915</v>
      </c>
      <c r="B96" s="508">
        <v>10.417895616528499</v>
      </c>
      <c r="C96" s="124">
        <v>10.441256999969482</v>
      </c>
      <c r="D96" s="123">
        <f t="shared" si="83"/>
        <v>4.8433803053320036E-11</v>
      </c>
      <c r="E96" s="123">
        <f t="shared" si="80"/>
        <v>0.41285066378909513</v>
      </c>
      <c r="F96" s="124">
        <f t="shared" si="40"/>
        <v>2.3361383440983374E-2</v>
      </c>
      <c r="G96" s="122">
        <f t="shared" si="41"/>
        <v>1.8304170131275847E-8</v>
      </c>
      <c r="H96" s="122">
        <f t="shared" si="42"/>
        <v>-1.3529290495541829E-4</v>
      </c>
      <c r="I96" s="123">
        <f t="shared" si="84"/>
        <v>5.3519294195492138E-2</v>
      </c>
      <c r="J96" s="123">
        <f t="shared" si="85"/>
        <v>5.3654587100447557E-2</v>
      </c>
      <c r="K96" s="124">
        <f t="shared" si="86"/>
        <v>0.51376646732556974</v>
      </c>
      <c r="L96" s="124">
        <f t="shared" si="87"/>
        <v>0.48623353267443026</v>
      </c>
      <c r="M96" s="122">
        <f t="shared" si="88"/>
        <v>1.0000290324651322</v>
      </c>
      <c r="N96" s="122">
        <f t="shared" si="89"/>
        <v>1.1807424646710034</v>
      </c>
      <c r="O96" s="122">
        <f t="shared" si="90"/>
        <v>12.560376653383384</v>
      </c>
      <c r="P96" s="122">
        <f t="shared" si="91"/>
        <v>1.0000017221072515</v>
      </c>
      <c r="Q96" s="122">
        <f t="shared" si="92"/>
        <v>1.084947102805262</v>
      </c>
      <c r="R96" s="122">
        <f t="shared" si="93"/>
        <v>1.3999459028887573</v>
      </c>
      <c r="S96" s="122">
        <f t="shared" si="94"/>
        <v>1</v>
      </c>
      <c r="T96" s="122">
        <f t="shared" si="95"/>
        <v>1</v>
      </c>
      <c r="U96" s="122">
        <f t="shared" si="96"/>
        <v>167518.50479178483</v>
      </c>
      <c r="V96" s="122">
        <f t="shared" si="97"/>
        <v>1.3999459028887573</v>
      </c>
      <c r="W96" s="19">
        <f t="shared" si="98"/>
        <v>2.9031653666196797E-5</v>
      </c>
      <c r="X96" s="19">
        <f t="shared" si="99"/>
        <v>0.15307526580840913</v>
      </c>
      <c r="Y96" s="19">
        <f t="shared" si="100"/>
        <v>0.92038490230303971</v>
      </c>
      <c r="Z96" s="19">
        <f t="shared" si="101"/>
        <v>1.7221042858260684E-6</v>
      </c>
      <c r="AA96" s="19">
        <f t="shared" si="102"/>
        <v>7.8296077832385513E-2</v>
      </c>
      <c r="AB96" s="19">
        <f t="shared" si="103"/>
        <v>0.28570604476765205</v>
      </c>
      <c r="AC96" s="19">
        <f t="shared" si="104"/>
        <v>3.0134236714491858E-18</v>
      </c>
      <c r="AD96" s="19">
        <f t="shared" si="105"/>
        <v>3.0134236714491858E-18</v>
      </c>
      <c r="AE96" s="19">
        <f t="shared" si="106"/>
        <v>0.99999403051023383</v>
      </c>
      <c r="AF96" s="19">
        <f t="shared" si="107"/>
        <v>0.28570604476765205</v>
      </c>
      <c r="AG96" s="122">
        <f t="shared" si="108"/>
        <v>5.4671910041547672E-2</v>
      </c>
      <c r="AH96" s="122">
        <f t="shared" si="109"/>
        <v>7.2258696789731149E-3</v>
      </c>
      <c r="AI96" s="122" t="str">
        <f t="shared" si="110"/>
        <v/>
      </c>
      <c r="AJ96" s="122" t="str">
        <f t="shared" si="111"/>
        <v/>
      </c>
      <c r="AK96" s="122" t="str">
        <f t="shared" si="112"/>
        <v/>
      </c>
      <c r="AL96" s="122" t="str">
        <f t="shared" si="113"/>
        <v/>
      </c>
      <c r="AM96" s="122" t="str">
        <f t="shared" si="114"/>
        <v/>
      </c>
      <c r="AN96" s="122" t="str">
        <f t="shared" si="115"/>
        <v/>
      </c>
      <c r="AO96" s="122">
        <f t="shared" si="116"/>
        <v>1.5334618344527067E-7</v>
      </c>
      <c r="AP96" s="122" t="str">
        <f t="shared" si="117"/>
        <v/>
      </c>
      <c r="AQ96" s="130">
        <f t="shared" si="76"/>
        <v>8.8090784295430921E-2</v>
      </c>
      <c r="AR96" s="122">
        <f t="shared" si="77"/>
        <v>8.8090784295430921E-2</v>
      </c>
      <c r="AS96" s="1001"/>
      <c r="AT96" s="442">
        <v>8.8090784295430921E-2</v>
      </c>
      <c r="AU96" s="131">
        <f t="shared" si="78"/>
        <v>0.78877985785120197</v>
      </c>
      <c r="AV96" s="17"/>
      <c r="AW96" s="124">
        <f t="shared" si="79"/>
        <v>2.3361383440983374E-2</v>
      </c>
      <c r="AX96" s="16"/>
      <c r="AY96" s="26"/>
    </row>
    <row r="97" spans="1:51">
      <c r="A97" s="6">
        <v>21.431539957120549</v>
      </c>
      <c r="B97" s="508">
        <v>10.55434135139315</v>
      </c>
      <c r="C97" s="124">
        <v>10.576706409454346</v>
      </c>
      <c r="D97" s="123">
        <f t="shared" si="83"/>
        <v>3.5378345183566822E-11</v>
      </c>
      <c r="E97" s="123">
        <f t="shared" si="80"/>
        <v>0.5651745376220052</v>
      </c>
      <c r="F97" s="124">
        <f t="shared" si="40"/>
        <v>2.2365058061195597E-2</v>
      </c>
      <c r="G97" s="122">
        <f t="shared" si="41"/>
        <v>1.2616714397539582E-8</v>
      </c>
      <c r="H97" s="122">
        <f t="shared" si="42"/>
        <v>-1.1232414877282437E-4</v>
      </c>
      <c r="I97" s="123">
        <f t="shared" si="84"/>
        <v>5.3133006511944435E-2</v>
      </c>
      <c r="J97" s="123">
        <f t="shared" si="85"/>
        <v>5.3245330660717259E-2</v>
      </c>
      <c r="K97" s="124">
        <f t="shared" si="86"/>
        <v>0.5172759684844217</v>
      </c>
      <c r="L97" s="124">
        <f t="shared" si="87"/>
        <v>0.48272403151557824</v>
      </c>
      <c r="M97" s="122">
        <f t="shared" si="88"/>
        <v>1.000021196524606</v>
      </c>
      <c r="N97" s="122">
        <f t="shared" si="89"/>
        <v>1.1320017794218509</v>
      </c>
      <c r="O97" s="122">
        <f t="shared" si="90"/>
        <v>9.4415494673623588</v>
      </c>
      <c r="P97" s="122">
        <f t="shared" si="91"/>
        <v>1.0000012577078807</v>
      </c>
      <c r="Q97" s="122">
        <f t="shared" si="92"/>
        <v>1.0620493898048853</v>
      </c>
      <c r="R97" s="122">
        <f t="shared" si="93"/>
        <v>1.2920408106115162</v>
      </c>
      <c r="S97" s="122">
        <f t="shared" si="94"/>
        <v>1</v>
      </c>
      <c r="T97" s="122">
        <f t="shared" si="95"/>
        <v>1</v>
      </c>
      <c r="U97" s="122">
        <f t="shared" si="96"/>
        <v>122344.1849383276</v>
      </c>
      <c r="V97" s="122">
        <f t="shared" si="97"/>
        <v>1.2920408106115162</v>
      </c>
      <c r="W97" s="19">
        <f t="shared" si="98"/>
        <v>2.1196092059947842E-5</v>
      </c>
      <c r="X97" s="19">
        <f t="shared" si="99"/>
        <v>0.11660916340144988</v>
      </c>
      <c r="Y97" s="19">
        <f t="shared" si="100"/>
        <v>0.8940854290273329</v>
      </c>
      <c r="Z97" s="19">
        <f t="shared" si="101"/>
        <v>1.2577062989858987E-6</v>
      </c>
      <c r="AA97" s="19">
        <f t="shared" si="102"/>
        <v>5.8424203620402855E-2</v>
      </c>
      <c r="AB97" s="19">
        <f t="shared" si="103"/>
        <v>0.22604182675310222</v>
      </c>
      <c r="AC97" s="19">
        <f t="shared" si="104"/>
        <v>2.2007959704979575E-18</v>
      </c>
      <c r="AD97" s="19">
        <f t="shared" si="105"/>
        <v>2.2007959704979575E-18</v>
      </c>
      <c r="AE97" s="19">
        <f t="shared" si="106"/>
        <v>0.99999182633812544</v>
      </c>
      <c r="AF97" s="19">
        <f t="shared" si="107"/>
        <v>0.22604182675310222</v>
      </c>
      <c r="AG97" s="122">
        <f t="shared" si="108"/>
        <v>5.4277539368474265E-2</v>
      </c>
      <c r="AH97" s="122">
        <f t="shared" si="109"/>
        <v>7.4825945104450512E-3</v>
      </c>
      <c r="AI97" s="122" t="str">
        <f t="shared" si="110"/>
        <v/>
      </c>
      <c r="AJ97" s="122" t="str">
        <f t="shared" si="111"/>
        <v/>
      </c>
      <c r="AK97" s="122" t="str">
        <f t="shared" si="112"/>
        <v/>
      </c>
      <c r="AL97" s="122" t="str">
        <f t="shared" si="113"/>
        <v/>
      </c>
      <c r="AM97" s="122" t="str">
        <f t="shared" si="114"/>
        <v/>
      </c>
      <c r="AN97" s="122" t="str">
        <f t="shared" si="115"/>
        <v/>
      </c>
      <c r="AO97" s="122">
        <f t="shared" si="116"/>
        <v>2.1140194311040408E-7</v>
      </c>
      <c r="AP97" s="122" t="str">
        <f t="shared" si="117"/>
        <v/>
      </c>
      <c r="AQ97" s="130">
        <f t="shared" si="76"/>
        <v>8.8187926853061663E-2</v>
      </c>
      <c r="AR97" s="122">
        <f t="shared" si="77"/>
        <v>8.8187926853061663E-2</v>
      </c>
      <c r="AS97" s="1001"/>
      <c r="AT97" s="442">
        <v>8.8187926853061663E-2</v>
      </c>
      <c r="AU97" s="131">
        <f t="shared" si="78"/>
        <v>0.78871687633566678</v>
      </c>
      <c r="AV97" s="17"/>
      <c r="AW97" s="124">
        <f t="shared" si="79"/>
        <v>2.2365058061195597E-2</v>
      </c>
      <c r="AX97" s="16"/>
      <c r="AY97" s="26"/>
    </row>
    <row r="98" spans="1:51">
      <c r="A98" s="6">
        <v>21.698694249789696</v>
      </c>
      <c r="B98" s="508">
        <v>10.734422648245941</v>
      </c>
      <c r="C98" s="124">
        <v>10.712281703948975</v>
      </c>
      <c r="D98" s="123">
        <f t="shared" si="83"/>
        <v>2.3373341543507887E-11</v>
      </c>
      <c r="E98" s="123">
        <f t="shared" si="80"/>
        <v>0.60234526427762458</v>
      </c>
      <c r="F98" s="124">
        <f t="shared" si="40"/>
        <v>-2.2140944296966225E-2</v>
      </c>
      <c r="G98" s="122">
        <f t="shared" si="41"/>
        <v>9.8284571444963154E-9</v>
      </c>
      <c r="H98" s="122">
        <f t="shared" si="42"/>
        <v>9.9138575461302225E-5</v>
      </c>
      <c r="I98" s="123">
        <f t="shared" si="84"/>
        <v>5.2792595114718129E-2</v>
      </c>
      <c r="J98" s="123">
        <f t="shared" si="85"/>
        <v>5.2693456539256826E-2</v>
      </c>
      <c r="K98" s="124">
        <f t="shared" si="86"/>
        <v>0.52036867437159939</v>
      </c>
      <c r="L98" s="124">
        <f t="shared" si="87"/>
        <v>0.47963132562840066</v>
      </c>
      <c r="M98" s="122">
        <f t="shared" si="88"/>
        <v>1.0000139913722255</v>
      </c>
      <c r="N98" s="122">
        <f t="shared" si="89"/>
        <v>1.0871834198319479</v>
      </c>
      <c r="O98" s="122">
        <f t="shared" si="90"/>
        <v>6.5737446786407085</v>
      </c>
      <c r="P98" s="122">
        <f t="shared" si="91"/>
        <v>1.0000008306802755</v>
      </c>
      <c r="Q98" s="122">
        <f t="shared" si="92"/>
        <v>1.0409940479960464</v>
      </c>
      <c r="R98" s="122">
        <f t="shared" si="93"/>
        <v>1.1928240448322196</v>
      </c>
      <c r="S98" s="122">
        <f t="shared" si="94"/>
        <v>1</v>
      </c>
      <c r="T98" s="122">
        <f t="shared" si="95"/>
        <v>1</v>
      </c>
      <c r="U98" s="122">
        <f t="shared" si="96"/>
        <v>80805.193181632305</v>
      </c>
      <c r="V98" s="122">
        <f t="shared" si="97"/>
        <v>1.1928240448322196</v>
      </c>
      <c r="W98" s="19">
        <f t="shared" si="98"/>
        <v>1.3991183764372802E-5</v>
      </c>
      <c r="X98" s="19">
        <f t="shared" si="99"/>
        <v>8.0192006884747924E-2</v>
      </c>
      <c r="Y98" s="19">
        <f t="shared" si="100"/>
        <v>0.84787985707834623</v>
      </c>
      <c r="Z98" s="19">
        <f t="shared" si="101"/>
        <v>8.306795854476351E-7</v>
      </c>
      <c r="AA98" s="19">
        <f t="shared" si="102"/>
        <v>3.9379714105917903E-2</v>
      </c>
      <c r="AB98" s="19">
        <f t="shared" si="103"/>
        <v>0.16165866973846024</v>
      </c>
      <c r="AC98" s="19">
        <f t="shared" si="104"/>
        <v>1.4535631293489324E-18</v>
      </c>
      <c r="AD98" s="19">
        <f t="shared" si="105"/>
        <v>1.4535631293489324E-18</v>
      </c>
      <c r="AE98" s="19">
        <f t="shared" si="106"/>
        <v>0.99998762455777124</v>
      </c>
      <c r="AF98" s="19">
        <f t="shared" si="107"/>
        <v>0.16165866973846024</v>
      </c>
      <c r="AG98" s="122">
        <f t="shared" si="108"/>
        <v>5.3930011071558023E-2</v>
      </c>
      <c r="AH98" s="122">
        <f t="shared" si="109"/>
        <v>7.7411435284558761E-3</v>
      </c>
      <c r="AI98" s="122" t="str">
        <f t="shared" si="110"/>
        <v/>
      </c>
      <c r="AJ98" s="122" t="str">
        <f t="shared" si="111"/>
        <v/>
      </c>
      <c r="AK98" s="122" t="str">
        <f t="shared" si="112"/>
        <v/>
      </c>
      <c r="AL98" s="122" t="str">
        <f t="shared" si="113"/>
        <v/>
      </c>
      <c r="AM98" s="122" t="str">
        <f t="shared" si="114"/>
        <v/>
      </c>
      <c r="AN98" s="122" t="str">
        <f t="shared" si="115"/>
        <v/>
      </c>
      <c r="AO98" s="122">
        <f t="shared" si="116"/>
        <v>3.2198962336611527E-7</v>
      </c>
      <c r="AP98" s="122" t="str">
        <f t="shared" si="117"/>
        <v/>
      </c>
      <c r="AQ98" s="130">
        <f t="shared" si="76"/>
        <v>8.8369148373118572E-2</v>
      </c>
      <c r="AR98" s="122">
        <f t="shared" si="77"/>
        <v>8.8369148373118572E-2</v>
      </c>
      <c r="AS98" s="1001"/>
      <c r="AT98" s="442">
        <v>8.8369148373118572E-2</v>
      </c>
      <c r="AU98" s="131">
        <f t="shared" si="78"/>
        <v>0.78859958919554707</v>
      </c>
      <c r="AV98" s="17"/>
      <c r="AW98" s="124">
        <f t="shared" si="79"/>
        <v>-2.2140944296966225E-2</v>
      </c>
      <c r="AX98" s="16"/>
      <c r="AY98" s="26"/>
    </row>
    <row r="99" spans="1:51">
      <c r="A99" s="6">
        <v>21.950749414099846</v>
      </c>
      <c r="B99" s="508">
        <v>10.868167724032876</v>
      </c>
      <c r="C99" s="124">
        <v>10.84832239151001</v>
      </c>
      <c r="D99" s="123">
        <f t="shared" si="83"/>
        <v>1.7179022593678211E-11</v>
      </c>
      <c r="E99" s="123">
        <f t="shared" si="80"/>
        <v>0.48644457655932849</v>
      </c>
      <c r="F99" s="124">
        <f t="shared" si="40"/>
        <v>-1.9845332522866244E-2</v>
      </c>
      <c r="G99" s="122">
        <f t="shared" si="41"/>
        <v>7.4462096005264268E-9</v>
      </c>
      <c r="H99" s="122">
        <f t="shared" si="42"/>
        <v>8.6291422520007321E-5</v>
      </c>
      <c r="I99" s="123">
        <f t="shared" si="84"/>
        <v>5.2475398248825501E-2</v>
      </c>
      <c r="J99" s="123">
        <f t="shared" si="85"/>
        <v>5.2389106826305494E-2</v>
      </c>
      <c r="K99" s="124">
        <f t="shared" si="86"/>
        <v>0.52325047158089855</v>
      </c>
      <c r="L99" s="124">
        <f t="shared" si="87"/>
        <v>0.47674952841910151</v>
      </c>
      <c r="M99" s="122">
        <f t="shared" si="88"/>
        <v>1.0000102802000941</v>
      </c>
      <c r="N99" s="122">
        <f t="shared" si="89"/>
        <v>1.064071678690079</v>
      </c>
      <c r="O99" s="122">
        <f t="shared" si="90"/>
        <v>5.0957534870241359</v>
      </c>
      <c r="P99" s="122">
        <f t="shared" si="91"/>
        <v>1.0000006104724943</v>
      </c>
      <c r="Q99" s="122">
        <f t="shared" si="92"/>
        <v>1.0301299527677512</v>
      </c>
      <c r="R99" s="122">
        <f t="shared" si="93"/>
        <v>1.1416916263291692</v>
      </c>
      <c r="S99" s="122">
        <f t="shared" si="94"/>
        <v>1</v>
      </c>
      <c r="T99" s="122">
        <f t="shared" si="95"/>
        <v>1</v>
      </c>
      <c r="U99" s="122">
        <f t="shared" si="96"/>
        <v>59384.542415560609</v>
      </c>
      <c r="V99" s="122">
        <f t="shared" si="97"/>
        <v>1.1416916263291692</v>
      </c>
      <c r="W99" s="19">
        <f t="shared" si="98"/>
        <v>1.0280098351101416E-5</v>
      </c>
      <c r="X99" s="19">
        <f t="shared" si="99"/>
        <v>6.0213686934481453E-2</v>
      </c>
      <c r="Y99" s="19">
        <f t="shared" si="100"/>
        <v>0.80375827603535044</v>
      </c>
      <c r="Z99" s="19">
        <f t="shared" si="101"/>
        <v>6.1047212176037248E-7</v>
      </c>
      <c r="AA99" s="19">
        <f t="shared" si="102"/>
        <v>2.9248691086787824E-2</v>
      </c>
      <c r="AB99" s="19">
        <f t="shared" si="103"/>
        <v>0.12410972204945973</v>
      </c>
      <c r="AC99" s="19">
        <f t="shared" si="104"/>
        <v>1.0682332728867251E-18</v>
      </c>
      <c r="AD99" s="19">
        <f t="shared" si="105"/>
        <v>1.0682332728867251E-18</v>
      </c>
      <c r="AE99" s="19">
        <f t="shared" si="106"/>
        <v>0.99998316060107018</v>
      </c>
      <c r="AF99" s="19">
        <f t="shared" si="107"/>
        <v>0.12410972204945973</v>
      </c>
      <c r="AG99" s="122">
        <f t="shared" si="108"/>
        <v>5.3606090723248706E-2</v>
      </c>
      <c r="AH99" s="122">
        <f t="shared" si="109"/>
        <v>7.8617601173693007E-3</v>
      </c>
      <c r="AI99" s="122" t="str">
        <f t="shared" si="110"/>
        <v/>
      </c>
      <c r="AJ99" s="122" t="str">
        <f t="shared" si="111"/>
        <v/>
      </c>
      <c r="AK99" s="122" t="str">
        <f t="shared" si="112"/>
        <v/>
      </c>
      <c r="AL99" s="122" t="str">
        <f t="shared" si="113"/>
        <v/>
      </c>
      <c r="AM99" s="122" t="str">
        <f t="shared" si="114"/>
        <v/>
      </c>
      <c r="AN99" s="122" t="str">
        <f t="shared" si="115"/>
        <v/>
      </c>
      <c r="AO99" s="122">
        <f t="shared" si="116"/>
        <v>4.405611715581651E-7</v>
      </c>
      <c r="AP99" s="122" t="str">
        <f t="shared" si="117"/>
        <v/>
      </c>
      <c r="AQ99" s="130">
        <f t="shared" si="76"/>
        <v>8.8432993335322896E-2</v>
      </c>
      <c r="AR99" s="122">
        <f t="shared" si="77"/>
        <v>8.8432993335322896E-2</v>
      </c>
      <c r="AS99" s="1001"/>
      <c r="AT99" s="442">
        <v>8.8432993335322896E-2</v>
      </c>
      <c r="AU99" s="131">
        <f t="shared" si="78"/>
        <v>0.78855833235604456</v>
      </c>
      <c r="AV99" s="17"/>
      <c r="AW99" s="124">
        <f t="shared" si="79"/>
        <v>-1.9845332522866244E-2</v>
      </c>
      <c r="AX99" s="16"/>
      <c r="AY99" s="26"/>
    </row>
    <row r="100" spans="1:51">
      <c r="A100" s="6">
        <v>22.207322194299195</v>
      </c>
      <c r="B100" s="508">
        <v>10.981642393549766</v>
      </c>
      <c r="C100" s="124">
        <v>10.984983921051025</v>
      </c>
      <c r="D100" s="123">
        <f t="shared" si="83"/>
        <v>1.3229117048815788E-11</v>
      </c>
      <c r="E100" s="123">
        <f t="shared" si="80"/>
        <v>0.44805216469906783</v>
      </c>
      <c r="F100" s="124">
        <f t="shared" si="40"/>
        <v>3.3415275012593781E-3</v>
      </c>
      <c r="G100" s="122">
        <f t="shared" si="41"/>
        <v>2.3039656099039416E-10</v>
      </c>
      <c r="H100" s="122">
        <f t="shared" si="42"/>
        <v>-1.517881948605998E-5</v>
      </c>
      <c r="I100" s="123">
        <f t="shared" si="84"/>
        <v>5.2156407179958592E-2</v>
      </c>
      <c r="J100" s="123">
        <f t="shared" si="85"/>
        <v>5.2171585999444652E-2</v>
      </c>
      <c r="K100" s="124">
        <f t="shared" si="86"/>
        <v>0.52614856948443567</v>
      </c>
      <c r="L100" s="124">
        <f t="shared" si="87"/>
        <v>0.47385143051556428</v>
      </c>
      <c r="M100" s="122">
        <f t="shared" si="88"/>
        <v>1.0000079157391017</v>
      </c>
      <c r="N100" s="122">
        <f t="shared" si="89"/>
        <v>1.0493383197436379</v>
      </c>
      <c r="O100" s="122">
        <f t="shared" si="90"/>
        <v>4.1538271947873389</v>
      </c>
      <c r="P100" s="122">
        <f t="shared" si="91"/>
        <v>1.0000004700936165</v>
      </c>
      <c r="Q100" s="122">
        <f t="shared" si="92"/>
        <v>1.0232022904485005</v>
      </c>
      <c r="R100" s="122">
        <f t="shared" si="93"/>
        <v>1.109105308924599</v>
      </c>
      <c r="S100" s="122">
        <f t="shared" si="94"/>
        <v>1</v>
      </c>
      <c r="T100" s="122">
        <f t="shared" si="95"/>
        <v>1</v>
      </c>
      <c r="U100" s="122">
        <f t="shared" si="96"/>
        <v>45729.226038399502</v>
      </c>
      <c r="V100" s="122">
        <f t="shared" si="97"/>
        <v>1.109105308924599</v>
      </c>
      <c r="W100" s="19">
        <f t="shared" si="98"/>
        <v>7.9156787784827886E-6</v>
      </c>
      <c r="X100" s="19">
        <f t="shared" si="99"/>
        <v>4.7018505815944696E-2</v>
      </c>
      <c r="Y100" s="19">
        <f t="shared" si="100"/>
        <v>0.75925823908842993</v>
      </c>
      <c r="Z100" s="19">
        <f t="shared" si="101"/>
        <v>4.7009339553095707E-7</v>
      </c>
      <c r="AA100" s="19">
        <f t="shared" si="102"/>
        <v>2.2676151788450515E-2</v>
      </c>
      <c r="AB100" s="19">
        <f t="shared" si="103"/>
        <v>9.8374181888952111E-2</v>
      </c>
      <c r="AC100" s="19">
        <f t="shared" si="104"/>
        <v>8.2259175820914036E-19</v>
      </c>
      <c r="AD100" s="19">
        <f t="shared" si="105"/>
        <v>8.2259175820914036E-19</v>
      </c>
      <c r="AE100" s="19">
        <f t="shared" si="106"/>
        <v>0.99997813214684284</v>
      </c>
      <c r="AF100" s="19">
        <f t="shared" si="107"/>
        <v>9.8374181888952111E-2</v>
      </c>
      <c r="AG100" s="122">
        <f t="shared" si="108"/>
        <v>5.3280296310508422E-2</v>
      </c>
      <c r="AH100" s="122">
        <f t="shared" si="109"/>
        <v>7.9236824713795877E-3</v>
      </c>
      <c r="AI100" s="122" t="str">
        <f t="shared" si="110"/>
        <v/>
      </c>
      <c r="AJ100" s="122" t="str">
        <f t="shared" si="111"/>
        <v/>
      </c>
      <c r="AK100" s="122" t="str">
        <f t="shared" si="112"/>
        <v/>
      </c>
      <c r="AL100" s="122" t="str">
        <f t="shared" si="113"/>
        <v/>
      </c>
      <c r="AM100" s="122" t="str">
        <f t="shared" si="114"/>
        <v/>
      </c>
      <c r="AN100" s="122" t="str">
        <f t="shared" si="115"/>
        <v/>
      </c>
      <c r="AO100" s="122">
        <f t="shared" si="116"/>
        <v>5.7528698281775093E-7</v>
      </c>
      <c r="AP100" s="122" t="str">
        <f t="shared" si="117"/>
        <v/>
      </c>
      <c r="AQ100" s="130">
        <f t="shared" si="76"/>
        <v>8.8452890761821057E-2</v>
      </c>
      <c r="AR100" s="122">
        <f t="shared" si="77"/>
        <v>8.8452890761821057E-2</v>
      </c>
      <c r="AS100" s="1001"/>
      <c r="AT100" s="442">
        <v>8.8452890761821057E-2</v>
      </c>
      <c r="AU100" s="131">
        <f t="shared" si="78"/>
        <v>0.78854548135405089</v>
      </c>
      <c r="AV100" s="17"/>
      <c r="AW100" s="124">
        <f t="shared" si="79"/>
        <v>3.3415275012593781E-3</v>
      </c>
      <c r="AX100" s="16"/>
      <c r="AY100" s="26"/>
    </row>
    <row r="101" spans="1:51">
      <c r="A101" s="6">
        <v>22.491481258475687</v>
      </c>
      <c r="B101" s="508">
        <v>11.110603281563485</v>
      </c>
      <c r="C101" s="124">
        <v>11.122183322906494</v>
      </c>
      <c r="D101" s="123">
        <f t="shared" si="83"/>
        <v>9.8308159194041215E-12</v>
      </c>
      <c r="E101" s="123">
        <f t="shared" si="80"/>
        <v>0.46524593977633544</v>
      </c>
      <c r="F101" s="124">
        <f t="shared" si="40"/>
        <v>1.1580041343009384E-2</v>
      </c>
      <c r="G101" s="122">
        <f t="shared" si="41"/>
        <v>3.5285709775006942E-9</v>
      </c>
      <c r="H101" s="122">
        <f t="shared" si="42"/>
        <v>-5.9401775878341334E-5</v>
      </c>
      <c r="I101" s="123">
        <f t="shared" si="84"/>
        <v>5.1807614541619855E-2</v>
      </c>
      <c r="J101" s="123">
        <f t="shared" si="85"/>
        <v>5.1867016317498196E-2</v>
      </c>
      <c r="K101" s="124">
        <f t="shared" si="86"/>
        <v>0.52931742062979648</v>
      </c>
      <c r="L101" s="124">
        <f t="shared" si="87"/>
        <v>0.47068257937020358</v>
      </c>
      <c r="M101" s="122">
        <f t="shared" si="88"/>
        <v>1.0000058807482151</v>
      </c>
      <c r="N101" s="122">
        <f t="shared" si="89"/>
        <v>1.0366609634261807</v>
      </c>
      <c r="O101" s="122">
        <f t="shared" si="90"/>
        <v>3.3432477837026111</v>
      </c>
      <c r="P101" s="122">
        <f t="shared" si="91"/>
        <v>1.0000003493042524</v>
      </c>
      <c r="Q101" s="122">
        <f t="shared" si="92"/>
        <v>1.0172420763582384</v>
      </c>
      <c r="R101" s="122">
        <f t="shared" si="93"/>
        <v>1.0810632761521084</v>
      </c>
      <c r="S101" s="122">
        <f t="shared" si="94"/>
        <v>1</v>
      </c>
      <c r="T101" s="122">
        <f t="shared" si="95"/>
        <v>1</v>
      </c>
      <c r="U101" s="122">
        <f t="shared" si="96"/>
        <v>33979.474182422469</v>
      </c>
      <c r="V101" s="122">
        <f t="shared" si="97"/>
        <v>1.0810632761521084</v>
      </c>
      <c r="W101" s="19">
        <f t="shared" si="98"/>
        <v>5.8807149209872925E-6</v>
      </c>
      <c r="X101" s="19">
        <f t="shared" si="99"/>
        <v>3.53644680375549E-2</v>
      </c>
      <c r="Y101" s="19">
        <f t="shared" si="100"/>
        <v>0.7008897083357728</v>
      </c>
      <c r="Z101" s="19">
        <f t="shared" si="101"/>
        <v>3.4930413043658152E-7</v>
      </c>
      <c r="AA101" s="19">
        <f t="shared" si="102"/>
        <v>1.6949826161306362E-2</v>
      </c>
      <c r="AB101" s="19">
        <f t="shared" si="103"/>
        <v>7.4985796198504193E-2</v>
      </c>
      <c r="AC101" s="19">
        <f t="shared" si="104"/>
        <v>6.1122888947215485E-19</v>
      </c>
      <c r="AD101" s="19">
        <f t="shared" si="105"/>
        <v>6.1122888947215485E-19</v>
      </c>
      <c r="AE101" s="19">
        <f t="shared" si="106"/>
        <v>0.99997057046867088</v>
      </c>
      <c r="AF101" s="19">
        <f t="shared" si="107"/>
        <v>7.4985796198504193E-2</v>
      </c>
      <c r="AG101" s="122">
        <f t="shared" si="108"/>
        <v>5.2924047568162713E-2</v>
      </c>
      <c r="AH101" s="122">
        <f t="shared" si="109"/>
        <v>7.966944283117873E-3</v>
      </c>
      <c r="AI101" s="122" t="str">
        <f t="shared" si="110"/>
        <v/>
      </c>
      <c r="AJ101" s="122" t="str">
        <f t="shared" si="111"/>
        <v/>
      </c>
      <c r="AK101" s="122" t="str">
        <f t="shared" si="112"/>
        <v/>
      </c>
      <c r="AL101" s="122" t="str">
        <f t="shared" si="113"/>
        <v/>
      </c>
      <c r="AM101" s="122" t="str">
        <f t="shared" si="114"/>
        <v/>
      </c>
      <c r="AN101" s="122" t="str">
        <f t="shared" si="115"/>
        <v/>
      </c>
      <c r="AO101" s="122">
        <f t="shared" si="116"/>
        <v>7.7887818067474932E-7</v>
      </c>
      <c r="AP101" s="122" t="str">
        <f t="shared" si="117"/>
        <v/>
      </c>
      <c r="AQ101" s="130">
        <f t="shared" si="76"/>
        <v>8.8507996911473499E-2</v>
      </c>
      <c r="AR101" s="122">
        <f t="shared" si="77"/>
        <v>8.8507996911473499E-2</v>
      </c>
      <c r="AS101" s="1001"/>
      <c r="AT101" s="442">
        <v>8.8507996911473499E-2</v>
      </c>
      <c r="AU101" s="131">
        <f t="shared" si="78"/>
        <v>0.78850990717285563</v>
      </c>
      <c r="AV101" s="17"/>
      <c r="AW101" s="124">
        <f t="shared" si="79"/>
        <v>1.1580041343009384E-2</v>
      </c>
      <c r="AX101" s="16"/>
      <c r="AY101" s="26"/>
    </row>
    <row r="102" spans="1:51">
      <c r="A102" s="6">
        <v>22.831461780879181</v>
      </c>
      <c r="B102" s="508">
        <v>11.272657863965625</v>
      </c>
      <c r="C102" s="124">
        <v>11.259646892547607</v>
      </c>
      <c r="D102" s="123">
        <f t="shared" si="83"/>
        <v>6.7700601222403385E-12</v>
      </c>
      <c r="E102" s="123">
        <f t="shared" si="80"/>
        <v>0.40731953756749351</v>
      </c>
      <c r="F102" s="124">
        <f t="shared" si="40"/>
        <v>-1.3010971418017547E-2</v>
      </c>
      <c r="G102" s="122">
        <f t="shared" si="41"/>
        <v>6.8306324888846095E-9</v>
      </c>
      <c r="H102" s="122">
        <f t="shared" si="42"/>
        <v>8.2647640552435675E-5</v>
      </c>
      <c r="I102" s="123">
        <f t="shared" si="84"/>
        <v>5.1396384592325858E-2</v>
      </c>
      <c r="J102" s="123">
        <f t="shared" si="85"/>
        <v>5.1313736951773423E-2</v>
      </c>
      <c r="K102" s="124">
        <f t="shared" si="86"/>
        <v>0.53305352728053756</v>
      </c>
      <c r="L102" s="124">
        <f t="shared" si="87"/>
        <v>0.46694647271946249</v>
      </c>
      <c r="M102" s="122">
        <f t="shared" si="88"/>
        <v>1.0000040465997859</v>
      </c>
      <c r="N102" s="122">
        <f t="shared" si="89"/>
        <v>1.0252401392873296</v>
      </c>
      <c r="O102" s="122">
        <f t="shared" si="90"/>
        <v>2.6128389037859034</v>
      </c>
      <c r="P102" s="122">
        <f t="shared" si="91"/>
        <v>1.0000002404870785</v>
      </c>
      <c r="Q102" s="122">
        <f t="shared" si="92"/>
        <v>1.0118738764446937</v>
      </c>
      <c r="R102" s="122">
        <f t="shared" si="93"/>
        <v>1.0557949737944163</v>
      </c>
      <c r="S102" s="122">
        <f t="shared" si="94"/>
        <v>1</v>
      </c>
      <c r="T102" s="122">
        <f t="shared" si="95"/>
        <v>1</v>
      </c>
      <c r="U102" s="122">
        <f t="shared" si="96"/>
        <v>23394.313802290115</v>
      </c>
      <c r="V102" s="122">
        <f t="shared" si="97"/>
        <v>1.0557949737944163</v>
      </c>
      <c r="W102" s="19">
        <f t="shared" si="98"/>
        <v>4.0465840215744381E-6</v>
      </c>
      <c r="X102" s="19">
        <f t="shared" si="99"/>
        <v>2.4618758433638043E-2</v>
      </c>
      <c r="Y102" s="19">
        <f t="shared" si="100"/>
        <v>0.61727456173941153</v>
      </c>
      <c r="Z102" s="19">
        <f t="shared" si="101"/>
        <v>2.404870207253916E-7</v>
      </c>
      <c r="AA102" s="19">
        <f t="shared" si="102"/>
        <v>1.173454194352133E-2</v>
      </c>
      <c r="AB102" s="19">
        <f t="shared" si="103"/>
        <v>5.2846909900712856E-2</v>
      </c>
      <c r="AC102" s="19">
        <f t="shared" si="104"/>
        <v>4.2081551807421138E-19</v>
      </c>
      <c r="AD102" s="19">
        <f t="shared" si="105"/>
        <v>4.2081551807421138E-19</v>
      </c>
      <c r="AE102" s="19">
        <f t="shared" si="106"/>
        <v>0.99995725457012963</v>
      </c>
      <c r="AF102" s="19">
        <f t="shared" si="107"/>
        <v>5.2846909900712856E-2</v>
      </c>
      <c r="AG102" s="122">
        <f t="shared" si="108"/>
        <v>5.2504009280364465E-2</v>
      </c>
      <c r="AH102" s="122">
        <f t="shared" si="109"/>
        <v>7.9917501589271012E-3</v>
      </c>
      <c r="AI102" s="122" t="str">
        <f t="shared" si="110"/>
        <v/>
      </c>
      <c r="AJ102" s="122" t="str">
        <f t="shared" si="111"/>
        <v/>
      </c>
      <c r="AK102" s="122" t="str">
        <f t="shared" si="112"/>
        <v/>
      </c>
      <c r="AL102" s="122" t="str">
        <f t="shared" si="113"/>
        <v/>
      </c>
      <c r="AM102" s="122" t="str">
        <f t="shared" si="114"/>
        <v/>
      </c>
      <c r="AN102" s="122" t="str">
        <f t="shared" si="115"/>
        <v/>
      </c>
      <c r="AO102" s="122">
        <f t="shared" si="116"/>
        <v>1.1392801083747878E-6</v>
      </c>
      <c r="AP102" s="122" t="str">
        <f t="shared" si="117"/>
        <v/>
      </c>
      <c r="AQ102" s="130">
        <f t="shared" si="76"/>
        <v>8.8670047948604364E-2</v>
      </c>
      <c r="AR102" s="122">
        <f t="shared" si="77"/>
        <v>8.8670047948604364E-2</v>
      </c>
      <c r="AS102" s="1001"/>
      <c r="AT102" s="442">
        <v>8.8670047948604364E-2</v>
      </c>
      <c r="AU102" s="131">
        <f t="shared" si="78"/>
        <v>0.78840543688237863</v>
      </c>
      <c r="AV102" s="17"/>
      <c r="AW102" s="124">
        <f t="shared" si="79"/>
        <v>-1.3010971418017547E-2</v>
      </c>
      <c r="AX102" s="16"/>
      <c r="AY102" s="26"/>
    </row>
    <row r="103" spans="1:51">
      <c r="A103" s="5">
        <v>23.263700974348467</v>
      </c>
      <c r="B103" s="508">
        <v>11.418746344965863</v>
      </c>
      <c r="C103" s="124">
        <v>11.397158145904541</v>
      </c>
      <c r="D103" s="123">
        <f t="shared" si="83"/>
        <v>4.8368323776444825E-12</v>
      </c>
      <c r="E103" s="123">
        <f t="shared" si="80"/>
        <v>0.2786025783046992</v>
      </c>
      <c r="F103" s="124">
        <f t="shared" si="40"/>
        <v>-2.1588199061321589E-2</v>
      </c>
      <c r="G103" s="122">
        <f t="shared" si="41"/>
        <v>3.1323715914603672E-8</v>
      </c>
      <c r="H103" s="122">
        <f t="shared" si="42"/>
        <v>1.769850725756375E-4</v>
      </c>
      <c r="I103" s="123">
        <f t="shared" si="84"/>
        <v>5.0882893343932749E-2</v>
      </c>
      <c r="J103" s="123">
        <f t="shared" si="85"/>
        <v>5.0705908271357111E-2</v>
      </c>
      <c r="K103" s="124">
        <f t="shared" si="86"/>
        <v>0.53771869836428876</v>
      </c>
      <c r="L103" s="124">
        <f t="shared" si="87"/>
        <v>0.46228130163571129</v>
      </c>
      <c r="M103" s="122">
        <f t="shared" si="88"/>
        <v>1.0000028887954542</v>
      </c>
      <c r="N103" s="122">
        <f t="shared" si="89"/>
        <v>1.0180279470378015</v>
      </c>
      <c r="O103" s="122">
        <f t="shared" si="90"/>
        <v>2.1516792060259391</v>
      </c>
      <c r="P103" s="122">
        <f t="shared" si="91"/>
        <v>1.0000001717695877</v>
      </c>
      <c r="Q103" s="122">
        <f t="shared" si="92"/>
        <v>1.0084832259978276</v>
      </c>
      <c r="R103" s="122">
        <f t="shared" si="93"/>
        <v>1.0398413866169092</v>
      </c>
      <c r="S103" s="122">
        <f t="shared" si="94"/>
        <v>1</v>
      </c>
      <c r="T103" s="122">
        <f t="shared" si="95"/>
        <v>1</v>
      </c>
      <c r="U103" s="122">
        <f t="shared" si="96"/>
        <v>16709.838950844871</v>
      </c>
      <c r="V103" s="122">
        <f t="shared" si="97"/>
        <v>1.0398413866169092</v>
      </c>
      <c r="W103" s="19">
        <f t="shared" si="98"/>
        <v>2.8887874201065236E-6</v>
      </c>
      <c r="X103" s="19">
        <f t="shared" si="99"/>
        <v>1.7708695630389532E-2</v>
      </c>
      <c r="Y103" s="19">
        <f t="shared" si="100"/>
        <v>0.53524672561766051</v>
      </c>
      <c r="Z103" s="19">
        <f t="shared" si="101"/>
        <v>1.717695581376038E-7</v>
      </c>
      <c r="AA103" s="19">
        <f t="shared" si="102"/>
        <v>8.41186623548844E-3</v>
      </c>
      <c r="AB103" s="19">
        <f t="shared" si="103"/>
        <v>3.8315128110281781E-2</v>
      </c>
      <c r="AC103" s="19">
        <f t="shared" si="104"/>
        <v>3.0057044414246174E-19</v>
      </c>
      <c r="AD103" s="19">
        <f t="shared" si="105"/>
        <v>3.0057044414246174E-19</v>
      </c>
      <c r="AE103" s="19">
        <f t="shared" si="106"/>
        <v>0.99994015501867239</v>
      </c>
      <c r="AF103" s="19">
        <f t="shared" si="107"/>
        <v>3.8315128110281781E-2</v>
      </c>
      <c r="AG103" s="122">
        <f t="shared" si="108"/>
        <v>5.1979485404179661E-2</v>
      </c>
      <c r="AH103" s="122">
        <f t="shared" si="109"/>
        <v>7.9679578337802856E-3</v>
      </c>
      <c r="AI103" s="122" t="str">
        <f t="shared" si="110"/>
        <v/>
      </c>
      <c r="AJ103" s="122" t="str">
        <f t="shared" si="111"/>
        <v/>
      </c>
      <c r="AK103" s="122" t="str">
        <f t="shared" si="112"/>
        <v/>
      </c>
      <c r="AL103" s="122" t="str">
        <f t="shared" si="113"/>
        <v/>
      </c>
      <c r="AM103" s="122" t="str">
        <f t="shared" si="114"/>
        <v/>
      </c>
      <c r="AN103" s="122" t="str">
        <f t="shared" si="115"/>
        <v/>
      </c>
      <c r="AO103" s="122">
        <f t="shared" si="116"/>
        <v>1.6089882731547841E-6</v>
      </c>
      <c r="AP103" s="122" t="str">
        <f t="shared" si="117"/>
        <v/>
      </c>
      <c r="AQ103" s="130">
        <f t="shared" si="76"/>
        <v>8.8830851555667861E-2</v>
      </c>
      <c r="AR103" s="122">
        <f t="shared" si="77"/>
        <v>8.8830851555667861E-2</v>
      </c>
      <c r="AS103" s="1001"/>
      <c r="AT103" s="442">
        <v>8.8830851555667861E-2</v>
      </c>
      <c r="AU103" s="131">
        <f t="shared" si="78"/>
        <v>0.78830198116101491</v>
      </c>
      <c r="AV103" s="17"/>
      <c r="AW103" s="124">
        <f t="shared" si="79"/>
        <v>-2.1588199061321589E-2</v>
      </c>
      <c r="AX103" s="16"/>
      <c r="AY103" s="26"/>
    </row>
    <row r="104" spans="1:51">
      <c r="A104" s="5">
        <v>23.837788712990005</v>
      </c>
      <c r="B104" s="508">
        <v>11.544600449625474</v>
      </c>
      <c r="C104" s="124">
        <v>11.534583568572998</v>
      </c>
      <c r="D104" s="123">
        <f t="shared" si="83"/>
        <v>3.6203181383588043E-12</v>
      </c>
      <c r="E104" s="123">
        <f t="shared" si="80"/>
        <v>0.21877131435016478</v>
      </c>
      <c r="F104" s="124">
        <f t="shared" si="40"/>
        <v>-1.0016881052475668E-2</v>
      </c>
      <c r="G104" s="122">
        <f t="shared" si="41"/>
        <v>1.1464252273503327E-8</v>
      </c>
      <c r="H104" s="122">
        <f t="shared" si="42"/>
        <v>1.0707124858477801E-4</v>
      </c>
      <c r="I104" s="123">
        <f t="shared" si="84"/>
        <v>5.0216544834280369E-2</v>
      </c>
      <c r="J104" s="123">
        <f t="shared" si="85"/>
        <v>5.0109473585695591E-2</v>
      </c>
      <c r="K104" s="124">
        <f t="shared" si="86"/>
        <v>0.54377260835527486</v>
      </c>
      <c r="L104" s="124">
        <f t="shared" si="87"/>
        <v>0.45622739164472509</v>
      </c>
      <c r="M104" s="122">
        <f t="shared" si="88"/>
        <v>1.0000021610442331</v>
      </c>
      <c r="N104" s="122">
        <f t="shared" si="89"/>
        <v>1.0134912554315636</v>
      </c>
      <c r="O104" s="122">
        <f t="shared" si="90"/>
        <v>1.8617037942606611</v>
      </c>
      <c r="P104" s="122">
        <f t="shared" si="91"/>
        <v>1.0000001285441642</v>
      </c>
      <c r="Q104" s="122">
        <f t="shared" si="92"/>
        <v>1.0063496053933316</v>
      </c>
      <c r="R104" s="122">
        <f t="shared" si="93"/>
        <v>1.0298098774046929</v>
      </c>
      <c r="S104" s="122">
        <f t="shared" si="94"/>
        <v>1</v>
      </c>
      <c r="T104" s="122">
        <f t="shared" si="95"/>
        <v>1</v>
      </c>
      <c r="U104" s="122">
        <f t="shared" si="96"/>
        <v>12505.097878667289</v>
      </c>
      <c r="V104" s="122">
        <f t="shared" si="97"/>
        <v>1.0298098774046929</v>
      </c>
      <c r="W104" s="19">
        <f t="shared" si="98"/>
        <v>2.1610397373855768E-6</v>
      </c>
      <c r="X104" s="19">
        <f t="shared" si="99"/>
        <v>1.3311664378153206E-2</v>
      </c>
      <c r="Y104" s="19">
        <f t="shared" si="100"/>
        <v>0.4628576368154329</v>
      </c>
      <c r="Z104" s="19">
        <f t="shared" si="101"/>
        <v>1.285441476027866E-7</v>
      </c>
      <c r="AA104" s="19">
        <f t="shared" si="102"/>
        <v>6.3095422895801971E-3</v>
      </c>
      <c r="AB104" s="19">
        <f t="shared" si="103"/>
        <v>2.8947118164131629E-2</v>
      </c>
      <c r="AC104" s="19">
        <f t="shared" si="104"/>
        <v>2.2493257993858353E-19</v>
      </c>
      <c r="AD104" s="19">
        <f t="shared" si="105"/>
        <v>2.2493257993858353E-19</v>
      </c>
      <c r="AE104" s="19">
        <f t="shared" si="106"/>
        <v>0.9999200326131229</v>
      </c>
      <c r="AF104" s="19">
        <f t="shared" si="107"/>
        <v>2.8947118164131629E-2</v>
      </c>
      <c r="AG104" s="122">
        <f t="shared" si="108"/>
        <v>5.1298796963987169E-2</v>
      </c>
      <c r="AH104" s="122">
        <f t="shared" si="109"/>
        <v>7.8988115187230441E-3</v>
      </c>
      <c r="AI104" s="122" t="str">
        <f t="shared" si="110"/>
        <v/>
      </c>
      <c r="AJ104" s="122" t="str">
        <f t="shared" si="111"/>
        <v/>
      </c>
      <c r="AK104" s="122" t="str">
        <f t="shared" si="112"/>
        <v/>
      </c>
      <c r="AL104" s="122" t="str">
        <f t="shared" si="113"/>
        <v/>
      </c>
      <c r="AM104" s="122" t="str">
        <f t="shared" si="114"/>
        <v/>
      </c>
      <c r="AN104" s="122" t="str">
        <f t="shared" si="115"/>
        <v/>
      </c>
      <c r="AO104" s="122">
        <f t="shared" si="116"/>
        <v>2.1742037272771296E-6</v>
      </c>
      <c r="AP104" s="122" t="str">
        <f t="shared" si="117"/>
        <v/>
      </c>
      <c r="AQ104" s="130">
        <f t="shared" si="76"/>
        <v>8.8943338165500929E-2</v>
      </c>
      <c r="AR104" s="122">
        <f t="shared" si="77"/>
        <v>8.8943338165500929E-2</v>
      </c>
      <c r="AS104" s="1001"/>
      <c r="AT104" s="442">
        <v>8.8943338165500929E-2</v>
      </c>
      <c r="AU104" s="131">
        <f t="shared" si="78"/>
        <v>0.78822973522389939</v>
      </c>
      <c r="AV104" s="17"/>
      <c r="AW104" s="124">
        <f t="shared" si="79"/>
        <v>-1.0016881052475668E-2</v>
      </c>
      <c r="AX104" s="16"/>
      <c r="AY104" s="26"/>
    </row>
    <row r="105" spans="1:51">
      <c r="A105" s="5">
        <v>24.624625903379638</v>
      </c>
      <c r="B105" s="508">
        <v>11.716381262755226</v>
      </c>
      <c r="C105" s="124">
        <v>11.671737194061279</v>
      </c>
      <c r="D105" s="123">
        <f t="shared" si="83"/>
        <v>2.438560195221045E-12</v>
      </c>
      <c r="E105" s="123">
        <f t="shared" si="80"/>
        <v>0.16594882740251107</v>
      </c>
      <c r="F105" s="124">
        <f t="shared" si="40"/>
        <v>-4.4644068693946437E-2</v>
      </c>
      <c r="G105" s="122">
        <f t="shared" si="41"/>
        <v>4.4296378150575617E-7</v>
      </c>
      <c r="H105" s="122">
        <f t="shared" si="42"/>
        <v>6.6555524301575159E-4</v>
      </c>
      <c r="I105" s="123">
        <f t="shared" si="84"/>
        <v>4.9331108951097137E-2</v>
      </c>
      <c r="J105" s="123">
        <f t="shared" si="85"/>
        <v>4.8665553708081385E-2</v>
      </c>
      <c r="K105" s="124">
        <f t="shared" si="86"/>
        <v>0.55181697112030459</v>
      </c>
      <c r="L105" s="124">
        <f t="shared" si="87"/>
        <v>0.44818302887969541</v>
      </c>
      <c r="M105" s="122">
        <f t="shared" si="88"/>
        <v>1.0000014522622367</v>
      </c>
      <c r="N105" s="122">
        <f t="shared" si="89"/>
        <v>1.0090803793886496</v>
      </c>
      <c r="O105" s="122">
        <f t="shared" si="90"/>
        <v>1.5795281226545288</v>
      </c>
      <c r="P105" s="122">
        <f t="shared" si="91"/>
        <v>1.0000000865175065</v>
      </c>
      <c r="Q105" s="122">
        <f t="shared" si="92"/>
        <v>1.0042769431789655</v>
      </c>
      <c r="R105" s="122">
        <f t="shared" si="93"/>
        <v>1.0200482276982039</v>
      </c>
      <c r="S105" s="122">
        <f t="shared" si="94"/>
        <v>1</v>
      </c>
      <c r="T105" s="122">
        <f t="shared" si="95"/>
        <v>1</v>
      </c>
      <c r="U105" s="122">
        <f t="shared" si="96"/>
        <v>8416.9664204050732</v>
      </c>
      <c r="V105" s="122">
        <f t="shared" si="97"/>
        <v>1.0200482276982039</v>
      </c>
      <c r="W105" s="19">
        <f t="shared" si="98"/>
        <v>1.4522602062717493E-6</v>
      </c>
      <c r="X105" s="19">
        <f t="shared" si="99"/>
        <v>8.9986680735068651E-3</v>
      </c>
      <c r="Y105" s="19">
        <f t="shared" si="100"/>
        <v>0.36689953498637834</v>
      </c>
      <c r="Z105" s="19">
        <f t="shared" si="101"/>
        <v>8.6517498961337184E-8</v>
      </c>
      <c r="AA105" s="19">
        <f t="shared" si="102"/>
        <v>4.2587288377121122E-3</v>
      </c>
      <c r="AB105" s="19">
        <f t="shared" si="103"/>
        <v>1.965426282379246E-2</v>
      </c>
      <c r="AC105" s="19">
        <f t="shared" si="104"/>
        <v>1.5139237216367313E-19</v>
      </c>
      <c r="AD105" s="19">
        <f t="shared" si="105"/>
        <v>1.5139237216367313E-19</v>
      </c>
      <c r="AE105" s="19">
        <f t="shared" si="106"/>
        <v>0.99988119235006379</v>
      </c>
      <c r="AF105" s="19">
        <f t="shared" si="107"/>
        <v>1.965426282379246E-2</v>
      </c>
      <c r="AG105" s="122">
        <f t="shared" si="108"/>
        <v>5.0394298271990781E-2</v>
      </c>
      <c r="AH105" s="122">
        <f t="shared" si="109"/>
        <v>7.7934552434014192E-3</v>
      </c>
      <c r="AI105" s="122" t="str">
        <f t="shared" si="110"/>
        <v/>
      </c>
      <c r="AJ105" s="122" t="str">
        <f t="shared" si="111"/>
        <v/>
      </c>
      <c r="AK105" s="122" t="str">
        <f t="shared" si="112"/>
        <v/>
      </c>
      <c r="AL105" s="122" t="str">
        <f t="shared" si="113"/>
        <v/>
      </c>
      <c r="AM105" s="122" t="str">
        <f t="shared" si="114"/>
        <v/>
      </c>
      <c r="AN105" s="122" t="str">
        <f t="shared" si="115"/>
        <v/>
      </c>
      <c r="AO105" s="122">
        <f t="shared" si="116"/>
        <v>3.278003876684992E-6</v>
      </c>
      <c r="AP105" s="122" t="str">
        <f t="shared" si="117"/>
        <v/>
      </c>
      <c r="AQ105" s="130">
        <f t="shared" si="76"/>
        <v>8.9418494875938739E-2</v>
      </c>
      <c r="AR105" s="122">
        <f t="shared" si="77"/>
        <v>8.9418494875938739E-2</v>
      </c>
      <c r="AS105" s="1001"/>
      <c r="AT105" s="442">
        <v>8.9418494875938739E-2</v>
      </c>
      <c r="AU105" s="131">
        <f t="shared" si="78"/>
        <v>0.78792568280133068</v>
      </c>
      <c r="AV105" s="17"/>
      <c r="AW105" s="124">
        <f t="shared" si="79"/>
        <v>-4.4644068693946437E-2</v>
      </c>
      <c r="AX105" s="16"/>
      <c r="AY105" s="26"/>
    </row>
    <row r="106" spans="1:51">
      <c r="A106" s="5">
        <v>25.730517484771553</v>
      </c>
      <c r="B106" s="508">
        <v>11.841987918362173</v>
      </c>
      <c r="C106" s="124">
        <v>11.808842182159424</v>
      </c>
      <c r="D106" s="123">
        <f t="shared" si="83"/>
        <v>1.8264963472613393E-12</v>
      </c>
      <c r="E106" s="123">
        <f t="shared" si="80"/>
        <v>8.3911350979676058E-2</v>
      </c>
      <c r="F106" s="124">
        <f t="shared" ref="F106:F111" si="118">IF(A106="","",IF(C106="","0,00001",(IF(ABS(C106-B106)&lt;0.00001,0.00001,C106-B106))))</f>
        <v>-3.3145736202749632E-2</v>
      </c>
      <c r="G106" s="122">
        <f t="shared" ref="G106:G111" si="119">IF(A106="","",IF(AX106="X",0,IF(ABS(E106)&lt;0.00001,(0.00001^M$20)*(ABS(H106)^I$20)*ABS(F106)^K$20,((ABS(E106))^M$20)*((ABS(H106))^I$20)*ABS(F106)^K$20)))</f>
        <v>4.3772864374574003E-7</v>
      </c>
      <c r="H106" s="122">
        <f t="shared" ref="H106:H169" si="120">IF(A106="","",I106-J106)</f>
        <v>6.6161064361582034E-4</v>
      </c>
      <c r="I106" s="123">
        <f t="shared" si="84"/>
        <v>4.8138145016063762E-2</v>
      </c>
      <c r="J106" s="123">
        <f t="shared" si="85"/>
        <v>4.7476534372447941E-2</v>
      </c>
      <c r="K106" s="124">
        <f t="shared" si="86"/>
        <v>0.56265528797787867</v>
      </c>
      <c r="L106" s="124">
        <f t="shared" si="87"/>
        <v>0.43734471202212133</v>
      </c>
      <c r="M106" s="122">
        <f t="shared" si="88"/>
        <v>1.000001086371759</v>
      </c>
      <c r="N106" s="122">
        <f t="shared" si="89"/>
        <v>1.0067983787371535</v>
      </c>
      <c r="O106" s="122">
        <f t="shared" si="90"/>
        <v>1.4337024831423495</v>
      </c>
      <c r="P106" s="122">
        <f t="shared" si="91"/>
        <v>1.0000000647746918</v>
      </c>
      <c r="Q106" s="122">
        <f t="shared" si="92"/>
        <v>1.0032034563301468</v>
      </c>
      <c r="R106" s="122">
        <f t="shared" si="93"/>
        <v>1.01500351475089</v>
      </c>
      <c r="S106" s="122">
        <f t="shared" si="94"/>
        <v>1</v>
      </c>
      <c r="T106" s="122">
        <f t="shared" si="95"/>
        <v>1</v>
      </c>
      <c r="U106" s="122">
        <f t="shared" si="96"/>
        <v>6301.9401616454315</v>
      </c>
      <c r="V106" s="122">
        <f t="shared" si="97"/>
        <v>1.01500351475089</v>
      </c>
      <c r="W106" s="19">
        <f t="shared" si="98"/>
        <v>1.0863706230022185E-6</v>
      </c>
      <c r="X106" s="19">
        <f t="shared" si="99"/>
        <v>6.7524728719376165E-3</v>
      </c>
      <c r="Y106" s="19">
        <f t="shared" si="100"/>
        <v>0.30250522296679117</v>
      </c>
      <c r="Z106" s="19">
        <f t="shared" si="101"/>
        <v>6.4774687601151286E-8</v>
      </c>
      <c r="AA106" s="19">
        <f t="shared" si="102"/>
        <v>3.1932269670058109E-3</v>
      </c>
      <c r="AB106" s="19">
        <f t="shared" si="103"/>
        <v>1.4781774427216588E-2</v>
      </c>
      <c r="AC106" s="19">
        <f t="shared" si="104"/>
        <v>1.1334577994750903E-19</v>
      </c>
      <c r="AD106" s="19">
        <f t="shared" si="105"/>
        <v>1.1334577994750903E-19</v>
      </c>
      <c r="AE106" s="19">
        <f t="shared" si="106"/>
        <v>0.99984131870910387</v>
      </c>
      <c r="AF106" s="19">
        <f t="shared" si="107"/>
        <v>1.4781774427216588E-2</v>
      </c>
      <c r="AG106" s="122">
        <f t="shared" si="108"/>
        <v>4.9175633447043794E-2</v>
      </c>
      <c r="AH106" s="122">
        <f t="shared" si="109"/>
        <v>7.6222251387414791E-3</v>
      </c>
      <c r="AI106" s="122" t="str">
        <f t="shared" si="110"/>
        <v/>
      </c>
      <c r="AJ106" s="122" t="str">
        <f t="shared" si="111"/>
        <v/>
      </c>
      <c r="AK106" s="122" t="str">
        <f t="shared" si="112"/>
        <v/>
      </c>
      <c r="AL106" s="122" t="str">
        <f t="shared" si="113"/>
        <v/>
      </c>
      <c r="AM106" s="122" t="str">
        <f t="shared" si="114"/>
        <v/>
      </c>
      <c r="AN106" s="122" t="str">
        <f t="shared" si="115"/>
        <v/>
      </c>
      <c r="AO106" s="122">
        <f t="shared" si="116"/>
        <v>4.4641433712928964E-6</v>
      </c>
      <c r="AP106" s="122" t="str">
        <f t="shared" si="117"/>
        <v/>
      </c>
      <c r="AQ106" s="130">
        <f t="shared" ref="AQ106:AQ111" si="121">IF(A106="","",SUM(AG106:AP106)+0.5*(D106+ $AC$9/AU106^2/D106)+$L106*$S$16+$K106*$T$16)</f>
        <v>8.9680468272602121E-2</v>
      </c>
      <c r="AR106" s="122">
        <f t="shared" ref="AR106:AR111" si="122">IF(A106="","",AQ106+$L106*S$14+$K106*$T$14)</f>
        <v>8.9680468272602121E-2</v>
      </c>
      <c r="AS106" s="1001"/>
      <c r="AT106" s="442">
        <v>8.9680468272602121E-2</v>
      </c>
      <c r="AU106" s="131">
        <f t="shared" ref="AU106:AU111" si="123">IF(A106="","",10^(-$P$16*($AT106^0.5/(1+$AT106^0.5)-$P$17*$AT106)))</f>
        <v>0.7877588186291361</v>
      </c>
      <c r="AV106" s="17"/>
      <c r="AW106" s="124">
        <f t="shared" ref="AW106:AW111" si="124">IF(C106="","",C106-B106)</f>
        <v>-3.3145736202749632E-2</v>
      </c>
      <c r="AX106" s="16"/>
      <c r="AY106" s="26"/>
    </row>
    <row r="107" spans="1:51">
      <c r="A107" s="5">
        <v>27.32318145717727</v>
      </c>
      <c r="B107" s="508">
        <v>11.928379050320729</v>
      </c>
      <c r="C107" s="124">
        <v>11.946029186248779</v>
      </c>
      <c r="D107" s="123">
        <f t="shared" si="83"/>
        <v>1.4967795428608688E-12</v>
      </c>
      <c r="E107" s="123">
        <f t="shared" ref="E107:E111" si="125">IF(A107="","",IF(A108="",(B107-B106)/(A107-A106),((B108-B107)/(A108-A107)+(B107-B106)/(A107-A106))/2))</f>
        <v>5.2419871386658483E-2</v>
      </c>
      <c r="F107" s="124">
        <f t="shared" si="118"/>
        <v>1.7650135928050759E-2</v>
      </c>
      <c r="G107" s="122">
        <f t="shared" si="119"/>
        <v>2.0540867529648281E-7</v>
      </c>
      <c r="H107" s="122">
        <f t="shared" si="120"/>
        <v>-4.532203385732847E-4</v>
      </c>
      <c r="I107" s="123">
        <f t="shared" si="84"/>
        <v>4.6518053405466886E-2</v>
      </c>
      <c r="J107" s="123">
        <f t="shared" si="85"/>
        <v>4.6971273744040171E-2</v>
      </c>
      <c r="K107" s="124">
        <f t="shared" si="86"/>
        <v>0.57737414552109112</v>
      </c>
      <c r="L107" s="124">
        <f t="shared" si="87"/>
        <v>0.42262585447890888</v>
      </c>
      <c r="M107" s="122">
        <f t="shared" si="88"/>
        <v>1.0000008911206719</v>
      </c>
      <c r="N107" s="122">
        <f t="shared" si="89"/>
        <v>1.0055729360647785</v>
      </c>
      <c r="O107" s="122">
        <f t="shared" si="90"/>
        <v>1.3556397426247027</v>
      </c>
      <c r="P107" s="122">
        <f t="shared" si="91"/>
        <v>1.000000053098721</v>
      </c>
      <c r="Q107" s="122">
        <f t="shared" si="92"/>
        <v>1.0026251724557793</v>
      </c>
      <c r="R107" s="122">
        <f t="shared" si="93"/>
        <v>1.0123030046950141</v>
      </c>
      <c r="S107" s="122">
        <f t="shared" si="94"/>
        <v>1</v>
      </c>
      <c r="T107" s="122">
        <f t="shared" si="95"/>
        <v>1</v>
      </c>
      <c r="U107" s="122">
        <f t="shared" si="96"/>
        <v>5166.1633468922573</v>
      </c>
      <c r="V107" s="122">
        <f t="shared" si="97"/>
        <v>1.0123030046950141</v>
      </c>
      <c r="W107" s="19">
        <f t="shared" si="98"/>
        <v>8.911199073016794E-7</v>
      </c>
      <c r="X107" s="19">
        <f t="shared" si="99"/>
        <v>5.542050573134079E-3</v>
      </c>
      <c r="Y107" s="19">
        <f t="shared" si="100"/>
        <v>0.26234089751318845</v>
      </c>
      <c r="Z107" s="19">
        <f t="shared" si="101"/>
        <v>5.3098718211433301E-8</v>
      </c>
      <c r="AA107" s="19">
        <f t="shared" si="102"/>
        <v>2.618298969443723E-3</v>
      </c>
      <c r="AB107" s="19">
        <f t="shared" si="103"/>
        <v>1.2153505766055743E-2</v>
      </c>
      <c r="AC107" s="19">
        <f t="shared" si="104"/>
        <v>9.2914621166137843E-20</v>
      </c>
      <c r="AD107" s="19">
        <f t="shared" si="105"/>
        <v>9.2914621166137843E-20</v>
      </c>
      <c r="AE107" s="19">
        <f t="shared" si="106"/>
        <v>0.99980643275621517</v>
      </c>
      <c r="AF107" s="19">
        <f t="shared" si="107"/>
        <v>1.2153505766055743E-2</v>
      </c>
      <c r="AG107" s="122">
        <f t="shared" si="108"/>
        <v>4.7520630267557776E-2</v>
      </c>
      <c r="AH107" s="122">
        <f t="shared" si="109"/>
        <v>7.3746749988713193E-3</v>
      </c>
      <c r="AI107" s="122" t="str">
        <f t="shared" si="110"/>
        <v/>
      </c>
      <c r="AJ107" s="122" t="str">
        <f t="shared" si="111"/>
        <v/>
      </c>
      <c r="AK107" s="122" t="str">
        <f t="shared" si="112"/>
        <v/>
      </c>
      <c r="AL107" s="122" t="str">
        <f t="shared" si="113"/>
        <v/>
      </c>
      <c r="AM107" s="122" t="str">
        <f t="shared" si="114"/>
        <v/>
      </c>
      <c r="AN107" s="122" t="str">
        <f t="shared" si="115"/>
        <v/>
      </c>
      <c r="AO107" s="122">
        <f t="shared" si="116"/>
        <v>5.5880360990561272E-6</v>
      </c>
      <c r="AP107" s="122" t="str">
        <f t="shared" si="117"/>
        <v/>
      </c>
      <c r="AQ107" s="130">
        <f t="shared" si="121"/>
        <v>8.9481494339745976E-2</v>
      </c>
      <c r="AR107" s="122">
        <f t="shared" si="122"/>
        <v>8.9481494339745976E-2</v>
      </c>
      <c r="AS107" s="1001"/>
      <c r="AT107" s="442">
        <v>8.9481494339745976E-2</v>
      </c>
      <c r="AU107" s="131">
        <f t="shared" si="123"/>
        <v>0.7878855052735465</v>
      </c>
      <c r="AV107" s="17"/>
      <c r="AW107" s="124">
        <f t="shared" si="124"/>
        <v>1.7650135928050759E-2</v>
      </c>
      <c r="AX107" s="16"/>
      <c r="AY107" s="26"/>
    </row>
    <row r="108" spans="1:51">
      <c r="A108" s="5">
        <v>29.683852127345745</v>
      </c>
      <c r="B108" s="508">
        <v>12.047820911462628</v>
      </c>
      <c r="C108" s="124">
        <v>12.083085536956787</v>
      </c>
      <c r="D108" s="123">
        <f t="shared" si="83"/>
        <v>1.1369838987893738E-12</v>
      </c>
      <c r="E108" s="123">
        <f t="shared" si="125"/>
        <v>4.9922325274648377E-2</v>
      </c>
      <c r="F108" s="124">
        <f t="shared" si="118"/>
        <v>3.5264625494159318E-2</v>
      </c>
      <c r="G108" s="122">
        <f t="shared" si="119"/>
        <v>1.4711418864495908E-6</v>
      </c>
      <c r="H108" s="122">
        <f t="shared" si="120"/>
        <v>-1.2129063799195677E-3</v>
      </c>
      <c r="I108" s="123">
        <f t="shared" si="84"/>
        <v>4.430780199367719E-2</v>
      </c>
      <c r="J108" s="123">
        <f t="shared" si="85"/>
        <v>4.5520708373596758E-2</v>
      </c>
      <c r="K108" s="124">
        <f t="shared" si="86"/>
        <v>0.59745472334275584</v>
      </c>
      <c r="L108" s="124">
        <f t="shared" si="87"/>
        <v>0.40254527665724416</v>
      </c>
      <c r="M108" s="122">
        <f t="shared" si="88"/>
        <v>1.0000006765547842</v>
      </c>
      <c r="N108" s="122">
        <f t="shared" si="89"/>
        <v>1.0042325672054859</v>
      </c>
      <c r="O108" s="122">
        <f t="shared" si="90"/>
        <v>1.2700557411161966</v>
      </c>
      <c r="P108" s="122">
        <f t="shared" si="91"/>
        <v>1.000000040327738</v>
      </c>
      <c r="Q108" s="122">
        <f t="shared" si="92"/>
        <v>1.0019941338909948</v>
      </c>
      <c r="R108" s="122">
        <f t="shared" si="93"/>
        <v>1.009342306250151</v>
      </c>
      <c r="S108" s="122">
        <f t="shared" si="94"/>
        <v>1</v>
      </c>
      <c r="T108" s="122">
        <f t="shared" si="95"/>
        <v>1</v>
      </c>
      <c r="U108" s="122">
        <f t="shared" si="96"/>
        <v>3923.8695145032766</v>
      </c>
      <c r="V108" s="122">
        <f t="shared" si="97"/>
        <v>1.009342306250151</v>
      </c>
      <c r="W108" s="19">
        <f t="shared" si="98"/>
        <v>6.7655434359850584E-7</v>
      </c>
      <c r="X108" s="19">
        <f t="shared" si="99"/>
        <v>4.2147280866836239E-3</v>
      </c>
      <c r="Y108" s="19">
        <f t="shared" si="100"/>
        <v>0.21263298513024756</v>
      </c>
      <c r="Z108" s="19">
        <f t="shared" si="101"/>
        <v>4.0327736337002227E-8</v>
      </c>
      <c r="AA108" s="19">
        <f t="shared" si="102"/>
        <v>1.9901652350508147E-3</v>
      </c>
      <c r="AB108" s="19">
        <f t="shared" si="103"/>
        <v>9.25585009113024E-3</v>
      </c>
      <c r="AC108" s="19">
        <f t="shared" si="104"/>
        <v>7.0567358734853561E-20</v>
      </c>
      <c r="AD108" s="19">
        <f t="shared" si="105"/>
        <v>7.0567358734853561E-20</v>
      </c>
      <c r="AE108" s="19">
        <f t="shared" si="106"/>
        <v>0.99974514952744886</v>
      </c>
      <c r="AF108" s="19">
        <f t="shared" si="107"/>
        <v>9.25585009113024E-3</v>
      </c>
      <c r="AG108" s="122">
        <f t="shared" si="108"/>
        <v>4.5262747973211774E-2</v>
      </c>
      <c r="AH108" s="122">
        <f t="shared" si="109"/>
        <v>7.033651299034915E-3</v>
      </c>
      <c r="AI108" s="122" t="str">
        <f t="shared" si="110"/>
        <v/>
      </c>
      <c r="AJ108" s="122" t="str">
        <f t="shared" si="111"/>
        <v/>
      </c>
      <c r="AK108" s="122" t="str">
        <f t="shared" si="112"/>
        <v/>
      </c>
      <c r="AL108" s="122" t="str">
        <f t="shared" si="113"/>
        <v/>
      </c>
      <c r="AM108" s="122" t="str">
        <f t="shared" si="114"/>
        <v/>
      </c>
      <c r="AN108" s="122" t="str">
        <f t="shared" si="115"/>
        <v/>
      </c>
      <c r="AO108" s="122">
        <f t="shared" si="116"/>
        <v>7.6130809285892853E-6</v>
      </c>
      <c r="AP108" s="122" t="str">
        <f t="shared" si="117"/>
        <v/>
      </c>
      <c r="AQ108" s="130">
        <f t="shared" si="121"/>
        <v>8.9590662876239943E-2</v>
      </c>
      <c r="AR108" s="122">
        <f t="shared" si="122"/>
        <v>8.9590662876239943E-2</v>
      </c>
      <c r="AS108" s="1001"/>
      <c r="AT108" s="442">
        <v>8.9590662876239943E-2</v>
      </c>
      <c r="AU108" s="131">
        <f t="shared" si="123"/>
        <v>0.78781595866175214</v>
      </c>
      <c r="AV108" s="17"/>
      <c r="AW108" s="124">
        <f t="shared" si="124"/>
        <v>3.5264625494159318E-2</v>
      </c>
      <c r="AX108" s="16"/>
      <c r="AY108" s="26"/>
    </row>
    <row r="109" spans="1:51">
      <c r="A109" s="5">
        <v>33.322947287524585</v>
      </c>
      <c r="B109" s="508">
        <v>12.227039328612095</v>
      </c>
      <c r="C109" s="124">
        <v>12.219712734222412</v>
      </c>
      <c r="D109" s="123">
        <f t="shared" si="83"/>
        <v>7.5342970493168977E-13</v>
      </c>
      <c r="E109" s="123">
        <f t="shared" si="125"/>
        <v>3.4173523934599687E-2</v>
      </c>
      <c r="F109" s="124">
        <f t="shared" si="118"/>
        <v>-7.3265943896831942E-3</v>
      </c>
      <c r="G109" s="122">
        <f t="shared" si="119"/>
        <v>1.3111026024939451E-7</v>
      </c>
      <c r="H109" s="122">
        <f t="shared" si="120"/>
        <v>3.6209150811555152E-4</v>
      </c>
      <c r="I109" s="123">
        <f t="shared" si="84"/>
        <v>4.1283957364011026E-2</v>
      </c>
      <c r="J109" s="123">
        <f t="shared" si="85"/>
        <v>4.0921865855895474E-2</v>
      </c>
      <c r="K109" s="124">
        <f t="shared" si="86"/>
        <v>0.62492695889150163</v>
      </c>
      <c r="L109" s="124">
        <f t="shared" si="87"/>
        <v>0.37507304110849837</v>
      </c>
      <c r="M109" s="122">
        <f t="shared" si="88"/>
        <v>1.0000004451950648</v>
      </c>
      <c r="N109" s="122">
        <f t="shared" si="89"/>
        <v>1.0027981990449613</v>
      </c>
      <c r="O109" s="122">
        <f t="shared" si="90"/>
        <v>1.1781207321685652</v>
      </c>
      <c r="P109" s="122">
        <f t="shared" si="91"/>
        <v>1.0000000266611331</v>
      </c>
      <c r="Q109" s="122">
        <f t="shared" si="92"/>
        <v>1.0013214256689882</v>
      </c>
      <c r="R109" s="122">
        <f t="shared" si="93"/>
        <v>1.0061619039556076</v>
      </c>
      <c r="S109" s="122">
        <f t="shared" si="94"/>
        <v>1</v>
      </c>
      <c r="T109" s="122">
        <f t="shared" si="95"/>
        <v>1</v>
      </c>
      <c r="U109" s="122">
        <f t="shared" si="96"/>
        <v>2594.4543261840922</v>
      </c>
      <c r="V109" s="122">
        <f t="shared" si="97"/>
        <v>1.0061619039556076</v>
      </c>
      <c r="W109" s="19">
        <f t="shared" si="98"/>
        <v>4.4519487415157869E-7</v>
      </c>
      <c r="X109" s="19">
        <f t="shared" si="99"/>
        <v>2.7903909760687634E-3</v>
      </c>
      <c r="Y109" s="19">
        <f t="shared" si="100"/>
        <v>0.15119055997499209</v>
      </c>
      <c r="Z109" s="19">
        <f t="shared" si="101"/>
        <v>2.6661132446822627E-8</v>
      </c>
      <c r="AA109" s="19">
        <f t="shared" si="102"/>
        <v>1.3196818075726588E-3</v>
      </c>
      <c r="AB109" s="19">
        <f t="shared" si="103"/>
        <v>6.1241738499025243E-3</v>
      </c>
      <c r="AC109" s="19">
        <f t="shared" si="104"/>
        <v>4.6652895570875046E-20</v>
      </c>
      <c r="AD109" s="19">
        <f t="shared" si="105"/>
        <v>4.6652895570875046E-20</v>
      </c>
      <c r="AE109" s="19">
        <f t="shared" si="106"/>
        <v>0.99961456249589453</v>
      </c>
      <c r="AF109" s="19">
        <f t="shared" si="107"/>
        <v>6.1241738499025243E-3</v>
      </c>
      <c r="AG109" s="122">
        <f t="shared" si="108"/>
        <v>4.2173737211132462E-2</v>
      </c>
      <c r="AH109" s="122">
        <f t="shared" si="109"/>
        <v>6.5630045388346851E-3</v>
      </c>
      <c r="AI109" s="122" t="str">
        <f t="shared" si="110"/>
        <v/>
      </c>
      <c r="AJ109" s="122" t="str">
        <f t="shared" si="111"/>
        <v/>
      </c>
      <c r="AK109" s="122" t="str">
        <f t="shared" si="112"/>
        <v/>
      </c>
      <c r="AL109" s="122" t="str">
        <f t="shared" si="113"/>
        <v/>
      </c>
      <c r="AM109" s="122" t="str">
        <f t="shared" si="114"/>
        <v/>
      </c>
      <c r="AN109" s="122" t="str">
        <f t="shared" si="115"/>
        <v/>
      </c>
      <c r="AO109" s="122">
        <f t="shared" si="116"/>
        <v>1.2043514364167676E-5</v>
      </c>
      <c r="AP109" s="122" t="str">
        <f t="shared" si="117"/>
        <v/>
      </c>
      <c r="AQ109" s="130">
        <f t="shared" si="121"/>
        <v>9.1047176596205842E-2</v>
      </c>
      <c r="AR109" s="122">
        <f t="shared" si="122"/>
        <v>9.1047176596205842E-2</v>
      </c>
      <c r="AS109" s="1001"/>
      <c r="AT109" s="442">
        <v>9.1047176596205842E-2</v>
      </c>
      <c r="AU109" s="131">
        <f t="shared" si="123"/>
        <v>0.78689707786880048</v>
      </c>
      <c r="AV109" s="17"/>
      <c r="AW109" s="124">
        <f t="shared" si="124"/>
        <v>-7.3265943896831942E-3</v>
      </c>
      <c r="AX109" s="16"/>
      <c r="AY109" s="26"/>
    </row>
    <row r="110" spans="1:51">
      <c r="A110" s="5">
        <v>39.274074586865027</v>
      </c>
      <c r="B110" s="508">
        <v>12.340699770716011</v>
      </c>
      <c r="C110" s="124">
        <v>12.356882572174072</v>
      </c>
      <c r="D110" s="123">
        <f t="shared" si="83"/>
        <v>5.80032196389088E-13</v>
      </c>
      <c r="E110" s="123">
        <f t="shared" si="125"/>
        <v>1.7176237787837535E-2</v>
      </c>
      <c r="F110" s="124">
        <f t="shared" si="118"/>
        <v>1.6182801458061391E-2</v>
      </c>
      <c r="G110" s="122">
        <f t="shared" si="119"/>
        <v>1.1382940808109204E-6</v>
      </c>
      <c r="H110" s="122">
        <f t="shared" si="120"/>
        <v>-1.0669086562639374E-3</v>
      </c>
      <c r="I110" s="123">
        <f t="shared" si="84"/>
        <v>3.7139040932903787E-2</v>
      </c>
      <c r="J110" s="123">
        <f t="shared" si="85"/>
        <v>3.8205949589167724E-2</v>
      </c>
      <c r="K110" s="124">
        <f t="shared" si="86"/>
        <v>0.66258435683056716</v>
      </c>
      <c r="L110" s="124">
        <f t="shared" si="87"/>
        <v>0.3374156431694329</v>
      </c>
      <c r="M110" s="122">
        <f t="shared" si="88"/>
        <v>1.0000003424056136</v>
      </c>
      <c r="N110" s="122">
        <f t="shared" si="89"/>
        <v>1.0021535172635148</v>
      </c>
      <c r="O110" s="122">
        <f t="shared" si="90"/>
        <v>1.1370391373234385</v>
      </c>
      <c r="P110" s="122">
        <f t="shared" si="91"/>
        <v>1.0000000205186299</v>
      </c>
      <c r="Q110" s="122">
        <f t="shared" si="92"/>
        <v>1.0010173071596873</v>
      </c>
      <c r="R110" s="122">
        <f t="shared" si="93"/>
        <v>1.0047407271971069</v>
      </c>
      <c r="S110" s="122">
        <f t="shared" si="94"/>
        <v>1</v>
      </c>
      <c r="T110" s="122">
        <f t="shared" si="95"/>
        <v>1</v>
      </c>
      <c r="U110" s="122">
        <f t="shared" si="96"/>
        <v>1996.944024728585</v>
      </c>
      <c r="V110" s="122">
        <f t="shared" si="97"/>
        <v>1.0047407271971069</v>
      </c>
      <c r="W110" s="19">
        <f t="shared" si="98"/>
        <v>3.4240550076264225E-7</v>
      </c>
      <c r="X110" s="19">
        <f t="shared" si="99"/>
        <v>2.1488895929585895E-3</v>
      </c>
      <c r="Y110" s="19">
        <f t="shared" si="100"/>
        <v>0.12052279771605429</v>
      </c>
      <c r="Z110" s="19">
        <f t="shared" si="101"/>
        <v>2.0518629454677212E-8</v>
      </c>
      <c r="AA110" s="19">
        <f t="shared" si="102"/>
        <v>1.0162732975854396E-3</v>
      </c>
      <c r="AB110" s="19">
        <f t="shared" si="103"/>
        <v>4.7183625555991555E-3</v>
      </c>
      <c r="AC110" s="19">
        <f t="shared" si="104"/>
        <v>3.5904456543093538E-20</v>
      </c>
      <c r="AD110" s="19">
        <f t="shared" si="105"/>
        <v>3.5904456543093538E-20</v>
      </c>
      <c r="AE110" s="19">
        <f t="shared" si="106"/>
        <v>0.99949923483702263</v>
      </c>
      <c r="AF110" s="19">
        <f t="shared" si="107"/>
        <v>4.7183625555991555E-3</v>
      </c>
      <c r="AG110" s="122">
        <f t="shared" si="108"/>
        <v>3.7939488896639499E-2</v>
      </c>
      <c r="AH110" s="122">
        <f t="shared" si="109"/>
        <v>5.9078758247111882E-3</v>
      </c>
      <c r="AI110" s="122" t="str">
        <f t="shared" si="110"/>
        <v/>
      </c>
      <c r="AJ110" s="122" t="str">
        <f t="shared" si="111"/>
        <v/>
      </c>
      <c r="AK110" s="122" t="str">
        <f t="shared" si="112"/>
        <v/>
      </c>
      <c r="AL110" s="122" t="str">
        <f t="shared" si="113"/>
        <v/>
      </c>
      <c r="AM110" s="122" t="str">
        <f t="shared" si="114"/>
        <v/>
      </c>
      <c r="AN110" s="122" t="str">
        <f t="shared" si="115"/>
        <v/>
      </c>
      <c r="AO110" s="122">
        <f t="shared" si="116"/>
        <v>1.6589958171727484E-5</v>
      </c>
      <c r="AP110" s="122" t="str">
        <f t="shared" si="117"/>
        <v/>
      </c>
      <c r="AQ110" s="130">
        <f t="shared" si="121"/>
        <v>9.1249719757936887E-2</v>
      </c>
      <c r="AR110" s="122">
        <f t="shared" si="122"/>
        <v>9.1249719757936887E-2</v>
      </c>
      <c r="AS110" s="1001"/>
      <c r="AT110" s="442">
        <v>9.1249719757936831E-2</v>
      </c>
      <c r="AU110" s="131">
        <f t="shared" si="123"/>
        <v>0.7867706097897279</v>
      </c>
      <c r="AV110" s="17"/>
      <c r="AW110" s="124">
        <f t="shared" si="124"/>
        <v>1.6182801458061391E-2</v>
      </c>
      <c r="AX110" s="16"/>
      <c r="AY110" s="26"/>
    </row>
    <row r="111" spans="1:51">
      <c r="A111" s="5">
        <v>49.999999995634425</v>
      </c>
      <c r="B111" s="508">
        <v>12.504307661022999</v>
      </c>
      <c r="C111" s="124">
        <v>12.49352502822876</v>
      </c>
      <c r="D111" s="123">
        <f t="shared" si="83"/>
        <v>3.9867959482785319E-13</v>
      </c>
      <c r="E111" s="123">
        <f t="shared" si="125"/>
        <v>1.5253498795845061E-2</v>
      </c>
      <c r="F111" s="124">
        <f t="shared" si="118"/>
        <v>-1.0782632794239078E-2</v>
      </c>
      <c r="G111" s="122">
        <f t="shared" si="119"/>
        <v>1.0116718905409189E-6</v>
      </c>
      <c r="H111" s="122">
        <f t="shared" si="120"/>
        <v>1.005819014803816E-3</v>
      </c>
      <c r="I111" s="123">
        <f t="shared" si="84"/>
        <v>3.1448318321126607E-2</v>
      </c>
      <c r="J111" s="123">
        <f t="shared" si="85"/>
        <v>3.0442499306322791E-2</v>
      </c>
      <c r="K111" s="124">
        <f t="shared" si="86"/>
        <v>0.71428571426789567</v>
      </c>
      <c r="L111" s="124">
        <f t="shared" si="87"/>
        <v>0.28571428573210439</v>
      </c>
      <c r="M111" s="122">
        <f t="shared" si="88"/>
        <v>1.0000002328273507</v>
      </c>
      <c r="N111" s="122">
        <f t="shared" si="89"/>
        <v>1.0014748935275841</v>
      </c>
      <c r="O111" s="122">
        <f t="shared" si="90"/>
        <v>1.0935184569954612</v>
      </c>
      <c r="P111" s="122">
        <f t="shared" si="91"/>
        <v>1.000000014052729</v>
      </c>
      <c r="Q111" s="122">
        <f t="shared" si="92"/>
        <v>1.0006992363678509</v>
      </c>
      <c r="R111" s="122">
        <f t="shared" si="93"/>
        <v>1.003235173462008</v>
      </c>
      <c r="S111" s="122">
        <f t="shared" si="94"/>
        <v>1</v>
      </c>
      <c r="T111" s="122">
        <f t="shared" si="95"/>
        <v>1</v>
      </c>
      <c r="U111" s="122">
        <f t="shared" si="96"/>
        <v>1367.9753075521373</v>
      </c>
      <c r="V111" s="122">
        <f t="shared" si="97"/>
        <v>1.003235173462008</v>
      </c>
      <c r="W111" s="19">
        <f t="shared" si="98"/>
        <v>2.3282729859484863E-7</v>
      </c>
      <c r="X111" s="19">
        <f t="shared" si="99"/>
        <v>1.4727214204248581E-3</v>
      </c>
      <c r="Y111" s="19">
        <f t="shared" si="100"/>
        <v>8.5520693945960263E-2</v>
      </c>
      <c r="Z111" s="19">
        <f t="shared" si="101"/>
        <v>1.4052728755521291E-8</v>
      </c>
      <c r="AA111" s="19">
        <f t="shared" si="102"/>
        <v>6.9874777799241777E-4</v>
      </c>
      <c r="AB111" s="19">
        <f t="shared" si="103"/>
        <v>3.2247426493633808E-3</v>
      </c>
      <c r="AC111" s="19">
        <f t="shared" si="104"/>
        <v>2.4590121224547742E-20</v>
      </c>
      <c r="AD111" s="19">
        <f t="shared" si="105"/>
        <v>2.4590121224547742E-20</v>
      </c>
      <c r="AE111" s="19">
        <f t="shared" si="106"/>
        <v>0.99926899265324498</v>
      </c>
      <c r="AF111" s="19">
        <f t="shared" si="107"/>
        <v>3.2247426493633808E-3</v>
      </c>
      <c r="AG111" s="122">
        <f t="shared" si="108"/>
        <v>3.2126117595551888E-2</v>
      </c>
      <c r="AH111" s="122">
        <f t="shared" si="109"/>
        <v>5.0060166487325185E-3</v>
      </c>
      <c r="AI111" s="122" t="str">
        <f t="shared" si="110"/>
        <v/>
      </c>
      <c r="AJ111" s="122" t="str">
        <f t="shared" si="111"/>
        <v/>
      </c>
      <c r="AK111" s="122" t="str">
        <f t="shared" si="112"/>
        <v/>
      </c>
      <c r="AL111" s="122" t="str">
        <f t="shared" si="113"/>
        <v/>
      </c>
      <c r="AM111" s="122" t="str">
        <f t="shared" si="114"/>
        <v/>
      </c>
      <c r="AN111" s="122" t="str">
        <f t="shared" si="115"/>
        <v/>
      </c>
      <c r="AO111" s="122">
        <f t="shared" si="116"/>
        <v>2.6107405240597602E-5</v>
      </c>
      <c r="AP111" s="122" t="str">
        <f t="shared" si="117"/>
        <v/>
      </c>
      <c r="AQ111" s="130">
        <f t="shared" si="121"/>
        <v>9.3545128095830973E-2</v>
      </c>
      <c r="AR111" s="122">
        <f t="shared" si="122"/>
        <v>9.3545128095830973E-2</v>
      </c>
      <c r="AS111" s="1001"/>
      <c r="AT111" s="442">
        <v>9.3545128095829877E-2</v>
      </c>
      <c r="AU111" s="131">
        <f t="shared" si="123"/>
        <v>0.78535919124542264</v>
      </c>
      <c r="AV111" s="17"/>
      <c r="AW111" s="124">
        <f t="shared" si="124"/>
        <v>-1.0782632794239078E-2</v>
      </c>
      <c r="AX111" s="16"/>
      <c r="AY111" s="26"/>
    </row>
    <row r="112" spans="1:51">
      <c r="B112" s="508"/>
      <c r="C112" s="124"/>
      <c r="D112" s="123" t="str">
        <f t="shared" ref="D112:D175" si="126">IF(A112="","",10^-((((B112-P$12)/P$13)+7))/$AU112)</f>
        <v/>
      </c>
      <c r="E112" s="123" t="str">
        <f t="shared" ref="E112:E175" si="127">IF(A112="","",IF(A113="",(B112-B111)/(A112-A111),((B113-B112)/(A113-A112)+(B112-B111)/(A112-A111))/2))</f>
        <v/>
      </c>
      <c r="F112" s="124" t="str">
        <f t="shared" ref="F112:F175" si="128">IF(A112="","",IF(C112="","0,00001",(IF(ABS(C112-B112)&lt;0.00001,0.00001,C112-B112))))</f>
        <v/>
      </c>
      <c r="G112" s="122" t="str">
        <f t="shared" ref="G112:G175" si="129">IF(A112="","",IF(AX112="X",0,IF(ABS(E112)&lt;0.00001,(0.00001^M$20)*(ABS(H112)^I$20)*ABS(F112)^K$20,((ABS(E112))^M$20)*((ABS(H112))^I$20)*ABS(F112)^K$20)))</f>
        <v/>
      </c>
      <c r="H112" s="122" t="str">
        <f t="shared" si="120"/>
        <v/>
      </c>
      <c r="I112" s="123" t="str">
        <f t="shared" ref="I112:I175" si="130">IF(A112="","",L112*I$18+K112*E$19)</f>
        <v/>
      </c>
      <c r="J112" s="123" t="str">
        <f t="shared" ref="J112:J175" si="131">IF(A112="","",D112 -$AC$9/AU112^2/D112+L112*(W112*$B$11+X112*$C$11+Y112*$D$11+Z112*$E$11+AA112*$F$11+AB112*$G$11+AC112*$H$11)+K112*(AD112*$B$18+AE112*$C$18+AF112*$D$18))</f>
        <v/>
      </c>
      <c r="K112" s="124" t="str">
        <f t="shared" ref="K112:K175" si="132">IF(A112="","",A112/(A112+$G$16))</f>
        <v/>
      </c>
      <c r="L112" s="124" t="str">
        <f t="shared" ref="L112:L175" si="133">IF(A112="","",$E$16/(A112+$G$16))</f>
        <v/>
      </c>
      <c r="M112" s="122" t="str">
        <f t="shared" ref="M112:M175" si="134">IF($A112="","",(1+(V$5*$AU112^(-2*V$4))*$D112+(V$6*$AU112^(-4*V$4-2))*$D112^2+(V$7*$AU112^(-6*V$4-6))*$D112^3+(V$8*$AU112^(-8*V$4-12))*$D112^4+(V$9*$AU112^(-10*V$4-20))*$D112^5+(V$10*$AU112^(-12*V$4-30))*$D112^6))</f>
        <v/>
      </c>
      <c r="N112" s="122" t="str">
        <f t="shared" ref="N112:N175" si="135">IF($A112="","",(1+(W$5*$AU112^(-2*W$4))*$D112+(W$6*$AU112^(-4*W$4-2))*$D112^2+(W$7*$AU112^(-6*W$4-6))*$D112^3+(W$8*$AU112^(-8*W$4-12))*$D112^4+(W$9*$AU112^(-10*W$4-20))*$D112^5+(W$10*$AU112^(-12*W$4-30))*$D112^6))</f>
        <v/>
      </c>
      <c r="O112" s="122" t="str">
        <f t="shared" ref="O112:O175" si="136">IF($A112="","",(1+(X$5*$AU112^(-2*X$4))*$D112+(X$6*$AU112^(-4*X$4-2))*$D112^2+(X$7*$AU112^(-6*X$4-6))*$D112^3+(X$8*$AU112^(-8*X$4-12))*$D112^4+(X$9*$AU112^(-10*X$4-20))*$D112^5+(X$10*$AU112^(-12*X$4-30))*$D112^6))</f>
        <v/>
      </c>
      <c r="P112" s="122" t="str">
        <f t="shared" ref="P112:P175" si="137">IF($A112="","",(1+(Y$5*$AU112^(-2*Y$4))*$D112+(Y$6*$AU112^(-4*Y$4-2))*$D112^2+(Y$7*$AU112^(-6*Y$4-6))*$D112^3+(Y$8*$AU112^(-8*Y$4-12))*$D112^4+(Y$9*$AU112^(-10*Y$4-20))*$D112^5+(Y$10*$AU112^(-12*Y$4-30))*$D112^6))</f>
        <v/>
      </c>
      <c r="Q112" s="122" t="str">
        <f t="shared" ref="Q112:Q175" si="138">IF($A112="","",(1+(Z$5*$AU112^(-2*Z$4))*$D112+(Z$6*$AU112^(-4*Z$4-2))*$D112^2+(Z$7*$AU112^(-6*Z$4-6))*$D112^3+(Z$8*$AU112^(-8*Z$4-12))*$D112^4+(Z$9*$AU112^(-10*Z$4-20))*$D112^5+(Z$10*$AU112^(-12*Z$4-30))*$D112^6))</f>
        <v/>
      </c>
      <c r="R112" s="122" t="str">
        <f t="shared" ref="R112:R175" si="139">IF($A112="","",(1+(AA$5*$AU112^(-2*AA$4))*$D112+(AA$6*$AU112^(-4*AA$4-2))*$D112^2+(AA$7*$AU112^(-6*AA$4-6))*$D112^3+(AA$8*$AU112^(-8*AA$4-12))*$D112^4+(AA$9*$AU112^(-10*AA$4-20))*$D112^5+(AA$10*$AU112^(-12*AA$4-30))*$D112^6))</f>
        <v/>
      </c>
      <c r="S112" s="122" t="str">
        <f t="shared" ref="S112:S175" si="140">IF($A112="","",(1+(AB$5*$AU112^(-2*AB$4))*$D112+(AB$6*$AU112^(-4*AB$4-2))*$D112^2+(AB$7*$AU112^(-6*AB$4-6))*$D112^3+(AB$8*$AU112^(-8*AB$4-12))*$D112^4+(AB$9*$AU112^(-10*AB$4-20))*$D112^5+(AB$10*$AU112^(-12*AB$4-30))*$D112^6))</f>
        <v/>
      </c>
      <c r="T112" s="122" t="str">
        <f t="shared" ref="T112:T175" si="141">IF($A112="","",(1+(AC$5*$AU112^(-2*AC$4))*$D112+(AC$6*$AU112^(-4*AC$4-2))*$D112^2))</f>
        <v/>
      </c>
      <c r="U112" s="122" t="str">
        <f t="shared" ref="U112:U175" si="142">IF($A112="","",(1+(AD$5*$AU112^(-2*AD$4))*$D112+(AD$6*$AU112^(-4*AD$4-2))*$D112^2))</f>
        <v/>
      </c>
      <c r="V112" s="122" t="str">
        <f t="shared" ref="V112:V175" si="143">IF($A112="","",(1+(AE$5*$AU112^(-2*AE$4))*$D112+(AE$6*$AU112^(-4*AE$4-2))*$D112^2))</f>
        <v/>
      </c>
      <c r="W112" s="19" t="str">
        <f t="shared" ref="W112:W175" si="144">IF($A112="","",((V$5*$AU112^(-2*V$4))*$D112+2*(V$6*$AU112^(-4*V$4-2))*$D112^2+3*(V$7*$AU112^(-6*V$4-6))*$D112^3+4*(V$8*$AU112^(-8*V$4-12))*$D112^4+5*(V$9*$AU112^(-10*V$4-20))*$D112^5+6*(V$10*$AU112^(-12*V$4-30))*$D112^6)/M112)</f>
        <v/>
      </c>
      <c r="X112" s="19" t="str">
        <f t="shared" ref="X112:X175" si="145">IF($A112="","",((W$5*$AU112^(-2*W$4))*$D112+2*(W$6*$AU112^(-4*W$4-2))*$D112^2+3*(W$7*$AU112^(-6*W$4-6))*$D112^3+4*(W$8*$AU112^(-8*W$4-12))*$D112^4+5*(W$9*$AU112^(-10*W$4-20))*$D112^5+6*(W$10*$AU112^(-12*W$4-30))*$D112^6)/N112)</f>
        <v/>
      </c>
      <c r="Y112" s="19" t="str">
        <f t="shared" ref="Y112:Y175" si="146">IF($A112="","",((X$5*$AU112^(-2*X$4))*$D112+2*(X$6*$AU112^(-4*X$4-2))*$D112^2+3*(X$7*$AU112^(-6*X$4-6))*$D112^3+4*(X$8*$AU112^(-8*X$4-12))*$D112^4+5*(X$9*$AU112^(-10*X$4-20))*$D112^5+6*(X$10*$AU112^(-12*X$4-30))*$D112^6)/O112)</f>
        <v/>
      </c>
      <c r="Z112" s="19" t="str">
        <f t="shared" ref="Z112:Z175" si="147">IF($A112="","",((Y$5*$AU112^(-2*Y$4))*$D112+2*(Y$6*$AU112^(-4*Y$4-2))*$D112^2+3*(Y$7*$AU112^(-6*Y$4-6))*$D112^3+4*(Y$8*$AU112^(-8*Y$4-12))*$D112^4+5*(Y$9*$AU112^(-10*Y$4-20))*$D112^5+6*(Y$10*$AU112^(-12*Y$4-30))*$D112^6)/P112)</f>
        <v/>
      </c>
      <c r="AA112" s="19" t="str">
        <f t="shared" ref="AA112:AA175" si="148">IF($A112="","",((Z$5*$AU112^(-2*Z$4))*$D112+2*(Z$6*$AU112^(-4*Z$4-2))*$D112^2+3*(Z$7*$AU112^(-6*Z$4-6))*$D112^3+4*(Z$8*$AU112^(-8*Z$4-12))*$D112^4+5*(Z$9*$AU112^(-10*Z$4-20))*$D112^5+6*(Z$10*$AU112^(-12*Z$4-30))*$D112^6)/Q112)</f>
        <v/>
      </c>
      <c r="AB112" s="19" t="str">
        <f t="shared" ref="AB112:AB175" si="149">IF($A112="","",((AA$5*$AU112^(-2*AA$4))*$D112+2*(AA$6*$AU112^(-4*AA$4-2))*$D112^2+3*(AA$7*$AU112^(-6*AA$4-6))*$D112^3+4*(AA$8*$AU112^(-8*AA$4-12))*$D112^4+5*(AA$9*$AU112^(-10*AA$4-20))*$D112^5+6*(AA$10*$AU112^(-12*AA$4-30))*$D112^6)/R112)</f>
        <v/>
      </c>
      <c r="AC112" s="19" t="str">
        <f t="shared" ref="AC112:AC175" si="150">IF($A112="","",((AB$5*$AU112^(-2*AB$4))*$D112+2*(AB$6*$AU112^(-4*AB$4-2))*$D112^2+3*(AB$7*$AU112^(-6*AB$4-6))*$D112^3+4*(AB$8*$AU112^(-8*AB$4-12))*$D112^4+5*(AB$9*$AU112^(-10*AB$4-20))*$D112^5+6*(AB$10*$AU112^(-12*AB$4-30))*$D112^6)/S112)</f>
        <v/>
      </c>
      <c r="AD112" s="19" t="str">
        <f t="shared" ref="AD112:AD175" si="151">IF($A112="","",((AC$5*$AU112^(-2*AC$4))*$D112+2*(AC$6*$AU112^(-4*AC$4-2))*$D112^2)/T112)</f>
        <v/>
      </c>
      <c r="AE112" s="19" t="str">
        <f t="shared" ref="AE112:AE175" si="152">IF($A112="","",((AD$5*$AU112^(-2*AD$4))*$D112+2*(AD$6*$AU112^(-4*AD$4-2))*$D112^2)/U112)</f>
        <v/>
      </c>
      <c r="AF112" s="19" t="str">
        <f t="shared" ref="AF112:AF175" si="153">IF($A112="","",((AE$5*$AU112^(-2*AE$4))*$D112+2*(AE$6*$AU112^(-4*AE$4-2))*$D112^2)/V112)</f>
        <v/>
      </c>
      <c r="AG112" s="122" t="str">
        <f t="shared" ref="AG112:AG175" si="154">IF(B$11=0,"",IF($A112="","",0.5*B$11*$L112*(1*V$4^2+(V$5*$AU112^(-2*V$4))*$D112*(V$4+1)^2+(V$6*$AU112^(-4*V$4-2))*$D112^2*(V$4+2)^2+(V$7*$AU112^(-6*V$4-6))*$D112^3*(V$4+3)^2+(V$8*$AU112^(-8*V$4-12))*$D112^4*(V$4+4)^2+(V$9*$AU112^(-10*V$4-20))*$D112^5*(V$4+5)^2+(V$10*$AU112^(-12*V$4-30))*$D112^6*(V$4+6)^2)/M112))</f>
        <v/>
      </c>
      <c r="AH112" s="122" t="str">
        <f t="shared" ref="AH112:AH175" si="155">IF(C$11=0,"",IF($A112="","",0.5*C$11*$L112*(1*W$4^2+(W$5*$AU112^(-2*W$4))*$D112*(W$4+1)^2+(W$6*$AU112^(-4*W$4-2))*$D112^2*(W$4+2)^2+(W$7*$AU112^(-6*W$4-6))*$D112^3*(W$4+3)^2+(W$8*$AU112^(-8*W$4-12))*$D112^4*(W$4+4)^2+(W$9*$AU112^(-10*W$4-20))*$D112^5*(W$4+5)^2+(W$10*$AU112^(-12*W$4-30))*$D112^6*(W$4+6)^2)/N112))</f>
        <v/>
      </c>
      <c r="AI112" s="122" t="str">
        <f t="shared" ref="AI112:AI175" si="156">IF(D$11=0,"",IF($A112="","",0.5*D$11*$L112*(1*X$4^2+(X$5*$AU112^(-2*X$4))*$D112*(X$4+1)^2+(X$6*$AU112^(-4*X$4-2))*$D112^2*(X$4+2)^2+(X$7*$AU112^(-6*X$4-6))*$D112^3*(X$4+3)^2+(X$8*$AU112^(-8*X$4-12))*$D112^4*(X$4+4)^2+(X$9*$AU112^(-10*X$4-20))*$D112^5*(X$4+5)^2+(X$10*$AU112^(-12*X$4-30))*$D112^6*(X$4+6)^2)/O112))</f>
        <v/>
      </c>
      <c r="AJ112" s="122" t="str">
        <f t="shared" ref="AJ112:AJ175" si="157">IF(E$11=0,"",IF($A112="","",0.5*E$11*$L112*(1*Y$4^2+(Y$5*$AU112^(-2*Y$4))*$D112*(Y$4+1)^2+(Y$6*$AU112^(-4*Y$4-2))*$D112^2*(Y$4+2)^2+(Y$7*$AU112^(-6*Y$4-6))*$D112^3*(Y$4+3)^2+(Y$8*$AU112^(-8*Y$4-12))*$D112^4*(Y$4+4)^2+(Y$9*$AU112^(-10*Y$4-20))*$D112^5*(Y$4+5)^2+(Y$10*$AU112^(-12*Y$4-30))*$D112^6*(Y$4+6)^2)/P112))</f>
        <v/>
      </c>
      <c r="AK112" s="122" t="str">
        <f t="shared" ref="AK112:AK175" si="158">IF(F$11=0,"",IF($A112="","",0.5*F$11*$L112*(1*Z$4^2+(Z$5*$AU112^(-2*Z$4))*$D112*(Z$4+1)^2+(Z$6*$AU112^(-4*Z$4-2))*$D112^2*(Z$4+2)^2+(Z$7*$AU112^(-6*Z$4-6))*$D112^3*(Z$4+3)^2+(Z$8*$AU112^(-8*Z$4-12))*$D112^4*(Z$4+4)^2+(Z$9*$AU112^(-10*Z$4-20))*$D112^5*(Z$4+5)^2+(Z$10*$AU112^(-12*Z$4-30))*$D112^6*(Z$4+6)^2)/Q112))</f>
        <v/>
      </c>
      <c r="AL112" s="122" t="str">
        <f t="shared" ref="AL112:AL175" si="159">IF(G$11=0,"",IF($A112="","",0.5*G$11*$L112*(1*AA$4^2+(AA$5*$AU112^(-2*AA$4))*$D112*(AA$4+1)^2+(AA$6*$AU112^(-4*AA$4-2))*$D112^2*(AA$4+2)^2+(AA$7*$AU112^(-6*AA$4-6))*$D112^3*(AA$4+3)^2+(AA$8*$AU112^(-8*AA$4-12))*$D112^4*(AA$4+4)^2+(AA$9*$AU112^(-10*AA$4-20))*$D112^5*(AA$4+5)^2+(AA$10*$AU112^(-12*AA$4-30))*$D112^6*(AA$4+6)^2)/R112))</f>
        <v/>
      </c>
      <c r="AM112" s="122" t="str">
        <f t="shared" ref="AM112:AM175" si="160">IF(H$11=0,"",IF($A112="","",0.5*H$11*$L112*(1*AB$4^2+(AB$5*$AU112^(-2*AB$4))*$D112*(AB$4+1)^2+(AB$6*$AU112^(-4*AB$4-2))*$D112^2*(AB$4+2)^2+(AB$7*$AU112^(-6*AB$4-6))*$D112^3*(AB$4+3)^2+(AB$8*$AU112^(-8*AB$4-12))*$D112^4*(AB$4+4)^2+(AB$9*$AU112^(-10*AB$4-20))*$D112^5*(AB$4+5)^2+(AB$10*$AU112^(-12*AB$4-30))*$D112^6*(AB$4+6)^2)/S112))</f>
        <v/>
      </c>
      <c r="AN112" s="122" t="str">
        <f t="shared" ref="AN112:AN175" si="161">IF(B$18=0,"",IF($A112="","",0.5*B$18*$K112*(1*AC$4^2+(AC$5*$AU112^(-2*AC$4))*$D112*(AC$4+1)^2+(AC$6*$AU112^(-4*AC$4-2))*$D112^2*(AC$4+2)^2)/T112))</f>
        <v/>
      </c>
      <c r="AO112" s="122" t="str">
        <f t="shared" ref="AO112:AO175" si="162">IF(C$18=0,"",IF($A112="","",0.5*C$18*$K112*(1*AD$4^2+(AD$5*$AU112^(-2*AD$4))*$D112*(AD$4+1)^2+(AD$6*$AU112^(-4*AD$4-2))*$D112^2*(AD$4+2)^2)/U112))</f>
        <v/>
      </c>
      <c r="AP112" s="122" t="str">
        <f t="shared" ref="AP112:AP175" si="163">IF(D$18=0,"",IF($A112="","",0.5*D$18*$K112*(1*AE$4^2+(AE$5*$AU112^(-2*AE$4))*$D112*(AE$4+1)^2+(AE$6*$AU112^(-4*AE$4-2))*$D112^2*(AE$4+2)^2)/V112))</f>
        <v/>
      </c>
      <c r="AQ112" s="130" t="str">
        <f t="shared" ref="AQ112:AQ175" si="164">IF(A112="","",SUM(AG112:AP112)+0.5*(D112+ $AC$9/AU112^2/D112)+$L112*$S$16+$K112*$T$16)</f>
        <v/>
      </c>
      <c r="AR112" s="122" t="str">
        <f t="shared" ref="AR112:AR175" si="165">IF(A112="","",AQ112+$L112*S$14+$K112*$T$14)</f>
        <v/>
      </c>
      <c r="AS112" s="1001"/>
      <c r="AT112" s="442"/>
      <c r="AU112" s="131" t="str">
        <f t="shared" ref="AU112:AU175" si="166">IF(A112="","",10^(-$P$16*($AT112^0.5/(1+$AT112^0.5)-$P$17*$AT112)))</f>
        <v/>
      </c>
      <c r="AV112" s="17"/>
      <c r="AW112" s="124" t="str">
        <f t="shared" ref="AW112:AW175" si="167">IF(C112="","",C112-B112)</f>
        <v/>
      </c>
      <c r="AX112" s="16"/>
      <c r="AY112" s="26"/>
    </row>
    <row r="113" spans="2:51">
      <c r="B113" s="508"/>
      <c r="C113" s="124"/>
      <c r="D113" s="123" t="str">
        <f t="shared" si="126"/>
        <v/>
      </c>
      <c r="E113" s="123" t="str">
        <f t="shared" si="127"/>
        <v/>
      </c>
      <c r="F113" s="124" t="str">
        <f t="shared" si="128"/>
        <v/>
      </c>
      <c r="G113" s="122" t="str">
        <f t="shared" si="129"/>
        <v/>
      </c>
      <c r="H113" s="122" t="str">
        <f t="shared" si="120"/>
        <v/>
      </c>
      <c r="I113" s="123" t="str">
        <f t="shared" si="130"/>
        <v/>
      </c>
      <c r="J113" s="123" t="str">
        <f t="shared" si="131"/>
        <v/>
      </c>
      <c r="K113" s="124" t="str">
        <f t="shared" si="132"/>
        <v/>
      </c>
      <c r="L113" s="124" t="str">
        <f t="shared" si="133"/>
        <v/>
      </c>
      <c r="M113" s="122" t="str">
        <f t="shared" si="134"/>
        <v/>
      </c>
      <c r="N113" s="122" t="str">
        <f t="shared" si="135"/>
        <v/>
      </c>
      <c r="O113" s="122" t="str">
        <f t="shared" si="136"/>
        <v/>
      </c>
      <c r="P113" s="122" t="str">
        <f t="shared" si="137"/>
        <v/>
      </c>
      <c r="Q113" s="122" t="str">
        <f t="shared" si="138"/>
        <v/>
      </c>
      <c r="R113" s="122" t="str">
        <f t="shared" si="139"/>
        <v/>
      </c>
      <c r="S113" s="122" t="str">
        <f t="shared" si="140"/>
        <v/>
      </c>
      <c r="T113" s="122" t="str">
        <f t="shared" si="141"/>
        <v/>
      </c>
      <c r="U113" s="122" t="str">
        <f t="shared" si="142"/>
        <v/>
      </c>
      <c r="V113" s="122" t="str">
        <f t="shared" si="143"/>
        <v/>
      </c>
      <c r="W113" s="19" t="str">
        <f t="shared" si="144"/>
        <v/>
      </c>
      <c r="X113" s="19" t="str">
        <f t="shared" si="145"/>
        <v/>
      </c>
      <c r="Y113" s="19" t="str">
        <f t="shared" si="146"/>
        <v/>
      </c>
      <c r="Z113" s="19" t="str">
        <f t="shared" si="147"/>
        <v/>
      </c>
      <c r="AA113" s="19" t="str">
        <f t="shared" si="148"/>
        <v/>
      </c>
      <c r="AB113" s="19" t="str">
        <f t="shared" si="149"/>
        <v/>
      </c>
      <c r="AC113" s="19" t="str">
        <f t="shared" si="150"/>
        <v/>
      </c>
      <c r="AD113" s="19" t="str">
        <f t="shared" si="151"/>
        <v/>
      </c>
      <c r="AE113" s="19" t="str">
        <f t="shared" si="152"/>
        <v/>
      </c>
      <c r="AF113" s="19" t="str">
        <f t="shared" si="153"/>
        <v/>
      </c>
      <c r="AG113" s="122" t="str">
        <f t="shared" si="154"/>
        <v/>
      </c>
      <c r="AH113" s="122" t="str">
        <f t="shared" si="155"/>
        <v/>
      </c>
      <c r="AI113" s="122" t="str">
        <f t="shared" si="156"/>
        <v/>
      </c>
      <c r="AJ113" s="122" t="str">
        <f t="shared" si="157"/>
        <v/>
      </c>
      <c r="AK113" s="122" t="str">
        <f t="shared" si="158"/>
        <v/>
      </c>
      <c r="AL113" s="122" t="str">
        <f t="shared" si="159"/>
        <v/>
      </c>
      <c r="AM113" s="122" t="str">
        <f t="shared" si="160"/>
        <v/>
      </c>
      <c r="AN113" s="122" t="str">
        <f t="shared" si="161"/>
        <v/>
      </c>
      <c r="AO113" s="122" t="str">
        <f t="shared" si="162"/>
        <v/>
      </c>
      <c r="AP113" s="122" t="str">
        <f t="shared" si="163"/>
        <v/>
      </c>
      <c r="AQ113" s="130" t="str">
        <f t="shared" si="164"/>
        <v/>
      </c>
      <c r="AR113" s="122" t="str">
        <f t="shared" si="165"/>
        <v/>
      </c>
      <c r="AS113" s="1001"/>
      <c r="AT113" s="442"/>
      <c r="AU113" s="131" t="str">
        <f t="shared" si="166"/>
        <v/>
      </c>
      <c r="AV113" s="17"/>
      <c r="AW113" s="124" t="str">
        <f t="shared" si="167"/>
        <v/>
      </c>
      <c r="AX113" s="16"/>
      <c r="AY113" s="26"/>
    </row>
    <row r="114" spans="2:51">
      <c r="B114" s="508"/>
      <c r="C114" s="124"/>
      <c r="D114" s="123" t="str">
        <f t="shared" si="126"/>
        <v/>
      </c>
      <c r="E114" s="123" t="str">
        <f t="shared" si="127"/>
        <v/>
      </c>
      <c r="F114" s="124" t="str">
        <f t="shared" si="128"/>
        <v/>
      </c>
      <c r="G114" s="122" t="str">
        <f t="shared" si="129"/>
        <v/>
      </c>
      <c r="H114" s="122" t="str">
        <f t="shared" si="120"/>
        <v/>
      </c>
      <c r="I114" s="123" t="str">
        <f t="shared" si="130"/>
        <v/>
      </c>
      <c r="J114" s="123" t="str">
        <f t="shared" si="131"/>
        <v/>
      </c>
      <c r="K114" s="124" t="str">
        <f t="shared" si="132"/>
        <v/>
      </c>
      <c r="L114" s="124" t="str">
        <f t="shared" si="133"/>
        <v/>
      </c>
      <c r="M114" s="122" t="str">
        <f t="shared" si="134"/>
        <v/>
      </c>
      <c r="N114" s="122" t="str">
        <f t="shared" si="135"/>
        <v/>
      </c>
      <c r="O114" s="122" t="str">
        <f t="shared" si="136"/>
        <v/>
      </c>
      <c r="P114" s="122" t="str">
        <f t="shared" si="137"/>
        <v/>
      </c>
      <c r="Q114" s="122" t="str">
        <f t="shared" si="138"/>
        <v/>
      </c>
      <c r="R114" s="122" t="str">
        <f t="shared" si="139"/>
        <v/>
      </c>
      <c r="S114" s="122" t="str">
        <f t="shared" si="140"/>
        <v/>
      </c>
      <c r="T114" s="122" t="str">
        <f t="shared" si="141"/>
        <v/>
      </c>
      <c r="U114" s="122" t="str">
        <f t="shared" si="142"/>
        <v/>
      </c>
      <c r="V114" s="122" t="str">
        <f t="shared" si="143"/>
        <v/>
      </c>
      <c r="W114" s="19" t="str">
        <f t="shared" si="144"/>
        <v/>
      </c>
      <c r="X114" s="19" t="str">
        <f t="shared" si="145"/>
        <v/>
      </c>
      <c r="Y114" s="19" t="str">
        <f t="shared" si="146"/>
        <v/>
      </c>
      <c r="Z114" s="19" t="str">
        <f t="shared" si="147"/>
        <v/>
      </c>
      <c r="AA114" s="19" t="str">
        <f t="shared" si="148"/>
        <v/>
      </c>
      <c r="AB114" s="19" t="str">
        <f t="shared" si="149"/>
        <v/>
      </c>
      <c r="AC114" s="19" t="str">
        <f t="shared" si="150"/>
        <v/>
      </c>
      <c r="AD114" s="19" t="str">
        <f t="shared" si="151"/>
        <v/>
      </c>
      <c r="AE114" s="19" t="str">
        <f t="shared" si="152"/>
        <v/>
      </c>
      <c r="AF114" s="19" t="str">
        <f t="shared" si="153"/>
        <v/>
      </c>
      <c r="AG114" s="122" t="str">
        <f t="shared" si="154"/>
        <v/>
      </c>
      <c r="AH114" s="122" t="str">
        <f t="shared" si="155"/>
        <v/>
      </c>
      <c r="AI114" s="122" t="str">
        <f t="shared" si="156"/>
        <v/>
      </c>
      <c r="AJ114" s="122" t="str">
        <f t="shared" si="157"/>
        <v/>
      </c>
      <c r="AK114" s="122" t="str">
        <f t="shared" si="158"/>
        <v/>
      </c>
      <c r="AL114" s="122" t="str">
        <f t="shared" si="159"/>
        <v/>
      </c>
      <c r="AM114" s="122" t="str">
        <f t="shared" si="160"/>
        <v/>
      </c>
      <c r="AN114" s="122" t="str">
        <f t="shared" si="161"/>
        <v/>
      </c>
      <c r="AO114" s="122" t="str">
        <f t="shared" si="162"/>
        <v/>
      </c>
      <c r="AP114" s="122" t="str">
        <f t="shared" si="163"/>
        <v/>
      </c>
      <c r="AQ114" s="130" t="str">
        <f t="shared" si="164"/>
        <v/>
      </c>
      <c r="AR114" s="122" t="str">
        <f t="shared" si="165"/>
        <v/>
      </c>
      <c r="AS114" s="1001"/>
      <c r="AT114" s="442"/>
      <c r="AU114" s="131" t="str">
        <f t="shared" si="166"/>
        <v/>
      </c>
      <c r="AV114" s="17"/>
      <c r="AW114" s="124" t="str">
        <f t="shared" si="167"/>
        <v/>
      </c>
      <c r="AX114" s="16"/>
      <c r="AY114" s="26"/>
    </row>
    <row r="115" spans="2:51">
      <c r="B115" s="508"/>
      <c r="C115" s="124"/>
      <c r="D115" s="123" t="str">
        <f t="shared" si="126"/>
        <v/>
      </c>
      <c r="E115" s="123" t="str">
        <f t="shared" si="127"/>
        <v/>
      </c>
      <c r="F115" s="124" t="str">
        <f t="shared" si="128"/>
        <v/>
      </c>
      <c r="G115" s="122" t="str">
        <f t="shared" si="129"/>
        <v/>
      </c>
      <c r="H115" s="122" t="str">
        <f t="shared" si="120"/>
        <v/>
      </c>
      <c r="I115" s="123" t="str">
        <f t="shared" si="130"/>
        <v/>
      </c>
      <c r="J115" s="123" t="str">
        <f t="shared" si="131"/>
        <v/>
      </c>
      <c r="K115" s="124" t="str">
        <f t="shared" si="132"/>
        <v/>
      </c>
      <c r="L115" s="124" t="str">
        <f t="shared" si="133"/>
        <v/>
      </c>
      <c r="M115" s="122" t="str">
        <f t="shared" si="134"/>
        <v/>
      </c>
      <c r="N115" s="122" t="str">
        <f t="shared" si="135"/>
        <v/>
      </c>
      <c r="O115" s="122" t="str">
        <f t="shared" si="136"/>
        <v/>
      </c>
      <c r="P115" s="122" t="str">
        <f t="shared" si="137"/>
        <v/>
      </c>
      <c r="Q115" s="122" t="str">
        <f t="shared" si="138"/>
        <v/>
      </c>
      <c r="R115" s="122" t="str">
        <f t="shared" si="139"/>
        <v/>
      </c>
      <c r="S115" s="122" t="str">
        <f t="shared" si="140"/>
        <v/>
      </c>
      <c r="T115" s="122" t="str">
        <f t="shared" si="141"/>
        <v/>
      </c>
      <c r="U115" s="122" t="str">
        <f t="shared" si="142"/>
        <v/>
      </c>
      <c r="V115" s="122" t="str">
        <f t="shared" si="143"/>
        <v/>
      </c>
      <c r="W115" s="19" t="str">
        <f t="shared" si="144"/>
        <v/>
      </c>
      <c r="X115" s="19" t="str">
        <f t="shared" si="145"/>
        <v/>
      </c>
      <c r="Y115" s="19" t="str">
        <f t="shared" si="146"/>
        <v/>
      </c>
      <c r="Z115" s="19" t="str">
        <f t="shared" si="147"/>
        <v/>
      </c>
      <c r="AA115" s="19" t="str">
        <f t="shared" si="148"/>
        <v/>
      </c>
      <c r="AB115" s="19" t="str">
        <f t="shared" si="149"/>
        <v/>
      </c>
      <c r="AC115" s="19" t="str">
        <f t="shared" si="150"/>
        <v/>
      </c>
      <c r="AD115" s="19" t="str">
        <f t="shared" si="151"/>
        <v/>
      </c>
      <c r="AE115" s="19" t="str">
        <f t="shared" si="152"/>
        <v/>
      </c>
      <c r="AF115" s="19" t="str">
        <f t="shared" si="153"/>
        <v/>
      </c>
      <c r="AG115" s="122" t="str">
        <f t="shared" si="154"/>
        <v/>
      </c>
      <c r="AH115" s="122" t="str">
        <f t="shared" si="155"/>
        <v/>
      </c>
      <c r="AI115" s="122" t="str">
        <f t="shared" si="156"/>
        <v/>
      </c>
      <c r="AJ115" s="122" t="str">
        <f t="shared" si="157"/>
        <v/>
      </c>
      <c r="AK115" s="122" t="str">
        <f t="shared" si="158"/>
        <v/>
      </c>
      <c r="AL115" s="122" t="str">
        <f t="shared" si="159"/>
        <v/>
      </c>
      <c r="AM115" s="122" t="str">
        <f t="shared" si="160"/>
        <v/>
      </c>
      <c r="AN115" s="122" t="str">
        <f t="shared" si="161"/>
        <v/>
      </c>
      <c r="AO115" s="122" t="str">
        <f t="shared" si="162"/>
        <v/>
      </c>
      <c r="AP115" s="122" t="str">
        <f t="shared" si="163"/>
        <v/>
      </c>
      <c r="AQ115" s="130" t="str">
        <f t="shared" si="164"/>
        <v/>
      </c>
      <c r="AR115" s="122" t="str">
        <f t="shared" si="165"/>
        <v/>
      </c>
      <c r="AS115" s="1001"/>
      <c r="AT115" s="442"/>
      <c r="AU115" s="131" t="str">
        <f t="shared" si="166"/>
        <v/>
      </c>
      <c r="AV115" s="17"/>
      <c r="AW115" s="124" t="str">
        <f t="shared" si="167"/>
        <v/>
      </c>
      <c r="AX115" s="16"/>
      <c r="AY115" s="26"/>
    </row>
    <row r="116" spans="2:51">
      <c r="B116" s="508"/>
      <c r="C116" s="124"/>
      <c r="D116" s="123" t="str">
        <f t="shared" si="126"/>
        <v/>
      </c>
      <c r="E116" s="123" t="str">
        <f t="shared" si="127"/>
        <v/>
      </c>
      <c r="F116" s="124" t="str">
        <f t="shared" si="128"/>
        <v/>
      </c>
      <c r="G116" s="122" t="str">
        <f t="shared" si="129"/>
        <v/>
      </c>
      <c r="H116" s="122" t="str">
        <f t="shared" si="120"/>
        <v/>
      </c>
      <c r="I116" s="123" t="str">
        <f t="shared" si="130"/>
        <v/>
      </c>
      <c r="J116" s="123" t="str">
        <f t="shared" si="131"/>
        <v/>
      </c>
      <c r="K116" s="124" t="str">
        <f t="shared" si="132"/>
        <v/>
      </c>
      <c r="L116" s="124" t="str">
        <f t="shared" si="133"/>
        <v/>
      </c>
      <c r="M116" s="122" t="str">
        <f t="shared" si="134"/>
        <v/>
      </c>
      <c r="N116" s="122" t="str">
        <f t="shared" si="135"/>
        <v/>
      </c>
      <c r="O116" s="122" t="str">
        <f t="shared" si="136"/>
        <v/>
      </c>
      <c r="P116" s="122" t="str">
        <f t="shared" si="137"/>
        <v/>
      </c>
      <c r="Q116" s="122" t="str">
        <f t="shared" si="138"/>
        <v/>
      </c>
      <c r="R116" s="122" t="str">
        <f t="shared" si="139"/>
        <v/>
      </c>
      <c r="S116" s="122" t="str">
        <f t="shared" si="140"/>
        <v/>
      </c>
      <c r="T116" s="122" t="str">
        <f t="shared" si="141"/>
        <v/>
      </c>
      <c r="U116" s="122" t="str">
        <f t="shared" si="142"/>
        <v/>
      </c>
      <c r="V116" s="122" t="str">
        <f t="shared" si="143"/>
        <v/>
      </c>
      <c r="W116" s="19" t="str">
        <f t="shared" si="144"/>
        <v/>
      </c>
      <c r="X116" s="19" t="str">
        <f t="shared" si="145"/>
        <v/>
      </c>
      <c r="Y116" s="19" t="str">
        <f t="shared" si="146"/>
        <v/>
      </c>
      <c r="Z116" s="19" t="str">
        <f t="shared" si="147"/>
        <v/>
      </c>
      <c r="AA116" s="19" t="str">
        <f t="shared" si="148"/>
        <v/>
      </c>
      <c r="AB116" s="19" t="str">
        <f t="shared" si="149"/>
        <v/>
      </c>
      <c r="AC116" s="19" t="str">
        <f t="shared" si="150"/>
        <v/>
      </c>
      <c r="AD116" s="19" t="str">
        <f t="shared" si="151"/>
        <v/>
      </c>
      <c r="AE116" s="19" t="str">
        <f t="shared" si="152"/>
        <v/>
      </c>
      <c r="AF116" s="19" t="str">
        <f t="shared" si="153"/>
        <v/>
      </c>
      <c r="AG116" s="122" t="str">
        <f t="shared" si="154"/>
        <v/>
      </c>
      <c r="AH116" s="122" t="str">
        <f t="shared" si="155"/>
        <v/>
      </c>
      <c r="AI116" s="122" t="str">
        <f t="shared" si="156"/>
        <v/>
      </c>
      <c r="AJ116" s="122" t="str">
        <f t="shared" si="157"/>
        <v/>
      </c>
      <c r="AK116" s="122" t="str">
        <f t="shared" si="158"/>
        <v/>
      </c>
      <c r="AL116" s="122" t="str">
        <f t="shared" si="159"/>
        <v/>
      </c>
      <c r="AM116" s="122" t="str">
        <f t="shared" si="160"/>
        <v/>
      </c>
      <c r="AN116" s="122" t="str">
        <f t="shared" si="161"/>
        <v/>
      </c>
      <c r="AO116" s="122" t="str">
        <f t="shared" si="162"/>
        <v/>
      </c>
      <c r="AP116" s="122" t="str">
        <f t="shared" si="163"/>
        <v/>
      </c>
      <c r="AQ116" s="130" t="str">
        <f t="shared" si="164"/>
        <v/>
      </c>
      <c r="AR116" s="122" t="str">
        <f t="shared" si="165"/>
        <v/>
      </c>
      <c r="AS116" s="1001"/>
      <c r="AT116" s="442"/>
      <c r="AU116" s="131" t="str">
        <f t="shared" si="166"/>
        <v/>
      </c>
      <c r="AV116" s="17"/>
      <c r="AW116" s="124" t="str">
        <f t="shared" si="167"/>
        <v/>
      </c>
      <c r="AX116" s="16"/>
      <c r="AY116" s="26"/>
    </row>
    <row r="117" spans="2:51">
      <c r="B117" s="508"/>
      <c r="C117" s="124"/>
      <c r="D117" s="123" t="str">
        <f t="shared" si="126"/>
        <v/>
      </c>
      <c r="E117" s="123" t="str">
        <f t="shared" si="127"/>
        <v/>
      </c>
      <c r="F117" s="124" t="str">
        <f t="shared" si="128"/>
        <v/>
      </c>
      <c r="G117" s="122" t="str">
        <f t="shared" si="129"/>
        <v/>
      </c>
      <c r="H117" s="122" t="str">
        <f t="shared" si="120"/>
        <v/>
      </c>
      <c r="I117" s="123" t="str">
        <f t="shared" si="130"/>
        <v/>
      </c>
      <c r="J117" s="123" t="str">
        <f t="shared" si="131"/>
        <v/>
      </c>
      <c r="K117" s="124" t="str">
        <f t="shared" si="132"/>
        <v/>
      </c>
      <c r="L117" s="124" t="str">
        <f t="shared" si="133"/>
        <v/>
      </c>
      <c r="M117" s="122" t="str">
        <f t="shared" si="134"/>
        <v/>
      </c>
      <c r="N117" s="122" t="str">
        <f t="shared" si="135"/>
        <v/>
      </c>
      <c r="O117" s="122" t="str">
        <f t="shared" si="136"/>
        <v/>
      </c>
      <c r="P117" s="122" t="str">
        <f t="shared" si="137"/>
        <v/>
      </c>
      <c r="Q117" s="122" t="str">
        <f t="shared" si="138"/>
        <v/>
      </c>
      <c r="R117" s="122" t="str">
        <f t="shared" si="139"/>
        <v/>
      </c>
      <c r="S117" s="122" t="str">
        <f t="shared" si="140"/>
        <v/>
      </c>
      <c r="T117" s="122" t="str">
        <f t="shared" si="141"/>
        <v/>
      </c>
      <c r="U117" s="122" t="str">
        <f t="shared" si="142"/>
        <v/>
      </c>
      <c r="V117" s="122" t="str">
        <f t="shared" si="143"/>
        <v/>
      </c>
      <c r="W117" s="19" t="str">
        <f t="shared" si="144"/>
        <v/>
      </c>
      <c r="X117" s="19" t="str">
        <f t="shared" si="145"/>
        <v/>
      </c>
      <c r="Y117" s="19" t="str">
        <f t="shared" si="146"/>
        <v/>
      </c>
      <c r="Z117" s="19" t="str">
        <f t="shared" si="147"/>
        <v/>
      </c>
      <c r="AA117" s="19" t="str">
        <f t="shared" si="148"/>
        <v/>
      </c>
      <c r="AB117" s="19" t="str">
        <f t="shared" si="149"/>
        <v/>
      </c>
      <c r="AC117" s="19" t="str">
        <f t="shared" si="150"/>
        <v/>
      </c>
      <c r="AD117" s="19" t="str">
        <f t="shared" si="151"/>
        <v/>
      </c>
      <c r="AE117" s="19" t="str">
        <f t="shared" si="152"/>
        <v/>
      </c>
      <c r="AF117" s="19" t="str">
        <f t="shared" si="153"/>
        <v/>
      </c>
      <c r="AG117" s="122" t="str">
        <f t="shared" si="154"/>
        <v/>
      </c>
      <c r="AH117" s="122" t="str">
        <f t="shared" si="155"/>
        <v/>
      </c>
      <c r="AI117" s="122" t="str">
        <f t="shared" si="156"/>
        <v/>
      </c>
      <c r="AJ117" s="122" t="str">
        <f t="shared" si="157"/>
        <v/>
      </c>
      <c r="AK117" s="122" t="str">
        <f t="shared" si="158"/>
        <v/>
      </c>
      <c r="AL117" s="122" t="str">
        <f t="shared" si="159"/>
        <v/>
      </c>
      <c r="AM117" s="122" t="str">
        <f t="shared" si="160"/>
        <v/>
      </c>
      <c r="AN117" s="122" t="str">
        <f t="shared" si="161"/>
        <v/>
      </c>
      <c r="AO117" s="122" t="str">
        <f t="shared" si="162"/>
        <v/>
      </c>
      <c r="AP117" s="122" t="str">
        <f t="shared" si="163"/>
        <v/>
      </c>
      <c r="AQ117" s="130" t="str">
        <f t="shared" si="164"/>
        <v/>
      </c>
      <c r="AR117" s="122" t="str">
        <f t="shared" si="165"/>
        <v/>
      </c>
      <c r="AS117" s="1001"/>
      <c r="AT117" s="442"/>
      <c r="AU117" s="131" t="str">
        <f t="shared" si="166"/>
        <v/>
      </c>
      <c r="AV117" s="17"/>
      <c r="AW117" s="124" t="str">
        <f t="shared" si="167"/>
        <v/>
      </c>
      <c r="AX117" s="16"/>
      <c r="AY117" s="26"/>
    </row>
    <row r="118" spans="2:51">
      <c r="B118" s="508"/>
      <c r="C118" s="124"/>
      <c r="D118" s="123" t="str">
        <f t="shared" si="126"/>
        <v/>
      </c>
      <c r="E118" s="123" t="str">
        <f t="shared" si="127"/>
        <v/>
      </c>
      <c r="F118" s="124" t="str">
        <f t="shared" si="128"/>
        <v/>
      </c>
      <c r="G118" s="122" t="str">
        <f t="shared" si="129"/>
        <v/>
      </c>
      <c r="H118" s="122" t="str">
        <f t="shared" si="120"/>
        <v/>
      </c>
      <c r="I118" s="123" t="str">
        <f t="shared" si="130"/>
        <v/>
      </c>
      <c r="J118" s="123" t="str">
        <f t="shared" si="131"/>
        <v/>
      </c>
      <c r="K118" s="124" t="str">
        <f t="shared" si="132"/>
        <v/>
      </c>
      <c r="L118" s="124" t="str">
        <f t="shared" si="133"/>
        <v/>
      </c>
      <c r="M118" s="122" t="str">
        <f t="shared" si="134"/>
        <v/>
      </c>
      <c r="N118" s="122" t="str">
        <f t="shared" si="135"/>
        <v/>
      </c>
      <c r="O118" s="122" t="str">
        <f t="shared" si="136"/>
        <v/>
      </c>
      <c r="P118" s="122" t="str">
        <f t="shared" si="137"/>
        <v/>
      </c>
      <c r="Q118" s="122" t="str">
        <f t="shared" si="138"/>
        <v/>
      </c>
      <c r="R118" s="122" t="str">
        <f t="shared" si="139"/>
        <v/>
      </c>
      <c r="S118" s="122" t="str">
        <f t="shared" si="140"/>
        <v/>
      </c>
      <c r="T118" s="122" t="str">
        <f t="shared" si="141"/>
        <v/>
      </c>
      <c r="U118" s="122" t="str">
        <f t="shared" si="142"/>
        <v/>
      </c>
      <c r="V118" s="122" t="str">
        <f t="shared" si="143"/>
        <v/>
      </c>
      <c r="W118" s="19" t="str">
        <f t="shared" si="144"/>
        <v/>
      </c>
      <c r="X118" s="19" t="str">
        <f t="shared" si="145"/>
        <v/>
      </c>
      <c r="Y118" s="19" t="str">
        <f t="shared" si="146"/>
        <v/>
      </c>
      <c r="Z118" s="19" t="str">
        <f t="shared" si="147"/>
        <v/>
      </c>
      <c r="AA118" s="19" t="str">
        <f t="shared" si="148"/>
        <v/>
      </c>
      <c r="AB118" s="19" t="str">
        <f t="shared" si="149"/>
        <v/>
      </c>
      <c r="AC118" s="19" t="str">
        <f t="shared" si="150"/>
        <v/>
      </c>
      <c r="AD118" s="19" t="str">
        <f t="shared" si="151"/>
        <v/>
      </c>
      <c r="AE118" s="19" t="str">
        <f t="shared" si="152"/>
        <v/>
      </c>
      <c r="AF118" s="19" t="str">
        <f t="shared" si="153"/>
        <v/>
      </c>
      <c r="AG118" s="122" t="str">
        <f t="shared" si="154"/>
        <v/>
      </c>
      <c r="AH118" s="122" t="str">
        <f t="shared" si="155"/>
        <v/>
      </c>
      <c r="AI118" s="122" t="str">
        <f t="shared" si="156"/>
        <v/>
      </c>
      <c r="AJ118" s="122" t="str">
        <f t="shared" si="157"/>
        <v/>
      </c>
      <c r="AK118" s="122" t="str">
        <f t="shared" si="158"/>
        <v/>
      </c>
      <c r="AL118" s="122" t="str">
        <f t="shared" si="159"/>
        <v/>
      </c>
      <c r="AM118" s="122" t="str">
        <f t="shared" si="160"/>
        <v/>
      </c>
      <c r="AN118" s="122" t="str">
        <f t="shared" si="161"/>
        <v/>
      </c>
      <c r="AO118" s="122" t="str">
        <f t="shared" si="162"/>
        <v/>
      </c>
      <c r="AP118" s="122" t="str">
        <f t="shared" si="163"/>
        <v/>
      </c>
      <c r="AQ118" s="130" t="str">
        <f t="shared" si="164"/>
        <v/>
      </c>
      <c r="AR118" s="122" t="str">
        <f t="shared" si="165"/>
        <v/>
      </c>
      <c r="AS118" s="1001"/>
      <c r="AT118" s="442"/>
      <c r="AU118" s="131" t="str">
        <f t="shared" si="166"/>
        <v/>
      </c>
      <c r="AV118" s="17"/>
      <c r="AW118" s="124" t="str">
        <f t="shared" si="167"/>
        <v/>
      </c>
      <c r="AX118" s="16"/>
      <c r="AY118" s="26"/>
    </row>
    <row r="119" spans="2:51">
      <c r="B119" s="508"/>
      <c r="C119" s="124"/>
      <c r="D119" s="123" t="str">
        <f t="shared" si="126"/>
        <v/>
      </c>
      <c r="E119" s="123" t="str">
        <f t="shared" si="127"/>
        <v/>
      </c>
      <c r="F119" s="124" t="str">
        <f t="shared" si="128"/>
        <v/>
      </c>
      <c r="G119" s="122" t="str">
        <f t="shared" si="129"/>
        <v/>
      </c>
      <c r="H119" s="122" t="str">
        <f t="shared" si="120"/>
        <v/>
      </c>
      <c r="I119" s="123" t="str">
        <f t="shared" si="130"/>
        <v/>
      </c>
      <c r="J119" s="123" t="str">
        <f t="shared" si="131"/>
        <v/>
      </c>
      <c r="K119" s="124" t="str">
        <f t="shared" si="132"/>
        <v/>
      </c>
      <c r="L119" s="124" t="str">
        <f t="shared" si="133"/>
        <v/>
      </c>
      <c r="M119" s="122" t="str">
        <f t="shared" si="134"/>
        <v/>
      </c>
      <c r="N119" s="122" t="str">
        <f t="shared" si="135"/>
        <v/>
      </c>
      <c r="O119" s="122" t="str">
        <f t="shared" si="136"/>
        <v/>
      </c>
      <c r="P119" s="122" t="str">
        <f t="shared" si="137"/>
        <v/>
      </c>
      <c r="Q119" s="122" t="str">
        <f t="shared" si="138"/>
        <v/>
      </c>
      <c r="R119" s="122" t="str">
        <f t="shared" si="139"/>
        <v/>
      </c>
      <c r="S119" s="122" t="str">
        <f t="shared" si="140"/>
        <v/>
      </c>
      <c r="T119" s="122" t="str">
        <f t="shared" si="141"/>
        <v/>
      </c>
      <c r="U119" s="122" t="str">
        <f t="shared" si="142"/>
        <v/>
      </c>
      <c r="V119" s="122" t="str">
        <f t="shared" si="143"/>
        <v/>
      </c>
      <c r="W119" s="19" t="str">
        <f t="shared" si="144"/>
        <v/>
      </c>
      <c r="X119" s="19" t="str">
        <f t="shared" si="145"/>
        <v/>
      </c>
      <c r="Y119" s="19" t="str">
        <f t="shared" si="146"/>
        <v/>
      </c>
      <c r="Z119" s="19" t="str">
        <f t="shared" si="147"/>
        <v/>
      </c>
      <c r="AA119" s="19" t="str">
        <f t="shared" si="148"/>
        <v/>
      </c>
      <c r="AB119" s="19" t="str">
        <f t="shared" si="149"/>
        <v/>
      </c>
      <c r="AC119" s="19" t="str">
        <f t="shared" si="150"/>
        <v/>
      </c>
      <c r="AD119" s="19" t="str">
        <f t="shared" si="151"/>
        <v/>
      </c>
      <c r="AE119" s="19" t="str">
        <f t="shared" si="152"/>
        <v/>
      </c>
      <c r="AF119" s="19" t="str">
        <f t="shared" si="153"/>
        <v/>
      </c>
      <c r="AG119" s="122" t="str">
        <f t="shared" si="154"/>
        <v/>
      </c>
      <c r="AH119" s="122" t="str">
        <f t="shared" si="155"/>
        <v/>
      </c>
      <c r="AI119" s="122" t="str">
        <f t="shared" si="156"/>
        <v/>
      </c>
      <c r="AJ119" s="122" t="str">
        <f t="shared" si="157"/>
        <v/>
      </c>
      <c r="AK119" s="122" t="str">
        <f t="shared" si="158"/>
        <v/>
      </c>
      <c r="AL119" s="122" t="str">
        <f t="shared" si="159"/>
        <v/>
      </c>
      <c r="AM119" s="122" t="str">
        <f t="shared" si="160"/>
        <v/>
      </c>
      <c r="AN119" s="122" t="str">
        <f t="shared" si="161"/>
        <v/>
      </c>
      <c r="AO119" s="122" t="str">
        <f t="shared" si="162"/>
        <v/>
      </c>
      <c r="AP119" s="122" t="str">
        <f t="shared" si="163"/>
        <v/>
      </c>
      <c r="AQ119" s="130" t="str">
        <f t="shared" si="164"/>
        <v/>
      </c>
      <c r="AR119" s="122" t="str">
        <f t="shared" si="165"/>
        <v/>
      </c>
      <c r="AS119" s="1001"/>
      <c r="AT119" s="442"/>
      <c r="AU119" s="131" t="str">
        <f t="shared" si="166"/>
        <v/>
      </c>
      <c r="AV119" s="17"/>
      <c r="AW119" s="124" t="str">
        <f t="shared" si="167"/>
        <v/>
      </c>
      <c r="AX119" s="16"/>
      <c r="AY119" s="26"/>
    </row>
    <row r="120" spans="2:51">
      <c r="B120" s="508"/>
      <c r="C120" s="124"/>
      <c r="D120" s="123" t="str">
        <f t="shared" si="126"/>
        <v/>
      </c>
      <c r="E120" s="123" t="str">
        <f t="shared" si="127"/>
        <v/>
      </c>
      <c r="F120" s="124" t="str">
        <f t="shared" si="128"/>
        <v/>
      </c>
      <c r="G120" s="122" t="str">
        <f t="shared" si="129"/>
        <v/>
      </c>
      <c r="H120" s="122" t="str">
        <f t="shared" si="120"/>
        <v/>
      </c>
      <c r="I120" s="123" t="str">
        <f t="shared" si="130"/>
        <v/>
      </c>
      <c r="J120" s="123" t="str">
        <f t="shared" si="131"/>
        <v/>
      </c>
      <c r="K120" s="124" t="str">
        <f t="shared" si="132"/>
        <v/>
      </c>
      <c r="L120" s="124" t="str">
        <f t="shared" si="133"/>
        <v/>
      </c>
      <c r="M120" s="122" t="str">
        <f t="shared" si="134"/>
        <v/>
      </c>
      <c r="N120" s="122" t="str">
        <f t="shared" si="135"/>
        <v/>
      </c>
      <c r="O120" s="122" t="str">
        <f t="shared" si="136"/>
        <v/>
      </c>
      <c r="P120" s="122" t="str">
        <f t="shared" si="137"/>
        <v/>
      </c>
      <c r="Q120" s="122" t="str">
        <f t="shared" si="138"/>
        <v/>
      </c>
      <c r="R120" s="122" t="str">
        <f t="shared" si="139"/>
        <v/>
      </c>
      <c r="S120" s="122" t="str">
        <f t="shared" si="140"/>
        <v/>
      </c>
      <c r="T120" s="122" t="str">
        <f t="shared" si="141"/>
        <v/>
      </c>
      <c r="U120" s="122" t="str">
        <f t="shared" si="142"/>
        <v/>
      </c>
      <c r="V120" s="122" t="str">
        <f t="shared" si="143"/>
        <v/>
      </c>
      <c r="W120" s="19" t="str">
        <f t="shared" si="144"/>
        <v/>
      </c>
      <c r="X120" s="19" t="str">
        <f t="shared" si="145"/>
        <v/>
      </c>
      <c r="Y120" s="19" t="str">
        <f t="shared" si="146"/>
        <v/>
      </c>
      <c r="Z120" s="19" t="str">
        <f t="shared" si="147"/>
        <v/>
      </c>
      <c r="AA120" s="19" t="str">
        <f t="shared" si="148"/>
        <v/>
      </c>
      <c r="AB120" s="19" t="str">
        <f t="shared" si="149"/>
        <v/>
      </c>
      <c r="AC120" s="19" t="str">
        <f t="shared" si="150"/>
        <v/>
      </c>
      <c r="AD120" s="19" t="str">
        <f t="shared" si="151"/>
        <v/>
      </c>
      <c r="AE120" s="19" t="str">
        <f t="shared" si="152"/>
        <v/>
      </c>
      <c r="AF120" s="19" t="str">
        <f t="shared" si="153"/>
        <v/>
      </c>
      <c r="AG120" s="122" t="str">
        <f t="shared" si="154"/>
        <v/>
      </c>
      <c r="AH120" s="122" t="str">
        <f t="shared" si="155"/>
        <v/>
      </c>
      <c r="AI120" s="122" t="str">
        <f t="shared" si="156"/>
        <v/>
      </c>
      <c r="AJ120" s="122" t="str">
        <f t="shared" si="157"/>
        <v/>
      </c>
      <c r="AK120" s="122" t="str">
        <f t="shared" si="158"/>
        <v/>
      </c>
      <c r="AL120" s="122" t="str">
        <f t="shared" si="159"/>
        <v/>
      </c>
      <c r="AM120" s="122" t="str">
        <f t="shared" si="160"/>
        <v/>
      </c>
      <c r="AN120" s="122" t="str">
        <f t="shared" si="161"/>
        <v/>
      </c>
      <c r="AO120" s="122" t="str">
        <f t="shared" si="162"/>
        <v/>
      </c>
      <c r="AP120" s="122" t="str">
        <f t="shared" si="163"/>
        <v/>
      </c>
      <c r="AQ120" s="130" t="str">
        <f t="shared" si="164"/>
        <v/>
      </c>
      <c r="AR120" s="122" t="str">
        <f t="shared" si="165"/>
        <v/>
      </c>
      <c r="AS120" s="1001"/>
      <c r="AT120" s="442"/>
      <c r="AU120" s="131" t="str">
        <f t="shared" si="166"/>
        <v/>
      </c>
      <c r="AV120" s="17"/>
      <c r="AW120" s="124" t="str">
        <f t="shared" si="167"/>
        <v/>
      </c>
      <c r="AX120" s="16"/>
      <c r="AY120" s="26"/>
    </row>
    <row r="121" spans="2:51">
      <c r="B121" s="508"/>
      <c r="C121" s="124"/>
      <c r="D121" s="123" t="str">
        <f t="shared" si="126"/>
        <v/>
      </c>
      <c r="E121" s="123" t="str">
        <f t="shared" si="127"/>
        <v/>
      </c>
      <c r="F121" s="124" t="str">
        <f t="shared" si="128"/>
        <v/>
      </c>
      <c r="G121" s="122" t="str">
        <f t="shared" si="129"/>
        <v/>
      </c>
      <c r="H121" s="122" t="str">
        <f t="shared" si="120"/>
        <v/>
      </c>
      <c r="I121" s="123" t="str">
        <f t="shared" si="130"/>
        <v/>
      </c>
      <c r="J121" s="123" t="str">
        <f t="shared" si="131"/>
        <v/>
      </c>
      <c r="K121" s="124" t="str">
        <f t="shared" si="132"/>
        <v/>
      </c>
      <c r="L121" s="124" t="str">
        <f t="shared" si="133"/>
        <v/>
      </c>
      <c r="M121" s="122" t="str">
        <f t="shared" si="134"/>
        <v/>
      </c>
      <c r="N121" s="122" t="str">
        <f t="shared" si="135"/>
        <v/>
      </c>
      <c r="O121" s="122" t="str">
        <f t="shared" si="136"/>
        <v/>
      </c>
      <c r="P121" s="122" t="str">
        <f t="shared" si="137"/>
        <v/>
      </c>
      <c r="Q121" s="122" t="str">
        <f t="shared" si="138"/>
        <v/>
      </c>
      <c r="R121" s="122" t="str">
        <f t="shared" si="139"/>
        <v/>
      </c>
      <c r="S121" s="122" t="str">
        <f t="shared" si="140"/>
        <v/>
      </c>
      <c r="T121" s="122" t="str">
        <f t="shared" si="141"/>
        <v/>
      </c>
      <c r="U121" s="122" t="str">
        <f t="shared" si="142"/>
        <v/>
      </c>
      <c r="V121" s="122" t="str">
        <f t="shared" si="143"/>
        <v/>
      </c>
      <c r="W121" s="19" t="str">
        <f t="shared" si="144"/>
        <v/>
      </c>
      <c r="X121" s="19" t="str">
        <f t="shared" si="145"/>
        <v/>
      </c>
      <c r="Y121" s="19" t="str">
        <f t="shared" si="146"/>
        <v/>
      </c>
      <c r="Z121" s="19" t="str">
        <f t="shared" si="147"/>
        <v/>
      </c>
      <c r="AA121" s="19" t="str">
        <f t="shared" si="148"/>
        <v/>
      </c>
      <c r="AB121" s="19" t="str">
        <f t="shared" si="149"/>
        <v/>
      </c>
      <c r="AC121" s="19" t="str">
        <f t="shared" si="150"/>
        <v/>
      </c>
      <c r="AD121" s="19" t="str">
        <f t="shared" si="151"/>
        <v/>
      </c>
      <c r="AE121" s="19" t="str">
        <f t="shared" si="152"/>
        <v/>
      </c>
      <c r="AF121" s="19" t="str">
        <f t="shared" si="153"/>
        <v/>
      </c>
      <c r="AG121" s="122" t="str">
        <f t="shared" si="154"/>
        <v/>
      </c>
      <c r="AH121" s="122" t="str">
        <f t="shared" si="155"/>
        <v/>
      </c>
      <c r="AI121" s="122" t="str">
        <f t="shared" si="156"/>
        <v/>
      </c>
      <c r="AJ121" s="122" t="str">
        <f t="shared" si="157"/>
        <v/>
      </c>
      <c r="AK121" s="122" t="str">
        <f t="shared" si="158"/>
        <v/>
      </c>
      <c r="AL121" s="122" t="str">
        <f t="shared" si="159"/>
        <v/>
      </c>
      <c r="AM121" s="122" t="str">
        <f t="shared" si="160"/>
        <v/>
      </c>
      <c r="AN121" s="122" t="str">
        <f t="shared" si="161"/>
        <v/>
      </c>
      <c r="AO121" s="122" t="str">
        <f t="shared" si="162"/>
        <v/>
      </c>
      <c r="AP121" s="122" t="str">
        <f t="shared" si="163"/>
        <v/>
      </c>
      <c r="AQ121" s="130" t="str">
        <f t="shared" si="164"/>
        <v/>
      </c>
      <c r="AR121" s="122" t="str">
        <f t="shared" si="165"/>
        <v/>
      </c>
      <c r="AS121" s="1001"/>
      <c r="AT121" s="442"/>
      <c r="AU121" s="131" t="str">
        <f t="shared" si="166"/>
        <v/>
      </c>
      <c r="AV121" s="17"/>
      <c r="AW121" s="124" t="str">
        <f t="shared" si="167"/>
        <v/>
      </c>
      <c r="AX121" s="16"/>
      <c r="AY121" s="26"/>
    </row>
    <row r="122" spans="2:51">
      <c r="B122" s="508"/>
      <c r="C122" s="124"/>
      <c r="D122" s="123" t="str">
        <f t="shared" si="126"/>
        <v/>
      </c>
      <c r="E122" s="123" t="str">
        <f t="shared" si="127"/>
        <v/>
      </c>
      <c r="F122" s="124" t="str">
        <f t="shared" si="128"/>
        <v/>
      </c>
      <c r="G122" s="122" t="str">
        <f t="shared" si="129"/>
        <v/>
      </c>
      <c r="H122" s="122" t="str">
        <f t="shared" si="120"/>
        <v/>
      </c>
      <c r="I122" s="123" t="str">
        <f t="shared" si="130"/>
        <v/>
      </c>
      <c r="J122" s="123" t="str">
        <f t="shared" si="131"/>
        <v/>
      </c>
      <c r="K122" s="124" t="str">
        <f t="shared" si="132"/>
        <v/>
      </c>
      <c r="L122" s="124" t="str">
        <f t="shared" si="133"/>
        <v/>
      </c>
      <c r="M122" s="122" t="str">
        <f t="shared" si="134"/>
        <v/>
      </c>
      <c r="N122" s="122" t="str">
        <f t="shared" si="135"/>
        <v/>
      </c>
      <c r="O122" s="122" t="str">
        <f t="shared" si="136"/>
        <v/>
      </c>
      <c r="P122" s="122" t="str">
        <f t="shared" si="137"/>
        <v/>
      </c>
      <c r="Q122" s="122" t="str">
        <f t="shared" si="138"/>
        <v/>
      </c>
      <c r="R122" s="122" t="str">
        <f t="shared" si="139"/>
        <v/>
      </c>
      <c r="S122" s="122" t="str">
        <f t="shared" si="140"/>
        <v/>
      </c>
      <c r="T122" s="122" t="str">
        <f t="shared" si="141"/>
        <v/>
      </c>
      <c r="U122" s="122" t="str">
        <f t="shared" si="142"/>
        <v/>
      </c>
      <c r="V122" s="122" t="str">
        <f t="shared" si="143"/>
        <v/>
      </c>
      <c r="W122" s="19" t="str">
        <f t="shared" si="144"/>
        <v/>
      </c>
      <c r="X122" s="19" t="str">
        <f t="shared" si="145"/>
        <v/>
      </c>
      <c r="Y122" s="19" t="str">
        <f t="shared" si="146"/>
        <v/>
      </c>
      <c r="Z122" s="19" t="str">
        <f t="shared" si="147"/>
        <v/>
      </c>
      <c r="AA122" s="19" t="str">
        <f t="shared" si="148"/>
        <v/>
      </c>
      <c r="AB122" s="19" t="str">
        <f t="shared" si="149"/>
        <v/>
      </c>
      <c r="AC122" s="19" t="str">
        <f t="shared" si="150"/>
        <v/>
      </c>
      <c r="AD122" s="19" t="str">
        <f t="shared" si="151"/>
        <v/>
      </c>
      <c r="AE122" s="19" t="str">
        <f t="shared" si="152"/>
        <v/>
      </c>
      <c r="AF122" s="19" t="str">
        <f t="shared" si="153"/>
        <v/>
      </c>
      <c r="AG122" s="122" t="str">
        <f t="shared" si="154"/>
        <v/>
      </c>
      <c r="AH122" s="122" t="str">
        <f t="shared" si="155"/>
        <v/>
      </c>
      <c r="AI122" s="122" t="str">
        <f t="shared" si="156"/>
        <v/>
      </c>
      <c r="AJ122" s="122" t="str">
        <f t="shared" si="157"/>
        <v/>
      </c>
      <c r="AK122" s="122" t="str">
        <f t="shared" si="158"/>
        <v/>
      </c>
      <c r="AL122" s="122" t="str">
        <f t="shared" si="159"/>
        <v/>
      </c>
      <c r="AM122" s="122" t="str">
        <f t="shared" si="160"/>
        <v/>
      </c>
      <c r="AN122" s="122" t="str">
        <f t="shared" si="161"/>
        <v/>
      </c>
      <c r="AO122" s="122" t="str">
        <f t="shared" si="162"/>
        <v/>
      </c>
      <c r="AP122" s="122" t="str">
        <f t="shared" si="163"/>
        <v/>
      </c>
      <c r="AQ122" s="130" t="str">
        <f t="shared" si="164"/>
        <v/>
      </c>
      <c r="AR122" s="122" t="str">
        <f t="shared" si="165"/>
        <v/>
      </c>
      <c r="AS122" s="1001"/>
      <c r="AT122" s="442"/>
      <c r="AU122" s="131" t="str">
        <f t="shared" si="166"/>
        <v/>
      </c>
      <c r="AV122" s="17"/>
      <c r="AW122" s="124" t="str">
        <f t="shared" si="167"/>
        <v/>
      </c>
      <c r="AX122" s="16"/>
      <c r="AY122" s="26"/>
    </row>
    <row r="123" spans="2:51">
      <c r="B123" s="508"/>
      <c r="C123" s="124"/>
      <c r="D123" s="123" t="str">
        <f t="shared" si="126"/>
        <v/>
      </c>
      <c r="E123" s="123" t="str">
        <f t="shared" si="127"/>
        <v/>
      </c>
      <c r="F123" s="124" t="str">
        <f t="shared" si="128"/>
        <v/>
      </c>
      <c r="G123" s="122" t="str">
        <f t="shared" si="129"/>
        <v/>
      </c>
      <c r="H123" s="122" t="str">
        <f t="shared" si="120"/>
        <v/>
      </c>
      <c r="I123" s="123" t="str">
        <f t="shared" si="130"/>
        <v/>
      </c>
      <c r="J123" s="123" t="str">
        <f t="shared" si="131"/>
        <v/>
      </c>
      <c r="K123" s="124" t="str">
        <f t="shared" si="132"/>
        <v/>
      </c>
      <c r="L123" s="124" t="str">
        <f t="shared" si="133"/>
        <v/>
      </c>
      <c r="M123" s="122" t="str">
        <f t="shared" si="134"/>
        <v/>
      </c>
      <c r="N123" s="122" t="str">
        <f t="shared" si="135"/>
        <v/>
      </c>
      <c r="O123" s="122" t="str">
        <f t="shared" si="136"/>
        <v/>
      </c>
      <c r="P123" s="122" t="str">
        <f t="shared" si="137"/>
        <v/>
      </c>
      <c r="Q123" s="122" t="str">
        <f t="shared" si="138"/>
        <v/>
      </c>
      <c r="R123" s="122" t="str">
        <f t="shared" si="139"/>
        <v/>
      </c>
      <c r="S123" s="122" t="str">
        <f t="shared" si="140"/>
        <v/>
      </c>
      <c r="T123" s="122" t="str">
        <f t="shared" si="141"/>
        <v/>
      </c>
      <c r="U123" s="122" t="str">
        <f t="shared" si="142"/>
        <v/>
      </c>
      <c r="V123" s="122" t="str">
        <f t="shared" si="143"/>
        <v/>
      </c>
      <c r="W123" s="19" t="str">
        <f t="shared" si="144"/>
        <v/>
      </c>
      <c r="X123" s="19" t="str">
        <f t="shared" si="145"/>
        <v/>
      </c>
      <c r="Y123" s="19" t="str">
        <f t="shared" si="146"/>
        <v/>
      </c>
      <c r="Z123" s="19" t="str">
        <f t="shared" si="147"/>
        <v/>
      </c>
      <c r="AA123" s="19" t="str">
        <f t="shared" si="148"/>
        <v/>
      </c>
      <c r="AB123" s="19" t="str">
        <f t="shared" si="149"/>
        <v/>
      </c>
      <c r="AC123" s="19" t="str">
        <f t="shared" si="150"/>
        <v/>
      </c>
      <c r="AD123" s="19" t="str">
        <f t="shared" si="151"/>
        <v/>
      </c>
      <c r="AE123" s="19" t="str">
        <f t="shared" si="152"/>
        <v/>
      </c>
      <c r="AF123" s="19" t="str">
        <f t="shared" si="153"/>
        <v/>
      </c>
      <c r="AG123" s="122" t="str">
        <f t="shared" si="154"/>
        <v/>
      </c>
      <c r="AH123" s="122" t="str">
        <f t="shared" si="155"/>
        <v/>
      </c>
      <c r="AI123" s="122" t="str">
        <f t="shared" si="156"/>
        <v/>
      </c>
      <c r="AJ123" s="122" t="str">
        <f t="shared" si="157"/>
        <v/>
      </c>
      <c r="AK123" s="122" t="str">
        <f t="shared" si="158"/>
        <v/>
      </c>
      <c r="AL123" s="122" t="str">
        <f t="shared" si="159"/>
        <v/>
      </c>
      <c r="AM123" s="122" t="str">
        <f t="shared" si="160"/>
        <v/>
      </c>
      <c r="AN123" s="122" t="str">
        <f t="shared" si="161"/>
        <v/>
      </c>
      <c r="AO123" s="122" t="str">
        <f t="shared" si="162"/>
        <v/>
      </c>
      <c r="AP123" s="122" t="str">
        <f t="shared" si="163"/>
        <v/>
      </c>
      <c r="AQ123" s="130" t="str">
        <f t="shared" si="164"/>
        <v/>
      </c>
      <c r="AR123" s="122" t="str">
        <f t="shared" si="165"/>
        <v/>
      </c>
      <c r="AS123" s="1001"/>
      <c r="AT123" s="442"/>
      <c r="AU123" s="131" t="str">
        <f t="shared" si="166"/>
        <v/>
      </c>
      <c r="AV123" s="17"/>
      <c r="AW123" s="124" t="str">
        <f t="shared" si="167"/>
        <v/>
      </c>
      <c r="AX123" s="16"/>
      <c r="AY123" s="26"/>
    </row>
    <row r="124" spans="2:51">
      <c r="B124" s="508"/>
      <c r="C124" s="124"/>
      <c r="D124" s="123" t="str">
        <f t="shared" si="126"/>
        <v/>
      </c>
      <c r="E124" s="123" t="str">
        <f t="shared" si="127"/>
        <v/>
      </c>
      <c r="F124" s="124" t="str">
        <f t="shared" si="128"/>
        <v/>
      </c>
      <c r="G124" s="122" t="str">
        <f t="shared" si="129"/>
        <v/>
      </c>
      <c r="H124" s="122" t="str">
        <f t="shared" si="120"/>
        <v/>
      </c>
      <c r="I124" s="123" t="str">
        <f t="shared" si="130"/>
        <v/>
      </c>
      <c r="J124" s="123" t="str">
        <f t="shared" si="131"/>
        <v/>
      </c>
      <c r="K124" s="124" t="str">
        <f t="shared" si="132"/>
        <v/>
      </c>
      <c r="L124" s="124" t="str">
        <f t="shared" si="133"/>
        <v/>
      </c>
      <c r="M124" s="122" t="str">
        <f t="shared" si="134"/>
        <v/>
      </c>
      <c r="N124" s="122" t="str">
        <f t="shared" si="135"/>
        <v/>
      </c>
      <c r="O124" s="122" t="str">
        <f t="shared" si="136"/>
        <v/>
      </c>
      <c r="P124" s="122" t="str">
        <f t="shared" si="137"/>
        <v/>
      </c>
      <c r="Q124" s="122" t="str">
        <f t="shared" si="138"/>
        <v/>
      </c>
      <c r="R124" s="122" t="str">
        <f t="shared" si="139"/>
        <v/>
      </c>
      <c r="S124" s="122" t="str">
        <f t="shared" si="140"/>
        <v/>
      </c>
      <c r="T124" s="122" t="str">
        <f t="shared" si="141"/>
        <v/>
      </c>
      <c r="U124" s="122" t="str">
        <f t="shared" si="142"/>
        <v/>
      </c>
      <c r="V124" s="122" t="str">
        <f t="shared" si="143"/>
        <v/>
      </c>
      <c r="W124" s="19" t="str">
        <f t="shared" si="144"/>
        <v/>
      </c>
      <c r="X124" s="19" t="str">
        <f t="shared" si="145"/>
        <v/>
      </c>
      <c r="Y124" s="19" t="str">
        <f t="shared" si="146"/>
        <v/>
      </c>
      <c r="Z124" s="19" t="str">
        <f t="shared" si="147"/>
        <v/>
      </c>
      <c r="AA124" s="19" t="str">
        <f t="shared" si="148"/>
        <v/>
      </c>
      <c r="AB124" s="19" t="str">
        <f t="shared" si="149"/>
        <v/>
      </c>
      <c r="AC124" s="19" t="str">
        <f t="shared" si="150"/>
        <v/>
      </c>
      <c r="AD124" s="19" t="str">
        <f t="shared" si="151"/>
        <v/>
      </c>
      <c r="AE124" s="19" t="str">
        <f t="shared" si="152"/>
        <v/>
      </c>
      <c r="AF124" s="19" t="str">
        <f t="shared" si="153"/>
        <v/>
      </c>
      <c r="AG124" s="122" t="str">
        <f t="shared" si="154"/>
        <v/>
      </c>
      <c r="AH124" s="122" t="str">
        <f t="shared" si="155"/>
        <v/>
      </c>
      <c r="AI124" s="122" t="str">
        <f t="shared" si="156"/>
        <v/>
      </c>
      <c r="AJ124" s="122" t="str">
        <f t="shared" si="157"/>
        <v/>
      </c>
      <c r="AK124" s="122" t="str">
        <f t="shared" si="158"/>
        <v/>
      </c>
      <c r="AL124" s="122" t="str">
        <f t="shared" si="159"/>
        <v/>
      </c>
      <c r="AM124" s="122" t="str">
        <f t="shared" si="160"/>
        <v/>
      </c>
      <c r="AN124" s="122" t="str">
        <f t="shared" si="161"/>
        <v/>
      </c>
      <c r="AO124" s="122" t="str">
        <f t="shared" si="162"/>
        <v/>
      </c>
      <c r="AP124" s="122" t="str">
        <f t="shared" si="163"/>
        <v/>
      </c>
      <c r="AQ124" s="130" t="str">
        <f t="shared" si="164"/>
        <v/>
      </c>
      <c r="AR124" s="122" t="str">
        <f t="shared" si="165"/>
        <v/>
      </c>
      <c r="AS124" s="1001"/>
      <c r="AT124" s="442"/>
      <c r="AU124" s="131" t="str">
        <f t="shared" si="166"/>
        <v/>
      </c>
      <c r="AV124" s="17"/>
      <c r="AW124" s="124" t="str">
        <f t="shared" si="167"/>
        <v/>
      </c>
      <c r="AX124" s="16"/>
      <c r="AY124" s="26"/>
    </row>
    <row r="125" spans="2:51">
      <c r="B125" s="508"/>
      <c r="C125" s="124"/>
      <c r="D125" s="123" t="str">
        <f t="shared" si="126"/>
        <v/>
      </c>
      <c r="E125" s="123" t="str">
        <f t="shared" si="127"/>
        <v/>
      </c>
      <c r="F125" s="124" t="str">
        <f t="shared" si="128"/>
        <v/>
      </c>
      <c r="G125" s="122" t="str">
        <f t="shared" si="129"/>
        <v/>
      </c>
      <c r="H125" s="122" t="str">
        <f t="shared" si="120"/>
        <v/>
      </c>
      <c r="I125" s="123" t="str">
        <f t="shared" si="130"/>
        <v/>
      </c>
      <c r="J125" s="123" t="str">
        <f t="shared" si="131"/>
        <v/>
      </c>
      <c r="K125" s="124" t="str">
        <f t="shared" si="132"/>
        <v/>
      </c>
      <c r="L125" s="124" t="str">
        <f t="shared" si="133"/>
        <v/>
      </c>
      <c r="M125" s="122" t="str">
        <f t="shared" si="134"/>
        <v/>
      </c>
      <c r="N125" s="122" t="str">
        <f t="shared" si="135"/>
        <v/>
      </c>
      <c r="O125" s="122" t="str">
        <f t="shared" si="136"/>
        <v/>
      </c>
      <c r="P125" s="122" t="str">
        <f t="shared" si="137"/>
        <v/>
      </c>
      <c r="Q125" s="122" t="str">
        <f t="shared" si="138"/>
        <v/>
      </c>
      <c r="R125" s="122" t="str">
        <f t="shared" si="139"/>
        <v/>
      </c>
      <c r="S125" s="122" t="str">
        <f t="shared" si="140"/>
        <v/>
      </c>
      <c r="T125" s="122" t="str">
        <f t="shared" si="141"/>
        <v/>
      </c>
      <c r="U125" s="122" t="str">
        <f t="shared" si="142"/>
        <v/>
      </c>
      <c r="V125" s="122" t="str">
        <f t="shared" si="143"/>
        <v/>
      </c>
      <c r="W125" s="19" t="str">
        <f t="shared" si="144"/>
        <v/>
      </c>
      <c r="X125" s="19" t="str">
        <f t="shared" si="145"/>
        <v/>
      </c>
      <c r="Y125" s="19" t="str">
        <f t="shared" si="146"/>
        <v/>
      </c>
      <c r="Z125" s="19" t="str">
        <f t="shared" si="147"/>
        <v/>
      </c>
      <c r="AA125" s="19" t="str">
        <f t="shared" si="148"/>
        <v/>
      </c>
      <c r="AB125" s="19" t="str">
        <f t="shared" si="149"/>
        <v/>
      </c>
      <c r="AC125" s="19" t="str">
        <f t="shared" si="150"/>
        <v/>
      </c>
      <c r="AD125" s="19" t="str">
        <f t="shared" si="151"/>
        <v/>
      </c>
      <c r="AE125" s="19" t="str">
        <f t="shared" si="152"/>
        <v/>
      </c>
      <c r="AF125" s="19" t="str">
        <f t="shared" si="153"/>
        <v/>
      </c>
      <c r="AG125" s="122" t="str">
        <f t="shared" si="154"/>
        <v/>
      </c>
      <c r="AH125" s="122" t="str">
        <f t="shared" si="155"/>
        <v/>
      </c>
      <c r="AI125" s="122" t="str">
        <f t="shared" si="156"/>
        <v/>
      </c>
      <c r="AJ125" s="122" t="str">
        <f t="shared" si="157"/>
        <v/>
      </c>
      <c r="AK125" s="122" t="str">
        <f t="shared" si="158"/>
        <v/>
      </c>
      <c r="AL125" s="122" t="str">
        <f t="shared" si="159"/>
        <v/>
      </c>
      <c r="AM125" s="122" t="str">
        <f t="shared" si="160"/>
        <v/>
      </c>
      <c r="AN125" s="122" t="str">
        <f t="shared" si="161"/>
        <v/>
      </c>
      <c r="AO125" s="122" t="str">
        <f t="shared" si="162"/>
        <v/>
      </c>
      <c r="AP125" s="122" t="str">
        <f t="shared" si="163"/>
        <v/>
      </c>
      <c r="AQ125" s="130" t="str">
        <f t="shared" si="164"/>
        <v/>
      </c>
      <c r="AR125" s="122" t="str">
        <f t="shared" si="165"/>
        <v/>
      </c>
      <c r="AS125" s="1001"/>
      <c r="AT125" s="442"/>
      <c r="AU125" s="131" t="str">
        <f t="shared" si="166"/>
        <v/>
      </c>
      <c r="AV125" s="17"/>
      <c r="AW125" s="124" t="str">
        <f t="shared" si="167"/>
        <v/>
      </c>
      <c r="AX125" s="16"/>
      <c r="AY125" s="26"/>
    </row>
    <row r="126" spans="2:51">
      <c r="B126" s="508"/>
      <c r="C126" s="124"/>
      <c r="D126" s="123" t="str">
        <f t="shared" si="126"/>
        <v/>
      </c>
      <c r="E126" s="123" t="str">
        <f t="shared" si="127"/>
        <v/>
      </c>
      <c r="F126" s="124" t="str">
        <f t="shared" si="128"/>
        <v/>
      </c>
      <c r="G126" s="122" t="str">
        <f t="shared" si="129"/>
        <v/>
      </c>
      <c r="H126" s="122" t="str">
        <f t="shared" si="120"/>
        <v/>
      </c>
      <c r="I126" s="123" t="str">
        <f t="shared" si="130"/>
        <v/>
      </c>
      <c r="J126" s="123" t="str">
        <f t="shared" si="131"/>
        <v/>
      </c>
      <c r="K126" s="124" t="str">
        <f t="shared" si="132"/>
        <v/>
      </c>
      <c r="L126" s="124" t="str">
        <f t="shared" si="133"/>
        <v/>
      </c>
      <c r="M126" s="122" t="str">
        <f t="shared" si="134"/>
        <v/>
      </c>
      <c r="N126" s="122" t="str">
        <f t="shared" si="135"/>
        <v/>
      </c>
      <c r="O126" s="122" t="str">
        <f t="shared" si="136"/>
        <v/>
      </c>
      <c r="P126" s="122" t="str">
        <f t="shared" si="137"/>
        <v/>
      </c>
      <c r="Q126" s="122" t="str">
        <f t="shared" si="138"/>
        <v/>
      </c>
      <c r="R126" s="122" t="str">
        <f t="shared" si="139"/>
        <v/>
      </c>
      <c r="S126" s="122" t="str">
        <f t="shared" si="140"/>
        <v/>
      </c>
      <c r="T126" s="122" t="str">
        <f t="shared" si="141"/>
        <v/>
      </c>
      <c r="U126" s="122" t="str">
        <f t="shared" si="142"/>
        <v/>
      </c>
      <c r="V126" s="122" t="str">
        <f t="shared" si="143"/>
        <v/>
      </c>
      <c r="W126" s="19" t="str">
        <f t="shared" si="144"/>
        <v/>
      </c>
      <c r="X126" s="19" t="str">
        <f t="shared" si="145"/>
        <v/>
      </c>
      <c r="Y126" s="19" t="str">
        <f t="shared" si="146"/>
        <v/>
      </c>
      <c r="Z126" s="19" t="str">
        <f t="shared" si="147"/>
        <v/>
      </c>
      <c r="AA126" s="19" t="str">
        <f t="shared" si="148"/>
        <v/>
      </c>
      <c r="AB126" s="19" t="str">
        <f t="shared" si="149"/>
        <v/>
      </c>
      <c r="AC126" s="19" t="str">
        <f t="shared" si="150"/>
        <v/>
      </c>
      <c r="AD126" s="19" t="str">
        <f t="shared" si="151"/>
        <v/>
      </c>
      <c r="AE126" s="19" t="str">
        <f t="shared" si="152"/>
        <v/>
      </c>
      <c r="AF126" s="19" t="str">
        <f t="shared" si="153"/>
        <v/>
      </c>
      <c r="AG126" s="122" t="str">
        <f t="shared" si="154"/>
        <v/>
      </c>
      <c r="AH126" s="122" t="str">
        <f t="shared" si="155"/>
        <v/>
      </c>
      <c r="AI126" s="122" t="str">
        <f t="shared" si="156"/>
        <v/>
      </c>
      <c r="AJ126" s="122" t="str">
        <f t="shared" si="157"/>
        <v/>
      </c>
      <c r="AK126" s="122" t="str">
        <f t="shared" si="158"/>
        <v/>
      </c>
      <c r="AL126" s="122" t="str">
        <f t="shared" si="159"/>
        <v/>
      </c>
      <c r="AM126" s="122" t="str">
        <f t="shared" si="160"/>
        <v/>
      </c>
      <c r="AN126" s="122" t="str">
        <f t="shared" si="161"/>
        <v/>
      </c>
      <c r="AO126" s="122" t="str">
        <f t="shared" si="162"/>
        <v/>
      </c>
      <c r="AP126" s="122" t="str">
        <f t="shared" si="163"/>
        <v/>
      </c>
      <c r="AQ126" s="130" t="str">
        <f t="shared" si="164"/>
        <v/>
      </c>
      <c r="AR126" s="122" t="str">
        <f t="shared" si="165"/>
        <v/>
      </c>
      <c r="AS126" s="1001"/>
      <c r="AT126" s="442"/>
      <c r="AU126" s="131" t="str">
        <f t="shared" si="166"/>
        <v/>
      </c>
      <c r="AV126" s="17"/>
      <c r="AW126" s="124" t="str">
        <f t="shared" si="167"/>
        <v/>
      </c>
      <c r="AX126" s="16"/>
      <c r="AY126" s="26"/>
    </row>
    <row r="127" spans="2:51">
      <c r="B127" s="508"/>
      <c r="C127" s="124"/>
      <c r="D127" s="123" t="str">
        <f t="shared" si="126"/>
        <v/>
      </c>
      <c r="E127" s="123" t="str">
        <f t="shared" si="127"/>
        <v/>
      </c>
      <c r="F127" s="124" t="str">
        <f t="shared" si="128"/>
        <v/>
      </c>
      <c r="G127" s="122" t="str">
        <f t="shared" si="129"/>
        <v/>
      </c>
      <c r="H127" s="122" t="str">
        <f t="shared" si="120"/>
        <v/>
      </c>
      <c r="I127" s="123" t="str">
        <f t="shared" si="130"/>
        <v/>
      </c>
      <c r="J127" s="123" t="str">
        <f t="shared" si="131"/>
        <v/>
      </c>
      <c r="K127" s="124" t="str">
        <f t="shared" si="132"/>
        <v/>
      </c>
      <c r="L127" s="124" t="str">
        <f t="shared" si="133"/>
        <v/>
      </c>
      <c r="M127" s="122" t="str">
        <f t="shared" si="134"/>
        <v/>
      </c>
      <c r="N127" s="122" t="str">
        <f t="shared" si="135"/>
        <v/>
      </c>
      <c r="O127" s="122" t="str">
        <f t="shared" si="136"/>
        <v/>
      </c>
      <c r="P127" s="122" t="str">
        <f t="shared" si="137"/>
        <v/>
      </c>
      <c r="Q127" s="122" t="str">
        <f t="shared" si="138"/>
        <v/>
      </c>
      <c r="R127" s="122" t="str">
        <f t="shared" si="139"/>
        <v/>
      </c>
      <c r="S127" s="122" t="str">
        <f t="shared" si="140"/>
        <v/>
      </c>
      <c r="T127" s="122" t="str">
        <f t="shared" si="141"/>
        <v/>
      </c>
      <c r="U127" s="122" t="str">
        <f t="shared" si="142"/>
        <v/>
      </c>
      <c r="V127" s="122" t="str">
        <f t="shared" si="143"/>
        <v/>
      </c>
      <c r="W127" s="19" t="str">
        <f t="shared" si="144"/>
        <v/>
      </c>
      <c r="X127" s="19" t="str">
        <f t="shared" si="145"/>
        <v/>
      </c>
      <c r="Y127" s="19" t="str">
        <f t="shared" si="146"/>
        <v/>
      </c>
      <c r="Z127" s="19" t="str">
        <f t="shared" si="147"/>
        <v/>
      </c>
      <c r="AA127" s="19" t="str">
        <f t="shared" si="148"/>
        <v/>
      </c>
      <c r="AB127" s="19" t="str">
        <f t="shared" si="149"/>
        <v/>
      </c>
      <c r="AC127" s="19" t="str">
        <f t="shared" si="150"/>
        <v/>
      </c>
      <c r="AD127" s="19" t="str">
        <f t="shared" si="151"/>
        <v/>
      </c>
      <c r="AE127" s="19" t="str">
        <f t="shared" si="152"/>
        <v/>
      </c>
      <c r="AF127" s="19" t="str">
        <f t="shared" si="153"/>
        <v/>
      </c>
      <c r="AG127" s="122" t="str">
        <f t="shared" si="154"/>
        <v/>
      </c>
      <c r="AH127" s="122" t="str">
        <f t="shared" si="155"/>
        <v/>
      </c>
      <c r="AI127" s="122" t="str">
        <f t="shared" si="156"/>
        <v/>
      </c>
      <c r="AJ127" s="122" t="str">
        <f t="shared" si="157"/>
        <v/>
      </c>
      <c r="AK127" s="122" t="str">
        <f t="shared" si="158"/>
        <v/>
      </c>
      <c r="AL127" s="122" t="str">
        <f t="shared" si="159"/>
        <v/>
      </c>
      <c r="AM127" s="122" t="str">
        <f t="shared" si="160"/>
        <v/>
      </c>
      <c r="AN127" s="122" t="str">
        <f t="shared" si="161"/>
        <v/>
      </c>
      <c r="AO127" s="122" t="str">
        <f t="shared" si="162"/>
        <v/>
      </c>
      <c r="AP127" s="122" t="str">
        <f t="shared" si="163"/>
        <v/>
      </c>
      <c r="AQ127" s="130" t="str">
        <f t="shared" si="164"/>
        <v/>
      </c>
      <c r="AR127" s="122" t="str">
        <f t="shared" si="165"/>
        <v/>
      </c>
      <c r="AS127" s="1001"/>
      <c r="AT127" s="442"/>
      <c r="AU127" s="131" t="str">
        <f t="shared" si="166"/>
        <v/>
      </c>
      <c r="AV127" s="17"/>
      <c r="AW127" s="124" t="str">
        <f t="shared" si="167"/>
        <v/>
      </c>
      <c r="AX127" s="16"/>
      <c r="AY127" s="26"/>
    </row>
    <row r="128" spans="2:51">
      <c r="B128" s="508"/>
      <c r="C128" s="124"/>
      <c r="D128" s="123" t="str">
        <f t="shared" si="126"/>
        <v/>
      </c>
      <c r="E128" s="123" t="str">
        <f t="shared" si="127"/>
        <v/>
      </c>
      <c r="F128" s="124" t="str">
        <f t="shared" si="128"/>
        <v/>
      </c>
      <c r="G128" s="122" t="str">
        <f t="shared" si="129"/>
        <v/>
      </c>
      <c r="H128" s="122" t="str">
        <f t="shared" si="120"/>
        <v/>
      </c>
      <c r="I128" s="123" t="str">
        <f t="shared" si="130"/>
        <v/>
      </c>
      <c r="J128" s="123" t="str">
        <f t="shared" si="131"/>
        <v/>
      </c>
      <c r="K128" s="124" t="str">
        <f t="shared" si="132"/>
        <v/>
      </c>
      <c r="L128" s="124" t="str">
        <f t="shared" si="133"/>
        <v/>
      </c>
      <c r="M128" s="122" t="str">
        <f t="shared" si="134"/>
        <v/>
      </c>
      <c r="N128" s="122" t="str">
        <f t="shared" si="135"/>
        <v/>
      </c>
      <c r="O128" s="122" t="str">
        <f t="shared" si="136"/>
        <v/>
      </c>
      <c r="P128" s="122" t="str">
        <f t="shared" si="137"/>
        <v/>
      </c>
      <c r="Q128" s="122" t="str">
        <f t="shared" si="138"/>
        <v/>
      </c>
      <c r="R128" s="122" t="str">
        <f t="shared" si="139"/>
        <v/>
      </c>
      <c r="S128" s="122" t="str">
        <f t="shared" si="140"/>
        <v/>
      </c>
      <c r="T128" s="122" t="str">
        <f t="shared" si="141"/>
        <v/>
      </c>
      <c r="U128" s="122" t="str">
        <f t="shared" si="142"/>
        <v/>
      </c>
      <c r="V128" s="122" t="str">
        <f t="shared" si="143"/>
        <v/>
      </c>
      <c r="W128" s="19" t="str">
        <f t="shared" si="144"/>
        <v/>
      </c>
      <c r="X128" s="19" t="str">
        <f t="shared" si="145"/>
        <v/>
      </c>
      <c r="Y128" s="19" t="str">
        <f t="shared" si="146"/>
        <v/>
      </c>
      <c r="Z128" s="19" t="str">
        <f t="shared" si="147"/>
        <v/>
      </c>
      <c r="AA128" s="19" t="str">
        <f t="shared" si="148"/>
        <v/>
      </c>
      <c r="AB128" s="19" t="str">
        <f t="shared" si="149"/>
        <v/>
      </c>
      <c r="AC128" s="19" t="str">
        <f t="shared" si="150"/>
        <v/>
      </c>
      <c r="AD128" s="19" t="str">
        <f t="shared" si="151"/>
        <v/>
      </c>
      <c r="AE128" s="19" t="str">
        <f t="shared" si="152"/>
        <v/>
      </c>
      <c r="AF128" s="19" t="str">
        <f t="shared" si="153"/>
        <v/>
      </c>
      <c r="AG128" s="122" t="str">
        <f t="shared" si="154"/>
        <v/>
      </c>
      <c r="AH128" s="122" t="str">
        <f t="shared" si="155"/>
        <v/>
      </c>
      <c r="AI128" s="122" t="str">
        <f t="shared" si="156"/>
        <v/>
      </c>
      <c r="AJ128" s="122" t="str">
        <f t="shared" si="157"/>
        <v/>
      </c>
      <c r="AK128" s="122" t="str">
        <f t="shared" si="158"/>
        <v/>
      </c>
      <c r="AL128" s="122" t="str">
        <f t="shared" si="159"/>
        <v/>
      </c>
      <c r="AM128" s="122" t="str">
        <f t="shared" si="160"/>
        <v/>
      </c>
      <c r="AN128" s="122" t="str">
        <f t="shared" si="161"/>
        <v/>
      </c>
      <c r="AO128" s="122" t="str">
        <f t="shared" si="162"/>
        <v/>
      </c>
      <c r="AP128" s="122" t="str">
        <f t="shared" si="163"/>
        <v/>
      </c>
      <c r="AQ128" s="130" t="str">
        <f t="shared" si="164"/>
        <v/>
      </c>
      <c r="AR128" s="122" t="str">
        <f t="shared" si="165"/>
        <v/>
      </c>
      <c r="AS128" s="1001"/>
      <c r="AT128" s="442"/>
      <c r="AU128" s="131" t="str">
        <f t="shared" si="166"/>
        <v/>
      </c>
      <c r="AV128" s="17"/>
      <c r="AW128" s="124" t="str">
        <f t="shared" si="167"/>
        <v/>
      </c>
      <c r="AX128" s="16"/>
      <c r="AY128" s="26"/>
    </row>
    <row r="129" spans="2:51">
      <c r="B129" s="508"/>
      <c r="C129" s="124"/>
      <c r="D129" s="123" t="str">
        <f t="shared" si="126"/>
        <v/>
      </c>
      <c r="E129" s="123" t="str">
        <f t="shared" si="127"/>
        <v/>
      </c>
      <c r="F129" s="124" t="str">
        <f t="shared" si="128"/>
        <v/>
      </c>
      <c r="G129" s="122" t="str">
        <f t="shared" si="129"/>
        <v/>
      </c>
      <c r="H129" s="122" t="str">
        <f t="shared" si="120"/>
        <v/>
      </c>
      <c r="I129" s="123" t="str">
        <f t="shared" si="130"/>
        <v/>
      </c>
      <c r="J129" s="123" t="str">
        <f t="shared" si="131"/>
        <v/>
      </c>
      <c r="K129" s="124" t="str">
        <f t="shared" si="132"/>
        <v/>
      </c>
      <c r="L129" s="124" t="str">
        <f t="shared" si="133"/>
        <v/>
      </c>
      <c r="M129" s="122" t="str">
        <f t="shared" si="134"/>
        <v/>
      </c>
      <c r="N129" s="122" t="str">
        <f t="shared" si="135"/>
        <v/>
      </c>
      <c r="O129" s="122" t="str">
        <f t="shared" si="136"/>
        <v/>
      </c>
      <c r="P129" s="122" t="str">
        <f t="shared" si="137"/>
        <v/>
      </c>
      <c r="Q129" s="122" t="str">
        <f t="shared" si="138"/>
        <v/>
      </c>
      <c r="R129" s="122" t="str">
        <f t="shared" si="139"/>
        <v/>
      </c>
      <c r="S129" s="122" t="str">
        <f t="shared" si="140"/>
        <v/>
      </c>
      <c r="T129" s="122" t="str">
        <f t="shared" si="141"/>
        <v/>
      </c>
      <c r="U129" s="122" t="str">
        <f t="shared" si="142"/>
        <v/>
      </c>
      <c r="V129" s="122" t="str">
        <f t="shared" si="143"/>
        <v/>
      </c>
      <c r="W129" s="19" t="str">
        <f t="shared" si="144"/>
        <v/>
      </c>
      <c r="X129" s="19" t="str">
        <f t="shared" si="145"/>
        <v/>
      </c>
      <c r="Y129" s="19" t="str">
        <f t="shared" si="146"/>
        <v/>
      </c>
      <c r="Z129" s="19" t="str">
        <f t="shared" si="147"/>
        <v/>
      </c>
      <c r="AA129" s="19" t="str">
        <f t="shared" si="148"/>
        <v/>
      </c>
      <c r="AB129" s="19" t="str">
        <f t="shared" si="149"/>
        <v/>
      </c>
      <c r="AC129" s="19" t="str">
        <f t="shared" si="150"/>
        <v/>
      </c>
      <c r="AD129" s="19" t="str">
        <f t="shared" si="151"/>
        <v/>
      </c>
      <c r="AE129" s="19" t="str">
        <f t="shared" si="152"/>
        <v/>
      </c>
      <c r="AF129" s="19" t="str">
        <f t="shared" si="153"/>
        <v/>
      </c>
      <c r="AG129" s="122" t="str">
        <f t="shared" si="154"/>
        <v/>
      </c>
      <c r="AH129" s="122" t="str">
        <f t="shared" si="155"/>
        <v/>
      </c>
      <c r="AI129" s="122" t="str">
        <f t="shared" si="156"/>
        <v/>
      </c>
      <c r="AJ129" s="122" t="str">
        <f t="shared" si="157"/>
        <v/>
      </c>
      <c r="AK129" s="122" t="str">
        <f t="shared" si="158"/>
        <v/>
      </c>
      <c r="AL129" s="122" t="str">
        <f t="shared" si="159"/>
        <v/>
      </c>
      <c r="AM129" s="122" t="str">
        <f t="shared" si="160"/>
        <v/>
      </c>
      <c r="AN129" s="122" t="str">
        <f t="shared" si="161"/>
        <v/>
      </c>
      <c r="AO129" s="122" t="str">
        <f t="shared" si="162"/>
        <v/>
      </c>
      <c r="AP129" s="122" t="str">
        <f t="shared" si="163"/>
        <v/>
      </c>
      <c r="AQ129" s="130" t="str">
        <f t="shared" si="164"/>
        <v/>
      </c>
      <c r="AR129" s="122" t="str">
        <f t="shared" si="165"/>
        <v/>
      </c>
      <c r="AS129" s="1001"/>
      <c r="AT129" s="442"/>
      <c r="AU129" s="131" t="str">
        <f t="shared" si="166"/>
        <v/>
      </c>
      <c r="AV129" s="17"/>
      <c r="AW129" s="124" t="str">
        <f t="shared" si="167"/>
        <v/>
      </c>
      <c r="AX129" s="16"/>
      <c r="AY129" s="26"/>
    </row>
    <row r="130" spans="2:51">
      <c r="B130" s="508"/>
      <c r="C130" s="124"/>
      <c r="D130" s="123" t="str">
        <f t="shared" si="126"/>
        <v/>
      </c>
      <c r="E130" s="123" t="str">
        <f t="shared" si="127"/>
        <v/>
      </c>
      <c r="F130" s="124" t="str">
        <f t="shared" si="128"/>
        <v/>
      </c>
      <c r="G130" s="122" t="str">
        <f t="shared" si="129"/>
        <v/>
      </c>
      <c r="H130" s="122" t="str">
        <f t="shared" si="120"/>
        <v/>
      </c>
      <c r="I130" s="123" t="str">
        <f t="shared" si="130"/>
        <v/>
      </c>
      <c r="J130" s="123" t="str">
        <f t="shared" si="131"/>
        <v/>
      </c>
      <c r="K130" s="124" t="str">
        <f t="shared" si="132"/>
        <v/>
      </c>
      <c r="L130" s="124" t="str">
        <f t="shared" si="133"/>
        <v/>
      </c>
      <c r="M130" s="122" t="str">
        <f t="shared" si="134"/>
        <v/>
      </c>
      <c r="N130" s="122" t="str">
        <f t="shared" si="135"/>
        <v/>
      </c>
      <c r="O130" s="122" t="str">
        <f t="shared" si="136"/>
        <v/>
      </c>
      <c r="P130" s="122" t="str">
        <f t="shared" si="137"/>
        <v/>
      </c>
      <c r="Q130" s="122" t="str">
        <f t="shared" si="138"/>
        <v/>
      </c>
      <c r="R130" s="122" t="str">
        <f t="shared" si="139"/>
        <v/>
      </c>
      <c r="S130" s="122" t="str">
        <f t="shared" si="140"/>
        <v/>
      </c>
      <c r="T130" s="122" t="str">
        <f t="shared" si="141"/>
        <v/>
      </c>
      <c r="U130" s="122" t="str">
        <f t="shared" si="142"/>
        <v/>
      </c>
      <c r="V130" s="122" t="str">
        <f t="shared" si="143"/>
        <v/>
      </c>
      <c r="W130" s="19" t="str">
        <f t="shared" si="144"/>
        <v/>
      </c>
      <c r="X130" s="19" t="str">
        <f t="shared" si="145"/>
        <v/>
      </c>
      <c r="Y130" s="19" t="str">
        <f t="shared" si="146"/>
        <v/>
      </c>
      <c r="Z130" s="19" t="str">
        <f t="shared" si="147"/>
        <v/>
      </c>
      <c r="AA130" s="19" t="str">
        <f t="shared" si="148"/>
        <v/>
      </c>
      <c r="AB130" s="19" t="str">
        <f t="shared" si="149"/>
        <v/>
      </c>
      <c r="AC130" s="19" t="str">
        <f t="shared" si="150"/>
        <v/>
      </c>
      <c r="AD130" s="19" t="str">
        <f t="shared" si="151"/>
        <v/>
      </c>
      <c r="AE130" s="19" t="str">
        <f t="shared" si="152"/>
        <v/>
      </c>
      <c r="AF130" s="19" t="str">
        <f t="shared" si="153"/>
        <v/>
      </c>
      <c r="AG130" s="122" t="str">
        <f t="shared" si="154"/>
        <v/>
      </c>
      <c r="AH130" s="122" t="str">
        <f t="shared" si="155"/>
        <v/>
      </c>
      <c r="AI130" s="122" t="str">
        <f t="shared" si="156"/>
        <v/>
      </c>
      <c r="AJ130" s="122" t="str">
        <f t="shared" si="157"/>
        <v/>
      </c>
      <c r="AK130" s="122" t="str">
        <f t="shared" si="158"/>
        <v/>
      </c>
      <c r="AL130" s="122" t="str">
        <f t="shared" si="159"/>
        <v/>
      </c>
      <c r="AM130" s="122" t="str">
        <f t="shared" si="160"/>
        <v/>
      </c>
      <c r="AN130" s="122" t="str">
        <f t="shared" si="161"/>
        <v/>
      </c>
      <c r="AO130" s="122" t="str">
        <f t="shared" si="162"/>
        <v/>
      </c>
      <c r="AP130" s="122" t="str">
        <f t="shared" si="163"/>
        <v/>
      </c>
      <c r="AQ130" s="130" t="str">
        <f t="shared" si="164"/>
        <v/>
      </c>
      <c r="AR130" s="122" t="str">
        <f t="shared" si="165"/>
        <v/>
      </c>
      <c r="AS130" s="1001"/>
      <c r="AT130" s="442"/>
      <c r="AU130" s="131" t="str">
        <f t="shared" si="166"/>
        <v/>
      </c>
      <c r="AV130" s="17"/>
      <c r="AW130" s="124" t="str">
        <f t="shared" si="167"/>
        <v/>
      </c>
      <c r="AX130" s="16"/>
      <c r="AY130" s="26"/>
    </row>
    <row r="131" spans="2:51">
      <c r="B131" s="508"/>
      <c r="C131" s="124"/>
      <c r="D131" s="123" t="str">
        <f t="shared" si="126"/>
        <v/>
      </c>
      <c r="E131" s="123" t="str">
        <f t="shared" si="127"/>
        <v/>
      </c>
      <c r="F131" s="124" t="str">
        <f t="shared" si="128"/>
        <v/>
      </c>
      <c r="G131" s="122" t="str">
        <f t="shared" si="129"/>
        <v/>
      </c>
      <c r="H131" s="122" t="str">
        <f t="shared" si="120"/>
        <v/>
      </c>
      <c r="I131" s="123" t="str">
        <f t="shared" si="130"/>
        <v/>
      </c>
      <c r="J131" s="123" t="str">
        <f t="shared" si="131"/>
        <v/>
      </c>
      <c r="K131" s="124" t="str">
        <f t="shared" si="132"/>
        <v/>
      </c>
      <c r="L131" s="124" t="str">
        <f t="shared" si="133"/>
        <v/>
      </c>
      <c r="M131" s="122" t="str">
        <f t="shared" si="134"/>
        <v/>
      </c>
      <c r="N131" s="122" t="str">
        <f t="shared" si="135"/>
        <v/>
      </c>
      <c r="O131" s="122" t="str">
        <f t="shared" si="136"/>
        <v/>
      </c>
      <c r="P131" s="122" t="str">
        <f t="shared" si="137"/>
        <v/>
      </c>
      <c r="Q131" s="122" t="str">
        <f t="shared" si="138"/>
        <v/>
      </c>
      <c r="R131" s="122" t="str">
        <f t="shared" si="139"/>
        <v/>
      </c>
      <c r="S131" s="122" t="str">
        <f t="shared" si="140"/>
        <v/>
      </c>
      <c r="T131" s="122" t="str">
        <f t="shared" si="141"/>
        <v/>
      </c>
      <c r="U131" s="122" t="str">
        <f t="shared" si="142"/>
        <v/>
      </c>
      <c r="V131" s="122" t="str">
        <f t="shared" si="143"/>
        <v/>
      </c>
      <c r="W131" s="19" t="str">
        <f t="shared" si="144"/>
        <v/>
      </c>
      <c r="X131" s="19" t="str">
        <f t="shared" si="145"/>
        <v/>
      </c>
      <c r="Y131" s="19" t="str">
        <f t="shared" si="146"/>
        <v/>
      </c>
      <c r="Z131" s="19" t="str">
        <f t="shared" si="147"/>
        <v/>
      </c>
      <c r="AA131" s="19" t="str">
        <f t="shared" si="148"/>
        <v/>
      </c>
      <c r="AB131" s="19" t="str">
        <f t="shared" si="149"/>
        <v/>
      </c>
      <c r="AC131" s="19" t="str">
        <f t="shared" si="150"/>
        <v/>
      </c>
      <c r="AD131" s="19" t="str">
        <f t="shared" si="151"/>
        <v/>
      </c>
      <c r="AE131" s="19" t="str">
        <f t="shared" si="152"/>
        <v/>
      </c>
      <c r="AF131" s="19" t="str">
        <f t="shared" si="153"/>
        <v/>
      </c>
      <c r="AG131" s="122" t="str">
        <f t="shared" si="154"/>
        <v/>
      </c>
      <c r="AH131" s="122" t="str">
        <f t="shared" si="155"/>
        <v/>
      </c>
      <c r="AI131" s="122" t="str">
        <f t="shared" si="156"/>
        <v/>
      </c>
      <c r="AJ131" s="122" t="str">
        <f t="shared" si="157"/>
        <v/>
      </c>
      <c r="AK131" s="122" t="str">
        <f t="shared" si="158"/>
        <v/>
      </c>
      <c r="AL131" s="122" t="str">
        <f t="shared" si="159"/>
        <v/>
      </c>
      <c r="AM131" s="122" t="str">
        <f t="shared" si="160"/>
        <v/>
      </c>
      <c r="AN131" s="122" t="str">
        <f t="shared" si="161"/>
        <v/>
      </c>
      <c r="AO131" s="122" t="str">
        <f t="shared" si="162"/>
        <v/>
      </c>
      <c r="AP131" s="122" t="str">
        <f t="shared" si="163"/>
        <v/>
      </c>
      <c r="AQ131" s="130" t="str">
        <f t="shared" si="164"/>
        <v/>
      </c>
      <c r="AR131" s="122" t="str">
        <f t="shared" si="165"/>
        <v/>
      </c>
      <c r="AS131" s="1001"/>
      <c r="AT131" s="442"/>
      <c r="AU131" s="131" t="str">
        <f t="shared" si="166"/>
        <v/>
      </c>
      <c r="AV131" s="17"/>
      <c r="AW131" s="124" t="str">
        <f t="shared" si="167"/>
        <v/>
      </c>
      <c r="AX131" s="16"/>
      <c r="AY131" s="26"/>
    </row>
    <row r="132" spans="2:51">
      <c r="B132" s="508"/>
      <c r="C132" s="124"/>
      <c r="D132" s="123" t="str">
        <f t="shared" si="126"/>
        <v/>
      </c>
      <c r="E132" s="123" t="str">
        <f t="shared" si="127"/>
        <v/>
      </c>
      <c r="F132" s="124" t="str">
        <f t="shared" si="128"/>
        <v/>
      </c>
      <c r="G132" s="122" t="str">
        <f t="shared" si="129"/>
        <v/>
      </c>
      <c r="H132" s="122" t="str">
        <f t="shared" si="120"/>
        <v/>
      </c>
      <c r="I132" s="123" t="str">
        <f t="shared" si="130"/>
        <v/>
      </c>
      <c r="J132" s="123" t="str">
        <f t="shared" si="131"/>
        <v/>
      </c>
      <c r="K132" s="124" t="str">
        <f t="shared" si="132"/>
        <v/>
      </c>
      <c r="L132" s="124" t="str">
        <f t="shared" si="133"/>
        <v/>
      </c>
      <c r="M132" s="122" t="str">
        <f t="shared" si="134"/>
        <v/>
      </c>
      <c r="N132" s="122" t="str">
        <f t="shared" si="135"/>
        <v/>
      </c>
      <c r="O132" s="122" t="str">
        <f t="shared" si="136"/>
        <v/>
      </c>
      <c r="P132" s="122" t="str">
        <f t="shared" si="137"/>
        <v/>
      </c>
      <c r="Q132" s="122" t="str">
        <f t="shared" si="138"/>
        <v/>
      </c>
      <c r="R132" s="122" t="str">
        <f t="shared" si="139"/>
        <v/>
      </c>
      <c r="S132" s="122" t="str">
        <f t="shared" si="140"/>
        <v/>
      </c>
      <c r="T132" s="122" t="str">
        <f t="shared" si="141"/>
        <v/>
      </c>
      <c r="U132" s="122" t="str">
        <f t="shared" si="142"/>
        <v/>
      </c>
      <c r="V132" s="122" t="str">
        <f t="shared" si="143"/>
        <v/>
      </c>
      <c r="W132" s="19" t="str">
        <f t="shared" si="144"/>
        <v/>
      </c>
      <c r="X132" s="19" t="str">
        <f t="shared" si="145"/>
        <v/>
      </c>
      <c r="Y132" s="19" t="str">
        <f t="shared" si="146"/>
        <v/>
      </c>
      <c r="Z132" s="19" t="str">
        <f t="shared" si="147"/>
        <v/>
      </c>
      <c r="AA132" s="19" t="str">
        <f t="shared" si="148"/>
        <v/>
      </c>
      <c r="AB132" s="19" t="str">
        <f t="shared" si="149"/>
        <v/>
      </c>
      <c r="AC132" s="19" t="str">
        <f t="shared" si="150"/>
        <v/>
      </c>
      <c r="AD132" s="19" t="str">
        <f t="shared" si="151"/>
        <v/>
      </c>
      <c r="AE132" s="19" t="str">
        <f t="shared" si="152"/>
        <v/>
      </c>
      <c r="AF132" s="19" t="str">
        <f t="shared" si="153"/>
        <v/>
      </c>
      <c r="AG132" s="122" t="str">
        <f t="shared" si="154"/>
        <v/>
      </c>
      <c r="AH132" s="122" t="str">
        <f t="shared" si="155"/>
        <v/>
      </c>
      <c r="AI132" s="122" t="str">
        <f t="shared" si="156"/>
        <v/>
      </c>
      <c r="AJ132" s="122" t="str">
        <f t="shared" si="157"/>
        <v/>
      </c>
      <c r="AK132" s="122" t="str">
        <f t="shared" si="158"/>
        <v/>
      </c>
      <c r="AL132" s="122" t="str">
        <f t="shared" si="159"/>
        <v/>
      </c>
      <c r="AM132" s="122" t="str">
        <f t="shared" si="160"/>
        <v/>
      </c>
      <c r="AN132" s="122" t="str">
        <f t="shared" si="161"/>
        <v/>
      </c>
      <c r="AO132" s="122" t="str">
        <f t="shared" si="162"/>
        <v/>
      </c>
      <c r="AP132" s="122" t="str">
        <f t="shared" si="163"/>
        <v/>
      </c>
      <c r="AQ132" s="130" t="str">
        <f t="shared" si="164"/>
        <v/>
      </c>
      <c r="AR132" s="122" t="str">
        <f t="shared" si="165"/>
        <v/>
      </c>
      <c r="AS132" s="1001"/>
      <c r="AT132" s="442"/>
      <c r="AU132" s="131" t="str">
        <f t="shared" si="166"/>
        <v/>
      </c>
      <c r="AV132" s="17"/>
      <c r="AW132" s="124" t="str">
        <f t="shared" si="167"/>
        <v/>
      </c>
      <c r="AX132" s="16"/>
      <c r="AY132" s="26"/>
    </row>
    <row r="133" spans="2:51">
      <c r="B133" s="508"/>
      <c r="C133" s="124"/>
      <c r="D133" s="123" t="str">
        <f t="shared" si="126"/>
        <v/>
      </c>
      <c r="E133" s="123" t="str">
        <f t="shared" si="127"/>
        <v/>
      </c>
      <c r="F133" s="124" t="str">
        <f t="shared" si="128"/>
        <v/>
      </c>
      <c r="G133" s="122" t="str">
        <f t="shared" si="129"/>
        <v/>
      </c>
      <c r="H133" s="122" t="str">
        <f t="shared" si="120"/>
        <v/>
      </c>
      <c r="I133" s="123" t="str">
        <f t="shared" si="130"/>
        <v/>
      </c>
      <c r="J133" s="123" t="str">
        <f t="shared" si="131"/>
        <v/>
      </c>
      <c r="K133" s="124" t="str">
        <f t="shared" si="132"/>
        <v/>
      </c>
      <c r="L133" s="124" t="str">
        <f t="shared" si="133"/>
        <v/>
      </c>
      <c r="M133" s="122" t="str">
        <f t="shared" si="134"/>
        <v/>
      </c>
      <c r="N133" s="122" t="str">
        <f t="shared" si="135"/>
        <v/>
      </c>
      <c r="O133" s="122" t="str">
        <f t="shared" si="136"/>
        <v/>
      </c>
      <c r="P133" s="122" t="str">
        <f t="shared" si="137"/>
        <v/>
      </c>
      <c r="Q133" s="122" t="str">
        <f t="shared" si="138"/>
        <v/>
      </c>
      <c r="R133" s="122" t="str">
        <f t="shared" si="139"/>
        <v/>
      </c>
      <c r="S133" s="122" t="str">
        <f t="shared" si="140"/>
        <v/>
      </c>
      <c r="T133" s="122" t="str">
        <f t="shared" si="141"/>
        <v/>
      </c>
      <c r="U133" s="122" t="str">
        <f t="shared" si="142"/>
        <v/>
      </c>
      <c r="V133" s="122" t="str">
        <f t="shared" si="143"/>
        <v/>
      </c>
      <c r="W133" s="19" t="str">
        <f t="shared" si="144"/>
        <v/>
      </c>
      <c r="X133" s="19" t="str">
        <f t="shared" si="145"/>
        <v/>
      </c>
      <c r="Y133" s="19" t="str">
        <f t="shared" si="146"/>
        <v/>
      </c>
      <c r="Z133" s="19" t="str">
        <f t="shared" si="147"/>
        <v/>
      </c>
      <c r="AA133" s="19" t="str">
        <f t="shared" si="148"/>
        <v/>
      </c>
      <c r="AB133" s="19" t="str">
        <f t="shared" si="149"/>
        <v/>
      </c>
      <c r="AC133" s="19" t="str">
        <f t="shared" si="150"/>
        <v/>
      </c>
      <c r="AD133" s="19" t="str">
        <f t="shared" si="151"/>
        <v/>
      </c>
      <c r="AE133" s="19" t="str">
        <f t="shared" si="152"/>
        <v/>
      </c>
      <c r="AF133" s="19" t="str">
        <f t="shared" si="153"/>
        <v/>
      </c>
      <c r="AG133" s="122" t="str">
        <f t="shared" si="154"/>
        <v/>
      </c>
      <c r="AH133" s="122" t="str">
        <f t="shared" si="155"/>
        <v/>
      </c>
      <c r="AI133" s="122" t="str">
        <f t="shared" si="156"/>
        <v/>
      </c>
      <c r="AJ133" s="122" t="str">
        <f t="shared" si="157"/>
        <v/>
      </c>
      <c r="AK133" s="122" t="str">
        <f t="shared" si="158"/>
        <v/>
      </c>
      <c r="AL133" s="122" t="str">
        <f t="shared" si="159"/>
        <v/>
      </c>
      <c r="AM133" s="122" t="str">
        <f t="shared" si="160"/>
        <v/>
      </c>
      <c r="AN133" s="122" t="str">
        <f t="shared" si="161"/>
        <v/>
      </c>
      <c r="AO133" s="122" t="str">
        <f t="shared" si="162"/>
        <v/>
      </c>
      <c r="AP133" s="122" t="str">
        <f t="shared" si="163"/>
        <v/>
      </c>
      <c r="AQ133" s="130" t="str">
        <f t="shared" si="164"/>
        <v/>
      </c>
      <c r="AR133" s="122" t="str">
        <f t="shared" si="165"/>
        <v/>
      </c>
      <c r="AS133" s="1001"/>
      <c r="AT133" s="442"/>
      <c r="AU133" s="131" t="str">
        <f t="shared" si="166"/>
        <v/>
      </c>
      <c r="AV133" s="17"/>
      <c r="AW133" s="124" t="str">
        <f t="shared" si="167"/>
        <v/>
      </c>
      <c r="AX133" s="16"/>
      <c r="AY133" s="26"/>
    </row>
    <row r="134" spans="2:51">
      <c r="B134" s="508"/>
      <c r="C134" s="124"/>
      <c r="D134" s="123" t="str">
        <f t="shared" si="126"/>
        <v/>
      </c>
      <c r="E134" s="123" t="str">
        <f t="shared" si="127"/>
        <v/>
      </c>
      <c r="F134" s="124" t="str">
        <f t="shared" si="128"/>
        <v/>
      </c>
      <c r="G134" s="122" t="str">
        <f t="shared" si="129"/>
        <v/>
      </c>
      <c r="H134" s="122" t="str">
        <f t="shared" si="120"/>
        <v/>
      </c>
      <c r="I134" s="123" t="str">
        <f t="shared" si="130"/>
        <v/>
      </c>
      <c r="J134" s="123" t="str">
        <f t="shared" si="131"/>
        <v/>
      </c>
      <c r="K134" s="124" t="str">
        <f t="shared" si="132"/>
        <v/>
      </c>
      <c r="L134" s="124" t="str">
        <f t="shared" si="133"/>
        <v/>
      </c>
      <c r="M134" s="122" t="str">
        <f t="shared" si="134"/>
        <v/>
      </c>
      <c r="N134" s="122" t="str">
        <f t="shared" si="135"/>
        <v/>
      </c>
      <c r="O134" s="122" t="str">
        <f t="shared" si="136"/>
        <v/>
      </c>
      <c r="P134" s="122" t="str">
        <f t="shared" si="137"/>
        <v/>
      </c>
      <c r="Q134" s="122" t="str">
        <f t="shared" si="138"/>
        <v/>
      </c>
      <c r="R134" s="122" t="str">
        <f t="shared" si="139"/>
        <v/>
      </c>
      <c r="S134" s="122" t="str">
        <f t="shared" si="140"/>
        <v/>
      </c>
      <c r="T134" s="122" t="str">
        <f t="shared" si="141"/>
        <v/>
      </c>
      <c r="U134" s="122" t="str">
        <f t="shared" si="142"/>
        <v/>
      </c>
      <c r="V134" s="122" t="str">
        <f t="shared" si="143"/>
        <v/>
      </c>
      <c r="W134" s="19" t="str">
        <f t="shared" si="144"/>
        <v/>
      </c>
      <c r="X134" s="19" t="str">
        <f t="shared" si="145"/>
        <v/>
      </c>
      <c r="Y134" s="19" t="str">
        <f t="shared" si="146"/>
        <v/>
      </c>
      <c r="Z134" s="19" t="str">
        <f t="shared" si="147"/>
        <v/>
      </c>
      <c r="AA134" s="19" t="str">
        <f t="shared" si="148"/>
        <v/>
      </c>
      <c r="AB134" s="19" t="str">
        <f t="shared" si="149"/>
        <v/>
      </c>
      <c r="AC134" s="19" t="str">
        <f t="shared" si="150"/>
        <v/>
      </c>
      <c r="AD134" s="19" t="str">
        <f t="shared" si="151"/>
        <v/>
      </c>
      <c r="AE134" s="19" t="str">
        <f t="shared" si="152"/>
        <v/>
      </c>
      <c r="AF134" s="19" t="str">
        <f t="shared" si="153"/>
        <v/>
      </c>
      <c r="AG134" s="122" t="str">
        <f t="shared" si="154"/>
        <v/>
      </c>
      <c r="AH134" s="122" t="str">
        <f t="shared" si="155"/>
        <v/>
      </c>
      <c r="AI134" s="122" t="str">
        <f t="shared" si="156"/>
        <v/>
      </c>
      <c r="AJ134" s="122" t="str">
        <f t="shared" si="157"/>
        <v/>
      </c>
      <c r="AK134" s="122" t="str">
        <f t="shared" si="158"/>
        <v/>
      </c>
      <c r="AL134" s="122" t="str">
        <f t="shared" si="159"/>
        <v/>
      </c>
      <c r="AM134" s="122" t="str">
        <f t="shared" si="160"/>
        <v/>
      </c>
      <c r="AN134" s="122" t="str">
        <f t="shared" si="161"/>
        <v/>
      </c>
      <c r="AO134" s="122" t="str">
        <f t="shared" si="162"/>
        <v/>
      </c>
      <c r="AP134" s="122" t="str">
        <f t="shared" si="163"/>
        <v/>
      </c>
      <c r="AQ134" s="130" t="str">
        <f t="shared" si="164"/>
        <v/>
      </c>
      <c r="AR134" s="122" t="str">
        <f t="shared" si="165"/>
        <v/>
      </c>
      <c r="AS134" s="1001"/>
      <c r="AT134" s="442"/>
      <c r="AU134" s="131" t="str">
        <f t="shared" si="166"/>
        <v/>
      </c>
      <c r="AV134" s="17"/>
      <c r="AW134" s="124" t="str">
        <f t="shared" si="167"/>
        <v/>
      </c>
      <c r="AX134" s="16"/>
      <c r="AY134" s="26"/>
    </row>
    <row r="135" spans="2:51">
      <c r="B135" s="508"/>
      <c r="C135" s="124"/>
      <c r="D135" s="123" t="str">
        <f t="shared" si="126"/>
        <v/>
      </c>
      <c r="E135" s="123" t="str">
        <f t="shared" si="127"/>
        <v/>
      </c>
      <c r="F135" s="124" t="str">
        <f t="shared" si="128"/>
        <v/>
      </c>
      <c r="G135" s="122" t="str">
        <f t="shared" si="129"/>
        <v/>
      </c>
      <c r="H135" s="122" t="str">
        <f t="shared" si="120"/>
        <v/>
      </c>
      <c r="I135" s="123" t="str">
        <f t="shared" si="130"/>
        <v/>
      </c>
      <c r="J135" s="123" t="str">
        <f t="shared" si="131"/>
        <v/>
      </c>
      <c r="K135" s="124" t="str">
        <f t="shared" si="132"/>
        <v/>
      </c>
      <c r="L135" s="124" t="str">
        <f t="shared" si="133"/>
        <v/>
      </c>
      <c r="M135" s="122" t="str">
        <f t="shared" si="134"/>
        <v/>
      </c>
      <c r="N135" s="122" t="str">
        <f t="shared" si="135"/>
        <v/>
      </c>
      <c r="O135" s="122" t="str">
        <f t="shared" si="136"/>
        <v/>
      </c>
      <c r="P135" s="122" t="str">
        <f t="shared" si="137"/>
        <v/>
      </c>
      <c r="Q135" s="122" t="str">
        <f t="shared" si="138"/>
        <v/>
      </c>
      <c r="R135" s="122" t="str">
        <f t="shared" si="139"/>
        <v/>
      </c>
      <c r="S135" s="122" t="str">
        <f t="shared" si="140"/>
        <v/>
      </c>
      <c r="T135" s="122" t="str">
        <f t="shared" si="141"/>
        <v/>
      </c>
      <c r="U135" s="122" t="str">
        <f t="shared" si="142"/>
        <v/>
      </c>
      <c r="V135" s="122" t="str">
        <f t="shared" si="143"/>
        <v/>
      </c>
      <c r="W135" s="19" t="str">
        <f t="shared" si="144"/>
        <v/>
      </c>
      <c r="X135" s="19" t="str">
        <f t="shared" si="145"/>
        <v/>
      </c>
      <c r="Y135" s="19" t="str">
        <f t="shared" si="146"/>
        <v/>
      </c>
      <c r="Z135" s="19" t="str">
        <f t="shared" si="147"/>
        <v/>
      </c>
      <c r="AA135" s="19" t="str">
        <f t="shared" si="148"/>
        <v/>
      </c>
      <c r="AB135" s="19" t="str">
        <f t="shared" si="149"/>
        <v/>
      </c>
      <c r="AC135" s="19" t="str">
        <f t="shared" si="150"/>
        <v/>
      </c>
      <c r="AD135" s="19" t="str">
        <f t="shared" si="151"/>
        <v/>
      </c>
      <c r="AE135" s="19" t="str">
        <f t="shared" si="152"/>
        <v/>
      </c>
      <c r="AF135" s="19" t="str">
        <f t="shared" si="153"/>
        <v/>
      </c>
      <c r="AG135" s="122" t="str">
        <f t="shared" si="154"/>
        <v/>
      </c>
      <c r="AH135" s="122" t="str">
        <f t="shared" si="155"/>
        <v/>
      </c>
      <c r="AI135" s="122" t="str">
        <f t="shared" si="156"/>
        <v/>
      </c>
      <c r="AJ135" s="122" t="str">
        <f t="shared" si="157"/>
        <v/>
      </c>
      <c r="AK135" s="122" t="str">
        <f t="shared" si="158"/>
        <v/>
      </c>
      <c r="AL135" s="122" t="str">
        <f t="shared" si="159"/>
        <v/>
      </c>
      <c r="AM135" s="122" t="str">
        <f t="shared" si="160"/>
        <v/>
      </c>
      <c r="AN135" s="122" t="str">
        <f t="shared" si="161"/>
        <v/>
      </c>
      <c r="AO135" s="122" t="str">
        <f t="shared" si="162"/>
        <v/>
      </c>
      <c r="AP135" s="122" t="str">
        <f t="shared" si="163"/>
        <v/>
      </c>
      <c r="AQ135" s="130" t="str">
        <f t="shared" si="164"/>
        <v/>
      </c>
      <c r="AR135" s="122" t="str">
        <f t="shared" si="165"/>
        <v/>
      </c>
      <c r="AS135" s="1001"/>
      <c r="AT135" s="442"/>
      <c r="AU135" s="131" t="str">
        <f t="shared" si="166"/>
        <v/>
      </c>
      <c r="AV135" s="17"/>
      <c r="AW135" s="124" t="str">
        <f t="shared" si="167"/>
        <v/>
      </c>
      <c r="AX135" s="16"/>
      <c r="AY135" s="26"/>
    </row>
    <row r="136" spans="2:51">
      <c r="B136" s="508"/>
      <c r="C136" s="124"/>
      <c r="D136" s="123" t="str">
        <f t="shared" si="126"/>
        <v/>
      </c>
      <c r="E136" s="123" t="str">
        <f t="shared" si="127"/>
        <v/>
      </c>
      <c r="F136" s="124" t="str">
        <f t="shared" si="128"/>
        <v/>
      </c>
      <c r="G136" s="122" t="str">
        <f t="shared" si="129"/>
        <v/>
      </c>
      <c r="H136" s="122" t="str">
        <f t="shared" si="120"/>
        <v/>
      </c>
      <c r="I136" s="123" t="str">
        <f t="shared" si="130"/>
        <v/>
      </c>
      <c r="J136" s="123" t="str">
        <f t="shared" si="131"/>
        <v/>
      </c>
      <c r="K136" s="124" t="str">
        <f t="shared" si="132"/>
        <v/>
      </c>
      <c r="L136" s="124" t="str">
        <f t="shared" si="133"/>
        <v/>
      </c>
      <c r="M136" s="122" t="str">
        <f t="shared" si="134"/>
        <v/>
      </c>
      <c r="N136" s="122" t="str">
        <f t="shared" si="135"/>
        <v/>
      </c>
      <c r="O136" s="122" t="str">
        <f t="shared" si="136"/>
        <v/>
      </c>
      <c r="P136" s="122" t="str">
        <f t="shared" si="137"/>
        <v/>
      </c>
      <c r="Q136" s="122" t="str">
        <f t="shared" si="138"/>
        <v/>
      </c>
      <c r="R136" s="122" t="str">
        <f t="shared" si="139"/>
        <v/>
      </c>
      <c r="S136" s="122" t="str">
        <f t="shared" si="140"/>
        <v/>
      </c>
      <c r="T136" s="122" t="str">
        <f t="shared" si="141"/>
        <v/>
      </c>
      <c r="U136" s="122" t="str">
        <f t="shared" si="142"/>
        <v/>
      </c>
      <c r="V136" s="122" t="str">
        <f t="shared" si="143"/>
        <v/>
      </c>
      <c r="W136" s="19" t="str">
        <f t="shared" si="144"/>
        <v/>
      </c>
      <c r="X136" s="19" t="str">
        <f t="shared" si="145"/>
        <v/>
      </c>
      <c r="Y136" s="19" t="str">
        <f t="shared" si="146"/>
        <v/>
      </c>
      <c r="Z136" s="19" t="str">
        <f t="shared" si="147"/>
        <v/>
      </c>
      <c r="AA136" s="19" t="str">
        <f t="shared" si="148"/>
        <v/>
      </c>
      <c r="AB136" s="19" t="str">
        <f t="shared" si="149"/>
        <v/>
      </c>
      <c r="AC136" s="19" t="str">
        <f t="shared" si="150"/>
        <v/>
      </c>
      <c r="AD136" s="19" t="str">
        <f t="shared" si="151"/>
        <v/>
      </c>
      <c r="AE136" s="19" t="str">
        <f t="shared" si="152"/>
        <v/>
      </c>
      <c r="AF136" s="19" t="str">
        <f t="shared" si="153"/>
        <v/>
      </c>
      <c r="AG136" s="122" t="str">
        <f t="shared" si="154"/>
        <v/>
      </c>
      <c r="AH136" s="122" t="str">
        <f t="shared" si="155"/>
        <v/>
      </c>
      <c r="AI136" s="122" t="str">
        <f t="shared" si="156"/>
        <v/>
      </c>
      <c r="AJ136" s="122" t="str">
        <f t="shared" si="157"/>
        <v/>
      </c>
      <c r="AK136" s="122" t="str">
        <f t="shared" si="158"/>
        <v/>
      </c>
      <c r="AL136" s="122" t="str">
        <f t="shared" si="159"/>
        <v/>
      </c>
      <c r="AM136" s="122" t="str">
        <f t="shared" si="160"/>
        <v/>
      </c>
      <c r="AN136" s="122" t="str">
        <f t="shared" si="161"/>
        <v/>
      </c>
      <c r="AO136" s="122" t="str">
        <f t="shared" si="162"/>
        <v/>
      </c>
      <c r="AP136" s="122" t="str">
        <f t="shared" si="163"/>
        <v/>
      </c>
      <c r="AQ136" s="130" t="str">
        <f t="shared" si="164"/>
        <v/>
      </c>
      <c r="AR136" s="122" t="str">
        <f t="shared" si="165"/>
        <v/>
      </c>
      <c r="AS136" s="1001"/>
      <c r="AT136" s="442"/>
      <c r="AU136" s="131" t="str">
        <f t="shared" si="166"/>
        <v/>
      </c>
      <c r="AV136" s="17"/>
      <c r="AW136" s="124" t="str">
        <f t="shared" si="167"/>
        <v/>
      </c>
      <c r="AX136" s="16"/>
      <c r="AY136" s="26"/>
    </row>
    <row r="137" spans="2:51">
      <c r="B137" s="508"/>
      <c r="C137" s="124"/>
      <c r="D137" s="123" t="str">
        <f t="shared" si="126"/>
        <v/>
      </c>
      <c r="E137" s="123" t="str">
        <f t="shared" si="127"/>
        <v/>
      </c>
      <c r="F137" s="124" t="str">
        <f t="shared" si="128"/>
        <v/>
      </c>
      <c r="G137" s="122" t="str">
        <f t="shared" si="129"/>
        <v/>
      </c>
      <c r="H137" s="122" t="str">
        <f t="shared" si="120"/>
        <v/>
      </c>
      <c r="I137" s="123" t="str">
        <f t="shared" si="130"/>
        <v/>
      </c>
      <c r="J137" s="123" t="str">
        <f t="shared" si="131"/>
        <v/>
      </c>
      <c r="K137" s="124" t="str">
        <f t="shared" si="132"/>
        <v/>
      </c>
      <c r="L137" s="124" t="str">
        <f t="shared" si="133"/>
        <v/>
      </c>
      <c r="M137" s="122" t="str">
        <f t="shared" si="134"/>
        <v/>
      </c>
      <c r="N137" s="122" t="str">
        <f t="shared" si="135"/>
        <v/>
      </c>
      <c r="O137" s="122" t="str">
        <f t="shared" si="136"/>
        <v/>
      </c>
      <c r="P137" s="122" t="str">
        <f t="shared" si="137"/>
        <v/>
      </c>
      <c r="Q137" s="122" t="str">
        <f t="shared" si="138"/>
        <v/>
      </c>
      <c r="R137" s="122" t="str">
        <f t="shared" si="139"/>
        <v/>
      </c>
      <c r="S137" s="122" t="str">
        <f t="shared" si="140"/>
        <v/>
      </c>
      <c r="T137" s="122" t="str">
        <f t="shared" si="141"/>
        <v/>
      </c>
      <c r="U137" s="122" t="str">
        <f t="shared" si="142"/>
        <v/>
      </c>
      <c r="V137" s="122" t="str">
        <f t="shared" si="143"/>
        <v/>
      </c>
      <c r="W137" s="19" t="str">
        <f t="shared" si="144"/>
        <v/>
      </c>
      <c r="X137" s="19" t="str">
        <f t="shared" si="145"/>
        <v/>
      </c>
      <c r="Y137" s="19" t="str">
        <f t="shared" si="146"/>
        <v/>
      </c>
      <c r="Z137" s="19" t="str">
        <f t="shared" si="147"/>
        <v/>
      </c>
      <c r="AA137" s="19" t="str">
        <f t="shared" si="148"/>
        <v/>
      </c>
      <c r="AB137" s="19" t="str">
        <f t="shared" si="149"/>
        <v/>
      </c>
      <c r="AC137" s="19" t="str">
        <f t="shared" si="150"/>
        <v/>
      </c>
      <c r="AD137" s="19" t="str">
        <f t="shared" si="151"/>
        <v/>
      </c>
      <c r="AE137" s="19" t="str">
        <f t="shared" si="152"/>
        <v/>
      </c>
      <c r="AF137" s="19" t="str">
        <f t="shared" si="153"/>
        <v/>
      </c>
      <c r="AG137" s="122" t="str">
        <f t="shared" si="154"/>
        <v/>
      </c>
      <c r="AH137" s="122" t="str">
        <f t="shared" si="155"/>
        <v/>
      </c>
      <c r="AI137" s="122" t="str">
        <f t="shared" si="156"/>
        <v/>
      </c>
      <c r="AJ137" s="122" t="str">
        <f t="shared" si="157"/>
        <v/>
      </c>
      <c r="AK137" s="122" t="str">
        <f t="shared" si="158"/>
        <v/>
      </c>
      <c r="AL137" s="122" t="str">
        <f t="shared" si="159"/>
        <v/>
      </c>
      <c r="AM137" s="122" t="str">
        <f t="shared" si="160"/>
        <v/>
      </c>
      <c r="AN137" s="122" t="str">
        <f t="shared" si="161"/>
        <v/>
      </c>
      <c r="AO137" s="122" t="str">
        <f t="shared" si="162"/>
        <v/>
      </c>
      <c r="AP137" s="122" t="str">
        <f t="shared" si="163"/>
        <v/>
      </c>
      <c r="AQ137" s="130" t="str">
        <f t="shared" si="164"/>
        <v/>
      </c>
      <c r="AR137" s="122" t="str">
        <f t="shared" si="165"/>
        <v/>
      </c>
      <c r="AS137" s="1001"/>
      <c r="AT137" s="442"/>
      <c r="AU137" s="131" t="str">
        <f t="shared" si="166"/>
        <v/>
      </c>
      <c r="AV137" s="17"/>
      <c r="AW137" s="124" t="str">
        <f t="shared" si="167"/>
        <v/>
      </c>
      <c r="AX137" s="16"/>
      <c r="AY137" s="26"/>
    </row>
    <row r="138" spans="2:51">
      <c r="B138" s="508"/>
      <c r="C138" s="124"/>
      <c r="D138" s="123" t="str">
        <f t="shared" si="126"/>
        <v/>
      </c>
      <c r="E138" s="123" t="str">
        <f t="shared" si="127"/>
        <v/>
      </c>
      <c r="F138" s="124" t="str">
        <f t="shared" si="128"/>
        <v/>
      </c>
      <c r="G138" s="122" t="str">
        <f t="shared" si="129"/>
        <v/>
      </c>
      <c r="H138" s="122" t="str">
        <f t="shared" si="120"/>
        <v/>
      </c>
      <c r="I138" s="123" t="str">
        <f t="shared" si="130"/>
        <v/>
      </c>
      <c r="J138" s="123" t="str">
        <f t="shared" si="131"/>
        <v/>
      </c>
      <c r="K138" s="124" t="str">
        <f t="shared" si="132"/>
        <v/>
      </c>
      <c r="L138" s="124" t="str">
        <f t="shared" si="133"/>
        <v/>
      </c>
      <c r="M138" s="122" t="str">
        <f t="shared" si="134"/>
        <v/>
      </c>
      <c r="N138" s="122" t="str">
        <f t="shared" si="135"/>
        <v/>
      </c>
      <c r="O138" s="122" t="str">
        <f t="shared" si="136"/>
        <v/>
      </c>
      <c r="P138" s="122" t="str">
        <f t="shared" si="137"/>
        <v/>
      </c>
      <c r="Q138" s="122" t="str">
        <f t="shared" si="138"/>
        <v/>
      </c>
      <c r="R138" s="122" t="str">
        <f t="shared" si="139"/>
        <v/>
      </c>
      <c r="S138" s="122" t="str">
        <f t="shared" si="140"/>
        <v/>
      </c>
      <c r="T138" s="122" t="str">
        <f t="shared" si="141"/>
        <v/>
      </c>
      <c r="U138" s="122" t="str">
        <f t="shared" si="142"/>
        <v/>
      </c>
      <c r="V138" s="122" t="str">
        <f t="shared" si="143"/>
        <v/>
      </c>
      <c r="W138" s="19" t="str">
        <f t="shared" si="144"/>
        <v/>
      </c>
      <c r="X138" s="19" t="str">
        <f t="shared" si="145"/>
        <v/>
      </c>
      <c r="Y138" s="19" t="str">
        <f t="shared" si="146"/>
        <v/>
      </c>
      <c r="Z138" s="19" t="str">
        <f t="shared" si="147"/>
        <v/>
      </c>
      <c r="AA138" s="19" t="str">
        <f t="shared" si="148"/>
        <v/>
      </c>
      <c r="AB138" s="19" t="str">
        <f t="shared" si="149"/>
        <v/>
      </c>
      <c r="AC138" s="19" t="str">
        <f t="shared" si="150"/>
        <v/>
      </c>
      <c r="AD138" s="19" t="str">
        <f t="shared" si="151"/>
        <v/>
      </c>
      <c r="AE138" s="19" t="str">
        <f t="shared" si="152"/>
        <v/>
      </c>
      <c r="AF138" s="19" t="str">
        <f t="shared" si="153"/>
        <v/>
      </c>
      <c r="AG138" s="122" t="str">
        <f t="shared" si="154"/>
        <v/>
      </c>
      <c r="AH138" s="122" t="str">
        <f t="shared" si="155"/>
        <v/>
      </c>
      <c r="AI138" s="122" t="str">
        <f t="shared" si="156"/>
        <v/>
      </c>
      <c r="AJ138" s="122" t="str">
        <f t="shared" si="157"/>
        <v/>
      </c>
      <c r="AK138" s="122" t="str">
        <f t="shared" si="158"/>
        <v/>
      </c>
      <c r="AL138" s="122" t="str">
        <f t="shared" si="159"/>
        <v/>
      </c>
      <c r="AM138" s="122" t="str">
        <f t="shared" si="160"/>
        <v/>
      </c>
      <c r="AN138" s="122" t="str">
        <f t="shared" si="161"/>
        <v/>
      </c>
      <c r="AO138" s="122" t="str">
        <f t="shared" si="162"/>
        <v/>
      </c>
      <c r="AP138" s="122" t="str">
        <f t="shared" si="163"/>
        <v/>
      </c>
      <c r="AQ138" s="130" t="str">
        <f t="shared" si="164"/>
        <v/>
      </c>
      <c r="AR138" s="122" t="str">
        <f t="shared" si="165"/>
        <v/>
      </c>
      <c r="AS138" s="1001"/>
      <c r="AT138" s="442"/>
      <c r="AU138" s="131" t="str">
        <f t="shared" si="166"/>
        <v/>
      </c>
      <c r="AV138" s="17"/>
      <c r="AW138" s="124" t="str">
        <f t="shared" si="167"/>
        <v/>
      </c>
      <c r="AX138" s="16"/>
      <c r="AY138" s="26"/>
    </row>
    <row r="139" spans="2:51">
      <c r="B139" s="508"/>
      <c r="C139" s="124"/>
      <c r="D139" s="123" t="str">
        <f t="shared" si="126"/>
        <v/>
      </c>
      <c r="E139" s="123" t="str">
        <f t="shared" si="127"/>
        <v/>
      </c>
      <c r="F139" s="124" t="str">
        <f t="shared" si="128"/>
        <v/>
      </c>
      <c r="G139" s="122" t="str">
        <f t="shared" si="129"/>
        <v/>
      </c>
      <c r="H139" s="122" t="str">
        <f t="shared" si="120"/>
        <v/>
      </c>
      <c r="I139" s="123" t="str">
        <f t="shared" si="130"/>
        <v/>
      </c>
      <c r="J139" s="123" t="str">
        <f t="shared" si="131"/>
        <v/>
      </c>
      <c r="K139" s="124" t="str">
        <f t="shared" si="132"/>
        <v/>
      </c>
      <c r="L139" s="124" t="str">
        <f t="shared" si="133"/>
        <v/>
      </c>
      <c r="M139" s="122" t="str">
        <f t="shared" si="134"/>
        <v/>
      </c>
      <c r="N139" s="122" t="str">
        <f t="shared" si="135"/>
        <v/>
      </c>
      <c r="O139" s="122" t="str">
        <f t="shared" si="136"/>
        <v/>
      </c>
      <c r="P139" s="122" t="str">
        <f t="shared" si="137"/>
        <v/>
      </c>
      <c r="Q139" s="122" t="str">
        <f t="shared" si="138"/>
        <v/>
      </c>
      <c r="R139" s="122" t="str">
        <f t="shared" si="139"/>
        <v/>
      </c>
      <c r="S139" s="122" t="str">
        <f t="shared" si="140"/>
        <v/>
      </c>
      <c r="T139" s="122" t="str">
        <f t="shared" si="141"/>
        <v/>
      </c>
      <c r="U139" s="122" t="str">
        <f t="shared" si="142"/>
        <v/>
      </c>
      <c r="V139" s="122" t="str">
        <f t="shared" si="143"/>
        <v/>
      </c>
      <c r="W139" s="19" t="str">
        <f t="shared" si="144"/>
        <v/>
      </c>
      <c r="X139" s="19" t="str">
        <f t="shared" si="145"/>
        <v/>
      </c>
      <c r="Y139" s="19" t="str">
        <f t="shared" si="146"/>
        <v/>
      </c>
      <c r="Z139" s="19" t="str">
        <f t="shared" si="147"/>
        <v/>
      </c>
      <c r="AA139" s="19" t="str">
        <f t="shared" si="148"/>
        <v/>
      </c>
      <c r="AB139" s="19" t="str">
        <f t="shared" si="149"/>
        <v/>
      </c>
      <c r="AC139" s="19" t="str">
        <f t="shared" si="150"/>
        <v/>
      </c>
      <c r="AD139" s="19" t="str">
        <f t="shared" si="151"/>
        <v/>
      </c>
      <c r="AE139" s="19" t="str">
        <f t="shared" si="152"/>
        <v/>
      </c>
      <c r="AF139" s="19" t="str">
        <f t="shared" si="153"/>
        <v/>
      </c>
      <c r="AG139" s="122" t="str">
        <f t="shared" si="154"/>
        <v/>
      </c>
      <c r="AH139" s="122" t="str">
        <f t="shared" si="155"/>
        <v/>
      </c>
      <c r="AI139" s="122" t="str">
        <f t="shared" si="156"/>
        <v/>
      </c>
      <c r="AJ139" s="122" t="str">
        <f t="shared" si="157"/>
        <v/>
      </c>
      <c r="AK139" s="122" t="str">
        <f t="shared" si="158"/>
        <v/>
      </c>
      <c r="AL139" s="122" t="str">
        <f t="shared" si="159"/>
        <v/>
      </c>
      <c r="AM139" s="122" t="str">
        <f t="shared" si="160"/>
        <v/>
      </c>
      <c r="AN139" s="122" t="str">
        <f t="shared" si="161"/>
        <v/>
      </c>
      <c r="AO139" s="122" t="str">
        <f t="shared" si="162"/>
        <v/>
      </c>
      <c r="AP139" s="122" t="str">
        <f t="shared" si="163"/>
        <v/>
      </c>
      <c r="AQ139" s="130" t="str">
        <f t="shared" si="164"/>
        <v/>
      </c>
      <c r="AR139" s="122" t="str">
        <f t="shared" si="165"/>
        <v/>
      </c>
      <c r="AS139" s="1001"/>
      <c r="AT139" s="442"/>
      <c r="AU139" s="131" t="str">
        <f t="shared" si="166"/>
        <v/>
      </c>
      <c r="AV139" s="17"/>
      <c r="AW139" s="124" t="str">
        <f t="shared" si="167"/>
        <v/>
      </c>
      <c r="AX139" s="16"/>
      <c r="AY139" s="26"/>
    </row>
    <row r="140" spans="2:51">
      <c r="B140" s="508"/>
      <c r="C140" s="124"/>
      <c r="D140" s="123" t="str">
        <f t="shared" si="126"/>
        <v/>
      </c>
      <c r="E140" s="123" t="str">
        <f t="shared" si="127"/>
        <v/>
      </c>
      <c r="F140" s="124" t="str">
        <f t="shared" si="128"/>
        <v/>
      </c>
      <c r="G140" s="122" t="str">
        <f t="shared" si="129"/>
        <v/>
      </c>
      <c r="H140" s="122" t="str">
        <f t="shared" si="120"/>
        <v/>
      </c>
      <c r="I140" s="123" t="str">
        <f t="shared" si="130"/>
        <v/>
      </c>
      <c r="J140" s="123" t="str">
        <f t="shared" si="131"/>
        <v/>
      </c>
      <c r="K140" s="124" t="str">
        <f t="shared" si="132"/>
        <v/>
      </c>
      <c r="L140" s="124" t="str">
        <f t="shared" si="133"/>
        <v/>
      </c>
      <c r="M140" s="122" t="str">
        <f t="shared" si="134"/>
        <v/>
      </c>
      <c r="N140" s="122" t="str">
        <f t="shared" si="135"/>
        <v/>
      </c>
      <c r="O140" s="122" t="str">
        <f t="shared" si="136"/>
        <v/>
      </c>
      <c r="P140" s="122" t="str">
        <f t="shared" si="137"/>
        <v/>
      </c>
      <c r="Q140" s="122" t="str">
        <f t="shared" si="138"/>
        <v/>
      </c>
      <c r="R140" s="122" t="str">
        <f t="shared" si="139"/>
        <v/>
      </c>
      <c r="S140" s="122" t="str">
        <f t="shared" si="140"/>
        <v/>
      </c>
      <c r="T140" s="122" t="str">
        <f t="shared" si="141"/>
        <v/>
      </c>
      <c r="U140" s="122" t="str">
        <f t="shared" si="142"/>
        <v/>
      </c>
      <c r="V140" s="122" t="str">
        <f t="shared" si="143"/>
        <v/>
      </c>
      <c r="W140" s="19" t="str">
        <f t="shared" si="144"/>
        <v/>
      </c>
      <c r="X140" s="19" t="str">
        <f t="shared" si="145"/>
        <v/>
      </c>
      <c r="Y140" s="19" t="str">
        <f t="shared" si="146"/>
        <v/>
      </c>
      <c r="Z140" s="19" t="str">
        <f t="shared" si="147"/>
        <v/>
      </c>
      <c r="AA140" s="19" t="str">
        <f t="shared" si="148"/>
        <v/>
      </c>
      <c r="AB140" s="19" t="str">
        <f t="shared" si="149"/>
        <v/>
      </c>
      <c r="AC140" s="19" t="str">
        <f t="shared" si="150"/>
        <v/>
      </c>
      <c r="AD140" s="19" t="str">
        <f t="shared" si="151"/>
        <v/>
      </c>
      <c r="AE140" s="19" t="str">
        <f t="shared" si="152"/>
        <v/>
      </c>
      <c r="AF140" s="19" t="str">
        <f t="shared" si="153"/>
        <v/>
      </c>
      <c r="AG140" s="122" t="str">
        <f t="shared" si="154"/>
        <v/>
      </c>
      <c r="AH140" s="122" t="str">
        <f t="shared" si="155"/>
        <v/>
      </c>
      <c r="AI140" s="122" t="str">
        <f t="shared" si="156"/>
        <v/>
      </c>
      <c r="AJ140" s="122" t="str">
        <f t="shared" si="157"/>
        <v/>
      </c>
      <c r="AK140" s="122" t="str">
        <f t="shared" si="158"/>
        <v/>
      </c>
      <c r="AL140" s="122" t="str">
        <f t="shared" si="159"/>
        <v/>
      </c>
      <c r="AM140" s="122" t="str">
        <f t="shared" si="160"/>
        <v/>
      </c>
      <c r="AN140" s="122" t="str">
        <f t="shared" si="161"/>
        <v/>
      </c>
      <c r="AO140" s="122" t="str">
        <f t="shared" si="162"/>
        <v/>
      </c>
      <c r="AP140" s="122" t="str">
        <f t="shared" si="163"/>
        <v/>
      </c>
      <c r="AQ140" s="130" t="str">
        <f t="shared" si="164"/>
        <v/>
      </c>
      <c r="AR140" s="122" t="str">
        <f t="shared" si="165"/>
        <v/>
      </c>
      <c r="AS140" s="1001"/>
      <c r="AT140" s="442"/>
      <c r="AU140" s="131" t="str">
        <f t="shared" si="166"/>
        <v/>
      </c>
      <c r="AV140" s="17"/>
      <c r="AW140" s="124" t="str">
        <f t="shared" si="167"/>
        <v/>
      </c>
      <c r="AX140" s="16"/>
      <c r="AY140" s="26"/>
    </row>
    <row r="141" spans="2:51">
      <c r="B141" s="508"/>
      <c r="C141" s="124"/>
      <c r="D141" s="123" t="str">
        <f t="shared" si="126"/>
        <v/>
      </c>
      <c r="E141" s="123" t="str">
        <f t="shared" si="127"/>
        <v/>
      </c>
      <c r="F141" s="124" t="str">
        <f t="shared" si="128"/>
        <v/>
      </c>
      <c r="G141" s="122" t="str">
        <f t="shared" si="129"/>
        <v/>
      </c>
      <c r="H141" s="122" t="str">
        <f t="shared" si="120"/>
        <v/>
      </c>
      <c r="I141" s="123" t="str">
        <f t="shared" si="130"/>
        <v/>
      </c>
      <c r="J141" s="123" t="str">
        <f t="shared" si="131"/>
        <v/>
      </c>
      <c r="K141" s="124" t="str">
        <f t="shared" si="132"/>
        <v/>
      </c>
      <c r="L141" s="124" t="str">
        <f t="shared" si="133"/>
        <v/>
      </c>
      <c r="M141" s="122" t="str">
        <f t="shared" si="134"/>
        <v/>
      </c>
      <c r="N141" s="122" t="str">
        <f t="shared" si="135"/>
        <v/>
      </c>
      <c r="O141" s="122" t="str">
        <f t="shared" si="136"/>
        <v/>
      </c>
      <c r="P141" s="122" t="str">
        <f t="shared" si="137"/>
        <v/>
      </c>
      <c r="Q141" s="122" t="str">
        <f t="shared" si="138"/>
        <v/>
      </c>
      <c r="R141" s="122" t="str">
        <f t="shared" si="139"/>
        <v/>
      </c>
      <c r="S141" s="122" t="str">
        <f t="shared" si="140"/>
        <v/>
      </c>
      <c r="T141" s="122" t="str">
        <f t="shared" si="141"/>
        <v/>
      </c>
      <c r="U141" s="122" t="str">
        <f t="shared" si="142"/>
        <v/>
      </c>
      <c r="V141" s="122" t="str">
        <f t="shared" si="143"/>
        <v/>
      </c>
      <c r="W141" s="19" t="str">
        <f t="shared" si="144"/>
        <v/>
      </c>
      <c r="X141" s="19" t="str">
        <f t="shared" si="145"/>
        <v/>
      </c>
      <c r="Y141" s="19" t="str">
        <f t="shared" si="146"/>
        <v/>
      </c>
      <c r="Z141" s="19" t="str">
        <f t="shared" si="147"/>
        <v/>
      </c>
      <c r="AA141" s="19" t="str">
        <f t="shared" si="148"/>
        <v/>
      </c>
      <c r="AB141" s="19" t="str">
        <f t="shared" si="149"/>
        <v/>
      </c>
      <c r="AC141" s="19" t="str">
        <f t="shared" si="150"/>
        <v/>
      </c>
      <c r="AD141" s="19" t="str">
        <f t="shared" si="151"/>
        <v/>
      </c>
      <c r="AE141" s="19" t="str">
        <f t="shared" si="152"/>
        <v/>
      </c>
      <c r="AF141" s="19" t="str">
        <f t="shared" si="153"/>
        <v/>
      </c>
      <c r="AG141" s="122" t="str">
        <f t="shared" si="154"/>
        <v/>
      </c>
      <c r="AH141" s="122" t="str">
        <f t="shared" si="155"/>
        <v/>
      </c>
      <c r="AI141" s="122" t="str">
        <f t="shared" si="156"/>
        <v/>
      </c>
      <c r="AJ141" s="122" t="str">
        <f t="shared" si="157"/>
        <v/>
      </c>
      <c r="AK141" s="122" t="str">
        <f t="shared" si="158"/>
        <v/>
      </c>
      <c r="AL141" s="122" t="str">
        <f t="shared" si="159"/>
        <v/>
      </c>
      <c r="AM141" s="122" t="str">
        <f t="shared" si="160"/>
        <v/>
      </c>
      <c r="AN141" s="122" t="str">
        <f t="shared" si="161"/>
        <v/>
      </c>
      <c r="AO141" s="122" t="str">
        <f t="shared" si="162"/>
        <v/>
      </c>
      <c r="AP141" s="122" t="str">
        <f t="shared" si="163"/>
        <v/>
      </c>
      <c r="AQ141" s="130" t="str">
        <f t="shared" si="164"/>
        <v/>
      </c>
      <c r="AR141" s="122" t="str">
        <f t="shared" si="165"/>
        <v/>
      </c>
      <c r="AS141" s="1001"/>
      <c r="AT141" s="442"/>
      <c r="AU141" s="131" t="str">
        <f t="shared" si="166"/>
        <v/>
      </c>
      <c r="AV141" s="17"/>
      <c r="AW141" s="124" t="str">
        <f t="shared" si="167"/>
        <v/>
      </c>
      <c r="AX141" s="16"/>
      <c r="AY141" s="26"/>
    </row>
    <row r="142" spans="2:51">
      <c r="B142" s="508"/>
      <c r="C142" s="124"/>
      <c r="D142" s="123" t="str">
        <f t="shared" si="126"/>
        <v/>
      </c>
      <c r="E142" s="123" t="str">
        <f t="shared" si="127"/>
        <v/>
      </c>
      <c r="F142" s="124" t="str">
        <f t="shared" si="128"/>
        <v/>
      </c>
      <c r="G142" s="122" t="str">
        <f t="shared" si="129"/>
        <v/>
      </c>
      <c r="H142" s="122" t="str">
        <f t="shared" si="120"/>
        <v/>
      </c>
      <c r="I142" s="123" t="str">
        <f t="shared" si="130"/>
        <v/>
      </c>
      <c r="J142" s="123" t="str">
        <f t="shared" si="131"/>
        <v/>
      </c>
      <c r="K142" s="124" t="str">
        <f t="shared" si="132"/>
        <v/>
      </c>
      <c r="L142" s="124" t="str">
        <f t="shared" si="133"/>
        <v/>
      </c>
      <c r="M142" s="122" t="str">
        <f t="shared" si="134"/>
        <v/>
      </c>
      <c r="N142" s="122" t="str">
        <f t="shared" si="135"/>
        <v/>
      </c>
      <c r="O142" s="122" t="str">
        <f t="shared" si="136"/>
        <v/>
      </c>
      <c r="P142" s="122" t="str">
        <f t="shared" si="137"/>
        <v/>
      </c>
      <c r="Q142" s="122" t="str">
        <f t="shared" si="138"/>
        <v/>
      </c>
      <c r="R142" s="122" t="str">
        <f t="shared" si="139"/>
        <v/>
      </c>
      <c r="S142" s="122" t="str">
        <f t="shared" si="140"/>
        <v/>
      </c>
      <c r="T142" s="122" t="str">
        <f t="shared" si="141"/>
        <v/>
      </c>
      <c r="U142" s="122" t="str">
        <f t="shared" si="142"/>
        <v/>
      </c>
      <c r="V142" s="122" t="str">
        <f t="shared" si="143"/>
        <v/>
      </c>
      <c r="W142" s="19" t="str">
        <f t="shared" si="144"/>
        <v/>
      </c>
      <c r="X142" s="19" t="str">
        <f t="shared" si="145"/>
        <v/>
      </c>
      <c r="Y142" s="19" t="str">
        <f t="shared" si="146"/>
        <v/>
      </c>
      <c r="Z142" s="19" t="str">
        <f t="shared" si="147"/>
        <v/>
      </c>
      <c r="AA142" s="19" t="str">
        <f t="shared" si="148"/>
        <v/>
      </c>
      <c r="AB142" s="19" t="str">
        <f t="shared" si="149"/>
        <v/>
      </c>
      <c r="AC142" s="19" t="str">
        <f t="shared" si="150"/>
        <v/>
      </c>
      <c r="AD142" s="19" t="str">
        <f t="shared" si="151"/>
        <v/>
      </c>
      <c r="AE142" s="19" t="str">
        <f t="shared" si="152"/>
        <v/>
      </c>
      <c r="AF142" s="19" t="str">
        <f t="shared" si="153"/>
        <v/>
      </c>
      <c r="AG142" s="122" t="str">
        <f t="shared" si="154"/>
        <v/>
      </c>
      <c r="AH142" s="122" t="str">
        <f t="shared" si="155"/>
        <v/>
      </c>
      <c r="AI142" s="122" t="str">
        <f t="shared" si="156"/>
        <v/>
      </c>
      <c r="AJ142" s="122" t="str">
        <f t="shared" si="157"/>
        <v/>
      </c>
      <c r="AK142" s="122" t="str">
        <f t="shared" si="158"/>
        <v/>
      </c>
      <c r="AL142" s="122" t="str">
        <f t="shared" si="159"/>
        <v/>
      </c>
      <c r="AM142" s="122" t="str">
        <f t="shared" si="160"/>
        <v/>
      </c>
      <c r="AN142" s="122" t="str">
        <f t="shared" si="161"/>
        <v/>
      </c>
      <c r="AO142" s="122" t="str">
        <f t="shared" si="162"/>
        <v/>
      </c>
      <c r="AP142" s="122" t="str">
        <f t="shared" si="163"/>
        <v/>
      </c>
      <c r="AQ142" s="130" t="str">
        <f t="shared" si="164"/>
        <v/>
      </c>
      <c r="AR142" s="122" t="str">
        <f t="shared" si="165"/>
        <v/>
      </c>
      <c r="AS142" s="1001"/>
      <c r="AT142" s="442"/>
      <c r="AU142" s="131" t="str">
        <f t="shared" si="166"/>
        <v/>
      </c>
      <c r="AV142" s="17"/>
      <c r="AW142" s="124" t="str">
        <f t="shared" si="167"/>
        <v/>
      </c>
      <c r="AX142" s="16"/>
      <c r="AY142" s="26"/>
    </row>
    <row r="143" spans="2:51">
      <c r="B143" s="508"/>
      <c r="C143" s="124"/>
      <c r="D143" s="123" t="str">
        <f t="shared" si="126"/>
        <v/>
      </c>
      <c r="E143" s="123" t="str">
        <f t="shared" si="127"/>
        <v/>
      </c>
      <c r="F143" s="124" t="str">
        <f t="shared" si="128"/>
        <v/>
      </c>
      <c r="G143" s="122" t="str">
        <f t="shared" si="129"/>
        <v/>
      </c>
      <c r="H143" s="122" t="str">
        <f t="shared" si="120"/>
        <v/>
      </c>
      <c r="I143" s="123" t="str">
        <f t="shared" si="130"/>
        <v/>
      </c>
      <c r="J143" s="123" t="str">
        <f t="shared" si="131"/>
        <v/>
      </c>
      <c r="K143" s="124" t="str">
        <f t="shared" si="132"/>
        <v/>
      </c>
      <c r="L143" s="124" t="str">
        <f t="shared" si="133"/>
        <v/>
      </c>
      <c r="M143" s="122" t="str">
        <f t="shared" si="134"/>
        <v/>
      </c>
      <c r="N143" s="122" t="str">
        <f t="shared" si="135"/>
        <v/>
      </c>
      <c r="O143" s="122" t="str">
        <f t="shared" si="136"/>
        <v/>
      </c>
      <c r="P143" s="122" t="str">
        <f t="shared" si="137"/>
        <v/>
      </c>
      <c r="Q143" s="122" t="str">
        <f t="shared" si="138"/>
        <v/>
      </c>
      <c r="R143" s="122" t="str">
        <f t="shared" si="139"/>
        <v/>
      </c>
      <c r="S143" s="122" t="str">
        <f t="shared" si="140"/>
        <v/>
      </c>
      <c r="T143" s="122" t="str">
        <f t="shared" si="141"/>
        <v/>
      </c>
      <c r="U143" s="122" t="str">
        <f t="shared" si="142"/>
        <v/>
      </c>
      <c r="V143" s="122" t="str">
        <f t="shared" si="143"/>
        <v/>
      </c>
      <c r="W143" s="19" t="str">
        <f t="shared" si="144"/>
        <v/>
      </c>
      <c r="X143" s="19" t="str">
        <f t="shared" si="145"/>
        <v/>
      </c>
      <c r="Y143" s="19" t="str">
        <f t="shared" si="146"/>
        <v/>
      </c>
      <c r="Z143" s="19" t="str">
        <f t="shared" si="147"/>
        <v/>
      </c>
      <c r="AA143" s="19" t="str">
        <f t="shared" si="148"/>
        <v/>
      </c>
      <c r="AB143" s="19" t="str">
        <f t="shared" si="149"/>
        <v/>
      </c>
      <c r="AC143" s="19" t="str">
        <f t="shared" si="150"/>
        <v/>
      </c>
      <c r="AD143" s="19" t="str">
        <f t="shared" si="151"/>
        <v/>
      </c>
      <c r="AE143" s="19" t="str">
        <f t="shared" si="152"/>
        <v/>
      </c>
      <c r="AF143" s="19" t="str">
        <f t="shared" si="153"/>
        <v/>
      </c>
      <c r="AG143" s="122" t="str">
        <f t="shared" si="154"/>
        <v/>
      </c>
      <c r="AH143" s="122" t="str">
        <f t="shared" si="155"/>
        <v/>
      </c>
      <c r="AI143" s="122" t="str">
        <f t="shared" si="156"/>
        <v/>
      </c>
      <c r="AJ143" s="122" t="str">
        <f t="shared" si="157"/>
        <v/>
      </c>
      <c r="AK143" s="122" t="str">
        <f t="shared" si="158"/>
        <v/>
      </c>
      <c r="AL143" s="122" t="str">
        <f t="shared" si="159"/>
        <v/>
      </c>
      <c r="AM143" s="122" t="str">
        <f t="shared" si="160"/>
        <v/>
      </c>
      <c r="AN143" s="122" t="str">
        <f t="shared" si="161"/>
        <v/>
      </c>
      <c r="AO143" s="122" t="str">
        <f t="shared" si="162"/>
        <v/>
      </c>
      <c r="AP143" s="122" t="str">
        <f t="shared" si="163"/>
        <v/>
      </c>
      <c r="AQ143" s="130" t="str">
        <f t="shared" si="164"/>
        <v/>
      </c>
      <c r="AR143" s="122" t="str">
        <f t="shared" si="165"/>
        <v/>
      </c>
      <c r="AS143" s="1001"/>
      <c r="AT143" s="442"/>
      <c r="AU143" s="131" t="str">
        <f t="shared" si="166"/>
        <v/>
      </c>
      <c r="AV143" s="17"/>
      <c r="AW143" s="124" t="str">
        <f t="shared" si="167"/>
        <v/>
      </c>
      <c r="AX143" s="16"/>
      <c r="AY143" s="26"/>
    </row>
    <row r="144" spans="2:51">
      <c r="B144" s="508"/>
      <c r="C144" s="124"/>
      <c r="D144" s="123" t="str">
        <f t="shared" si="126"/>
        <v/>
      </c>
      <c r="E144" s="123" t="str">
        <f t="shared" si="127"/>
        <v/>
      </c>
      <c r="F144" s="124" t="str">
        <f t="shared" si="128"/>
        <v/>
      </c>
      <c r="G144" s="122" t="str">
        <f t="shared" si="129"/>
        <v/>
      </c>
      <c r="H144" s="122" t="str">
        <f t="shared" si="120"/>
        <v/>
      </c>
      <c r="I144" s="123" t="str">
        <f t="shared" si="130"/>
        <v/>
      </c>
      <c r="J144" s="123" t="str">
        <f t="shared" si="131"/>
        <v/>
      </c>
      <c r="K144" s="124" t="str">
        <f t="shared" si="132"/>
        <v/>
      </c>
      <c r="L144" s="124" t="str">
        <f t="shared" si="133"/>
        <v/>
      </c>
      <c r="M144" s="122" t="str">
        <f t="shared" si="134"/>
        <v/>
      </c>
      <c r="N144" s="122" t="str">
        <f t="shared" si="135"/>
        <v/>
      </c>
      <c r="O144" s="122" t="str">
        <f t="shared" si="136"/>
        <v/>
      </c>
      <c r="P144" s="122" t="str">
        <f t="shared" si="137"/>
        <v/>
      </c>
      <c r="Q144" s="122" t="str">
        <f t="shared" si="138"/>
        <v/>
      </c>
      <c r="R144" s="122" t="str">
        <f t="shared" si="139"/>
        <v/>
      </c>
      <c r="S144" s="122" t="str">
        <f t="shared" si="140"/>
        <v/>
      </c>
      <c r="T144" s="122" t="str">
        <f t="shared" si="141"/>
        <v/>
      </c>
      <c r="U144" s="122" t="str">
        <f t="shared" si="142"/>
        <v/>
      </c>
      <c r="V144" s="122" t="str">
        <f t="shared" si="143"/>
        <v/>
      </c>
      <c r="W144" s="19" t="str">
        <f t="shared" si="144"/>
        <v/>
      </c>
      <c r="X144" s="19" t="str">
        <f t="shared" si="145"/>
        <v/>
      </c>
      <c r="Y144" s="19" t="str">
        <f t="shared" si="146"/>
        <v/>
      </c>
      <c r="Z144" s="19" t="str">
        <f t="shared" si="147"/>
        <v/>
      </c>
      <c r="AA144" s="19" t="str">
        <f t="shared" si="148"/>
        <v/>
      </c>
      <c r="AB144" s="19" t="str">
        <f t="shared" si="149"/>
        <v/>
      </c>
      <c r="AC144" s="19" t="str">
        <f t="shared" si="150"/>
        <v/>
      </c>
      <c r="AD144" s="19" t="str">
        <f t="shared" si="151"/>
        <v/>
      </c>
      <c r="AE144" s="19" t="str">
        <f t="shared" si="152"/>
        <v/>
      </c>
      <c r="AF144" s="19" t="str">
        <f t="shared" si="153"/>
        <v/>
      </c>
      <c r="AG144" s="122" t="str">
        <f t="shared" si="154"/>
        <v/>
      </c>
      <c r="AH144" s="122" t="str">
        <f t="shared" si="155"/>
        <v/>
      </c>
      <c r="AI144" s="122" t="str">
        <f t="shared" si="156"/>
        <v/>
      </c>
      <c r="AJ144" s="122" t="str">
        <f t="shared" si="157"/>
        <v/>
      </c>
      <c r="AK144" s="122" t="str">
        <f t="shared" si="158"/>
        <v/>
      </c>
      <c r="AL144" s="122" t="str">
        <f t="shared" si="159"/>
        <v/>
      </c>
      <c r="AM144" s="122" t="str">
        <f t="shared" si="160"/>
        <v/>
      </c>
      <c r="AN144" s="122" t="str">
        <f t="shared" si="161"/>
        <v/>
      </c>
      <c r="AO144" s="122" t="str">
        <f t="shared" si="162"/>
        <v/>
      </c>
      <c r="AP144" s="122" t="str">
        <f t="shared" si="163"/>
        <v/>
      </c>
      <c r="AQ144" s="130" t="str">
        <f t="shared" si="164"/>
        <v/>
      </c>
      <c r="AR144" s="122" t="str">
        <f t="shared" si="165"/>
        <v/>
      </c>
      <c r="AS144" s="1001"/>
      <c r="AT144" s="442"/>
      <c r="AU144" s="131" t="str">
        <f t="shared" si="166"/>
        <v/>
      </c>
      <c r="AV144" s="17"/>
      <c r="AW144" s="124" t="str">
        <f t="shared" si="167"/>
        <v/>
      </c>
      <c r="AX144" s="16"/>
      <c r="AY144" s="26"/>
    </row>
    <row r="145" spans="2:51">
      <c r="B145" s="508"/>
      <c r="C145" s="124"/>
      <c r="D145" s="123" t="str">
        <f t="shared" si="126"/>
        <v/>
      </c>
      <c r="E145" s="123" t="str">
        <f t="shared" si="127"/>
        <v/>
      </c>
      <c r="F145" s="124" t="str">
        <f t="shared" si="128"/>
        <v/>
      </c>
      <c r="G145" s="122" t="str">
        <f t="shared" si="129"/>
        <v/>
      </c>
      <c r="H145" s="122" t="str">
        <f t="shared" si="120"/>
        <v/>
      </c>
      <c r="I145" s="123" t="str">
        <f t="shared" si="130"/>
        <v/>
      </c>
      <c r="J145" s="123" t="str">
        <f t="shared" si="131"/>
        <v/>
      </c>
      <c r="K145" s="124" t="str">
        <f t="shared" si="132"/>
        <v/>
      </c>
      <c r="L145" s="124" t="str">
        <f t="shared" si="133"/>
        <v/>
      </c>
      <c r="M145" s="122" t="str">
        <f t="shared" si="134"/>
        <v/>
      </c>
      <c r="N145" s="122" t="str">
        <f t="shared" si="135"/>
        <v/>
      </c>
      <c r="O145" s="122" t="str">
        <f t="shared" si="136"/>
        <v/>
      </c>
      <c r="P145" s="122" t="str">
        <f t="shared" si="137"/>
        <v/>
      </c>
      <c r="Q145" s="122" t="str">
        <f t="shared" si="138"/>
        <v/>
      </c>
      <c r="R145" s="122" t="str">
        <f t="shared" si="139"/>
        <v/>
      </c>
      <c r="S145" s="122" t="str">
        <f t="shared" si="140"/>
        <v/>
      </c>
      <c r="T145" s="122" t="str">
        <f t="shared" si="141"/>
        <v/>
      </c>
      <c r="U145" s="122" t="str">
        <f t="shared" si="142"/>
        <v/>
      </c>
      <c r="V145" s="122" t="str">
        <f t="shared" si="143"/>
        <v/>
      </c>
      <c r="W145" s="19" t="str">
        <f t="shared" si="144"/>
        <v/>
      </c>
      <c r="X145" s="19" t="str">
        <f t="shared" si="145"/>
        <v/>
      </c>
      <c r="Y145" s="19" t="str">
        <f t="shared" si="146"/>
        <v/>
      </c>
      <c r="Z145" s="19" t="str">
        <f t="shared" si="147"/>
        <v/>
      </c>
      <c r="AA145" s="19" t="str">
        <f t="shared" si="148"/>
        <v/>
      </c>
      <c r="AB145" s="19" t="str">
        <f t="shared" si="149"/>
        <v/>
      </c>
      <c r="AC145" s="19" t="str">
        <f t="shared" si="150"/>
        <v/>
      </c>
      <c r="AD145" s="19" t="str">
        <f t="shared" si="151"/>
        <v/>
      </c>
      <c r="AE145" s="19" t="str">
        <f t="shared" si="152"/>
        <v/>
      </c>
      <c r="AF145" s="19" t="str">
        <f t="shared" si="153"/>
        <v/>
      </c>
      <c r="AG145" s="122" t="str">
        <f t="shared" si="154"/>
        <v/>
      </c>
      <c r="AH145" s="122" t="str">
        <f t="shared" si="155"/>
        <v/>
      </c>
      <c r="AI145" s="122" t="str">
        <f t="shared" si="156"/>
        <v/>
      </c>
      <c r="AJ145" s="122" t="str">
        <f t="shared" si="157"/>
        <v/>
      </c>
      <c r="AK145" s="122" t="str">
        <f t="shared" si="158"/>
        <v/>
      </c>
      <c r="AL145" s="122" t="str">
        <f t="shared" si="159"/>
        <v/>
      </c>
      <c r="AM145" s="122" t="str">
        <f t="shared" si="160"/>
        <v/>
      </c>
      <c r="AN145" s="122" t="str">
        <f t="shared" si="161"/>
        <v/>
      </c>
      <c r="AO145" s="122" t="str">
        <f t="shared" si="162"/>
        <v/>
      </c>
      <c r="AP145" s="122" t="str">
        <f t="shared" si="163"/>
        <v/>
      </c>
      <c r="AQ145" s="130" t="str">
        <f t="shared" si="164"/>
        <v/>
      </c>
      <c r="AR145" s="122" t="str">
        <f t="shared" si="165"/>
        <v/>
      </c>
      <c r="AS145" s="1001"/>
      <c r="AT145" s="442"/>
      <c r="AU145" s="131" t="str">
        <f t="shared" si="166"/>
        <v/>
      </c>
      <c r="AV145" s="17"/>
      <c r="AW145" s="124" t="str">
        <f t="shared" si="167"/>
        <v/>
      </c>
      <c r="AX145" s="16"/>
      <c r="AY145" s="26"/>
    </row>
    <row r="146" spans="2:51">
      <c r="B146" s="508"/>
      <c r="C146" s="124"/>
      <c r="D146" s="123" t="str">
        <f t="shared" si="126"/>
        <v/>
      </c>
      <c r="E146" s="123" t="str">
        <f t="shared" si="127"/>
        <v/>
      </c>
      <c r="F146" s="124" t="str">
        <f t="shared" si="128"/>
        <v/>
      </c>
      <c r="G146" s="122" t="str">
        <f t="shared" si="129"/>
        <v/>
      </c>
      <c r="H146" s="122" t="str">
        <f t="shared" si="120"/>
        <v/>
      </c>
      <c r="I146" s="123" t="str">
        <f t="shared" si="130"/>
        <v/>
      </c>
      <c r="J146" s="123" t="str">
        <f t="shared" si="131"/>
        <v/>
      </c>
      <c r="K146" s="124" t="str">
        <f t="shared" si="132"/>
        <v/>
      </c>
      <c r="L146" s="124" t="str">
        <f t="shared" si="133"/>
        <v/>
      </c>
      <c r="M146" s="122" t="str">
        <f t="shared" si="134"/>
        <v/>
      </c>
      <c r="N146" s="122" t="str">
        <f t="shared" si="135"/>
        <v/>
      </c>
      <c r="O146" s="122" t="str">
        <f t="shared" si="136"/>
        <v/>
      </c>
      <c r="P146" s="122" t="str">
        <f t="shared" si="137"/>
        <v/>
      </c>
      <c r="Q146" s="122" t="str">
        <f t="shared" si="138"/>
        <v/>
      </c>
      <c r="R146" s="122" t="str">
        <f t="shared" si="139"/>
        <v/>
      </c>
      <c r="S146" s="122" t="str">
        <f t="shared" si="140"/>
        <v/>
      </c>
      <c r="T146" s="122" t="str">
        <f t="shared" si="141"/>
        <v/>
      </c>
      <c r="U146" s="122" t="str">
        <f t="shared" si="142"/>
        <v/>
      </c>
      <c r="V146" s="122" t="str">
        <f t="shared" si="143"/>
        <v/>
      </c>
      <c r="W146" s="19" t="str">
        <f t="shared" si="144"/>
        <v/>
      </c>
      <c r="X146" s="19" t="str">
        <f t="shared" si="145"/>
        <v/>
      </c>
      <c r="Y146" s="19" t="str">
        <f t="shared" si="146"/>
        <v/>
      </c>
      <c r="Z146" s="19" t="str">
        <f t="shared" si="147"/>
        <v/>
      </c>
      <c r="AA146" s="19" t="str">
        <f t="shared" si="148"/>
        <v/>
      </c>
      <c r="AB146" s="19" t="str">
        <f t="shared" si="149"/>
        <v/>
      </c>
      <c r="AC146" s="19" t="str">
        <f t="shared" si="150"/>
        <v/>
      </c>
      <c r="AD146" s="19" t="str">
        <f t="shared" si="151"/>
        <v/>
      </c>
      <c r="AE146" s="19" t="str">
        <f t="shared" si="152"/>
        <v/>
      </c>
      <c r="AF146" s="19" t="str">
        <f t="shared" si="153"/>
        <v/>
      </c>
      <c r="AG146" s="122" t="str">
        <f t="shared" si="154"/>
        <v/>
      </c>
      <c r="AH146" s="122" t="str">
        <f t="shared" si="155"/>
        <v/>
      </c>
      <c r="AI146" s="122" t="str">
        <f t="shared" si="156"/>
        <v/>
      </c>
      <c r="AJ146" s="122" t="str">
        <f t="shared" si="157"/>
        <v/>
      </c>
      <c r="AK146" s="122" t="str">
        <f t="shared" si="158"/>
        <v/>
      </c>
      <c r="AL146" s="122" t="str">
        <f t="shared" si="159"/>
        <v/>
      </c>
      <c r="AM146" s="122" t="str">
        <f t="shared" si="160"/>
        <v/>
      </c>
      <c r="AN146" s="122" t="str">
        <f t="shared" si="161"/>
        <v/>
      </c>
      <c r="AO146" s="122" t="str">
        <f t="shared" si="162"/>
        <v/>
      </c>
      <c r="AP146" s="122" t="str">
        <f t="shared" si="163"/>
        <v/>
      </c>
      <c r="AQ146" s="130" t="str">
        <f t="shared" si="164"/>
        <v/>
      </c>
      <c r="AR146" s="122" t="str">
        <f t="shared" si="165"/>
        <v/>
      </c>
      <c r="AS146" s="1001"/>
      <c r="AT146" s="442"/>
      <c r="AU146" s="131" t="str">
        <f t="shared" si="166"/>
        <v/>
      </c>
      <c r="AV146" s="17"/>
      <c r="AW146" s="124" t="str">
        <f t="shared" si="167"/>
        <v/>
      </c>
      <c r="AX146" s="16"/>
      <c r="AY146" s="26"/>
    </row>
    <row r="147" spans="2:51">
      <c r="B147" s="508"/>
      <c r="C147" s="124"/>
      <c r="D147" s="123" t="str">
        <f t="shared" si="126"/>
        <v/>
      </c>
      <c r="E147" s="123" t="str">
        <f t="shared" si="127"/>
        <v/>
      </c>
      <c r="F147" s="124" t="str">
        <f t="shared" si="128"/>
        <v/>
      </c>
      <c r="G147" s="122" t="str">
        <f t="shared" si="129"/>
        <v/>
      </c>
      <c r="H147" s="122" t="str">
        <f t="shared" si="120"/>
        <v/>
      </c>
      <c r="I147" s="123" t="str">
        <f t="shared" si="130"/>
        <v/>
      </c>
      <c r="J147" s="123" t="str">
        <f t="shared" si="131"/>
        <v/>
      </c>
      <c r="K147" s="124" t="str">
        <f t="shared" si="132"/>
        <v/>
      </c>
      <c r="L147" s="124" t="str">
        <f t="shared" si="133"/>
        <v/>
      </c>
      <c r="M147" s="122" t="str">
        <f t="shared" si="134"/>
        <v/>
      </c>
      <c r="N147" s="122" t="str">
        <f t="shared" si="135"/>
        <v/>
      </c>
      <c r="O147" s="122" t="str">
        <f t="shared" si="136"/>
        <v/>
      </c>
      <c r="P147" s="122" t="str">
        <f t="shared" si="137"/>
        <v/>
      </c>
      <c r="Q147" s="122" t="str">
        <f t="shared" si="138"/>
        <v/>
      </c>
      <c r="R147" s="122" t="str">
        <f t="shared" si="139"/>
        <v/>
      </c>
      <c r="S147" s="122" t="str">
        <f t="shared" si="140"/>
        <v/>
      </c>
      <c r="T147" s="122" t="str">
        <f t="shared" si="141"/>
        <v/>
      </c>
      <c r="U147" s="122" t="str">
        <f t="shared" si="142"/>
        <v/>
      </c>
      <c r="V147" s="122" t="str">
        <f t="shared" si="143"/>
        <v/>
      </c>
      <c r="W147" s="19" t="str">
        <f t="shared" si="144"/>
        <v/>
      </c>
      <c r="X147" s="19" t="str">
        <f t="shared" si="145"/>
        <v/>
      </c>
      <c r="Y147" s="19" t="str">
        <f t="shared" si="146"/>
        <v/>
      </c>
      <c r="Z147" s="19" t="str">
        <f t="shared" si="147"/>
        <v/>
      </c>
      <c r="AA147" s="19" t="str">
        <f t="shared" si="148"/>
        <v/>
      </c>
      <c r="AB147" s="19" t="str">
        <f t="shared" si="149"/>
        <v/>
      </c>
      <c r="AC147" s="19" t="str">
        <f t="shared" si="150"/>
        <v/>
      </c>
      <c r="AD147" s="19" t="str">
        <f t="shared" si="151"/>
        <v/>
      </c>
      <c r="AE147" s="19" t="str">
        <f t="shared" si="152"/>
        <v/>
      </c>
      <c r="AF147" s="19" t="str">
        <f t="shared" si="153"/>
        <v/>
      </c>
      <c r="AG147" s="122" t="str">
        <f t="shared" si="154"/>
        <v/>
      </c>
      <c r="AH147" s="122" t="str">
        <f t="shared" si="155"/>
        <v/>
      </c>
      <c r="AI147" s="122" t="str">
        <f t="shared" si="156"/>
        <v/>
      </c>
      <c r="AJ147" s="122" t="str">
        <f t="shared" si="157"/>
        <v/>
      </c>
      <c r="AK147" s="122" t="str">
        <f t="shared" si="158"/>
        <v/>
      </c>
      <c r="AL147" s="122" t="str">
        <f t="shared" si="159"/>
        <v/>
      </c>
      <c r="AM147" s="122" t="str">
        <f t="shared" si="160"/>
        <v/>
      </c>
      <c r="AN147" s="122" t="str">
        <f t="shared" si="161"/>
        <v/>
      </c>
      <c r="AO147" s="122" t="str">
        <f t="shared" si="162"/>
        <v/>
      </c>
      <c r="AP147" s="122" t="str">
        <f t="shared" si="163"/>
        <v/>
      </c>
      <c r="AQ147" s="130" t="str">
        <f t="shared" si="164"/>
        <v/>
      </c>
      <c r="AR147" s="122" t="str">
        <f t="shared" si="165"/>
        <v/>
      </c>
      <c r="AS147" s="1001"/>
      <c r="AT147" s="442"/>
      <c r="AU147" s="131" t="str">
        <f t="shared" si="166"/>
        <v/>
      </c>
      <c r="AV147" s="17"/>
      <c r="AW147" s="124" t="str">
        <f t="shared" si="167"/>
        <v/>
      </c>
      <c r="AX147" s="16"/>
      <c r="AY147" s="26"/>
    </row>
    <row r="148" spans="2:51">
      <c r="B148" s="508"/>
      <c r="C148" s="124"/>
      <c r="D148" s="123" t="str">
        <f t="shared" si="126"/>
        <v/>
      </c>
      <c r="E148" s="123" t="str">
        <f t="shared" si="127"/>
        <v/>
      </c>
      <c r="F148" s="124" t="str">
        <f t="shared" si="128"/>
        <v/>
      </c>
      <c r="G148" s="122" t="str">
        <f t="shared" si="129"/>
        <v/>
      </c>
      <c r="H148" s="122" t="str">
        <f t="shared" si="120"/>
        <v/>
      </c>
      <c r="I148" s="123" t="str">
        <f t="shared" si="130"/>
        <v/>
      </c>
      <c r="J148" s="123" t="str">
        <f t="shared" si="131"/>
        <v/>
      </c>
      <c r="K148" s="124" t="str">
        <f t="shared" si="132"/>
        <v/>
      </c>
      <c r="L148" s="124" t="str">
        <f t="shared" si="133"/>
        <v/>
      </c>
      <c r="M148" s="122" t="str">
        <f t="shared" si="134"/>
        <v/>
      </c>
      <c r="N148" s="122" t="str">
        <f t="shared" si="135"/>
        <v/>
      </c>
      <c r="O148" s="122" t="str">
        <f t="shared" si="136"/>
        <v/>
      </c>
      <c r="P148" s="122" t="str">
        <f t="shared" si="137"/>
        <v/>
      </c>
      <c r="Q148" s="122" t="str">
        <f t="shared" si="138"/>
        <v/>
      </c>
      <c r="R148" s="122" t="str">
        <f t="shared" si="139"/>
        <v/>
      </c>
      <c r="S148" s="122" t="str">
        <f t="shared" si="140"/>
        <v/>
      </c>
      <c r="T148" s="122" t="str">
        <f t="shared" si="141"/>
        <v/>
      </c>
      <c r="U148" s="122" t="str">
        <f t="shared" si="142"/>
        <v/>
      </c>
      <c r="V148" s="122" t="str">
        <f t="shared" si="143"/>
        <v/>
      </c>
      <c r="W148" s="19" t="str">
        <f t="shared" si="144"/>
        <v/>
      </c>
      <c r="X148" s="19" t="str">
        <f t="shared" si="145"/>
        <v/>
      </c>
      <c r="Y148" s="19" t="str">
        <f t="shared" si="146"/>
        <v/>
      </c>
      <c r="Z148" s="19" t="str">
        <f t="shared" si="147"/>
        <v/>
      </c>
      <c r="AA148" s="19" t="str">
        <f t="shared" si="148"/>
        <v/>
      </c>
      <c r="AB148" s="19" t="str">
        <f t="shared" si="149"/>
        <v/>
      </c>
      <c r="AC148" s="19" t="str">
        <f t="shared" si="150"/>
        <v/>
      </c>
      <c r="AD148" s="19" t="str">
        <f t="shared" si="151"/>
        <v/>
      </c>
      <c r="AE148" s="19" t="str">
        <f t="shared" si="152"/>
        <v/>
      </c>
      <c r="AF148" s="19" t="str">
        <f t="shared" si="153"/>
        <v/>
      </c>
      <c r="AG148" s="122" t="str">
        <f t="shared" si="154"/>
        <v/>
      </c>
      <c r="AH148" s="122" t="str">
        <f t="shared" si="155"/>
        <v/>
      </c>
      <c r="AI148" s="122" t="str">
        <f t="shared" si="156"/>
        <v/>
      </c>
      <c r="AJ148" s="122" t="str">
        <f t="shared" si="157"/>
        <v/>
      </c>
      <c r="AK148" s="122" t="str">
        <f t="shared" si="158"/>
        <v/>
      </c>
      <c r="AL148" s="122" t="str">
        <f t="shared" si="159"/>
        <v/>
      </c>
      <c r="AM148" s="122" t="str">
        <f t="shared" si="160"/>
        <v/>
      </c>
      <c r="AN148" s="122" t="str">
        <f t="shared" si="161"/>
        <v/>
      </c>
      <c r="AO148" s="122" t="str">
        <f t="shared" si="162"/>
        <v/>
      </c>
      <c r="AP148" s="122" t="str">
        <f t="shared" si="163"/>
        <v/>
      </c>
      <c r="AQ148" s="130" t="str">
        <f t="shared" si="164"/>
        <v/>
      </c>
      <c r="AR148" s="122" t="str">
        <f t="shared" si="165"/>
        <v/>
      </c>
      <c r="AS148" s="1001"/>
      <c r="AT148" s="442"/>
      <c r="AU148" s="131" t="str">
        <f t="shared" si="166"/>
        <v/>
      </c>
      <c r="AV148" s="17"/>
      <c r="AW148" s="124" t="str">
        <f t="shared" si="167"/>
        <v/>
      </c>
      <c r="AX148" s="16"/>
      <c r="AY148" s="26"/>
    </row>
    <row r="149" spans="2:51">
      <c r="B149" s="508"/>
      <c r="C149" s="124"/>
      <c r="D149" s="123" t="str">
        <f t="shared" si="126"/>
        <v/>
      </c>
      <c r="E149" s="123" t="str">
        <f t="shared" si="127"/>
        <v/>
      </c>
      <c r="F149" s="124" t="str">
        <f t="shared" si="128"/>
        <v/>
      </c>
      <c r="G149" s="122" t="str">
        <f t="shared" si="129"/>
        <v/>
      </c>
      <c r="H149" s="122" t="str">
        <f t="shared" si="120"/>
        <v/>
      </c>
      <c r="I149" s="123" t="str">
        <f t="shared" si="130"/>
        <v/>
      </c>
      <c r="J149" s="123" t="str">
        <f t="shared" si="131"/>
        <v/>
      </c>
      <c r="K149" s="124" t="str">
        <f t="shared" si="132"/>
        <v/>
      </c>
      <c r="L149" s="124" t="str">
        <f t="shared" si="133"/>
        <v/>
      </c>
      <c r="M149" s="122" t="str">
        <f t="shared" si="134"/>
        <v/>
      </c>
      <c r="N149" s="122" t="str">
        <f t="shared" si="135"/>
        <v/>
      </c>
      <c r="O149" s="122" t="str">
        <f t="shared" si="136"/>
        <v/>
      </c>
      <c r="P149" s="122" t="str">
        <f t="shared" si="137"/>
        <v/>
      </c>
      <c r="Q149" s="122" t="str">
        <f t="shared" si="138"/>
        <v/>
      </c>
      <c r="R149" s="122" t="str">
        <f t="shared" si="139"/>
        <v/>
      </c>
      <c r="S149" s="122" t="str">
        <f t="shared" si="140"/>
        <v/>
      </c>
      <c r="T149" s="122" t="str">
        <f t="shared" si="141"/>
        <v/>
      </c>
      <c r="U149" s="122" t="str">
        <f t="shared" si="142"/>
        <v/>
      </c>
      <c r="V149" s="122" t="str">
        <f t="shared" si="143"/>
        <v/>
      </c>
      <c r="W149" s="19" t="str">
        <f t="shared" si="144"/>
        <v/>
      </c>
      <c r="X149" s="19" t="str">
        <f t="shared" si="145"/>
        <v/>
      </c>
      <c r="Y149" s="19" t="str">
        <f t="shared" si="146"/>
        <v/>
      </c>
      <c r="Z149" s="19" t="str">
        <f t="shared" si="147"/>
        <v/>
      </c>
      <c r="AA149" s="19" t="str">
        <f t="shared" si="148"/>
        <v/>
      </c>
      <c r="AB149" s="19" t="str">
        <f t="shared" si="149"/>
        <v/>
      </c>
      <c r="AC149" s="19" t="str">
        <f t="shared" si="150"/>
        <v/>
      </c>
      <c r="AD149" s="19" t="str">
        <f t="shared" si="151"/>
        <v/>
      </c>
      <c r="AE149" s="19" t="str">
        <f t="shared" si="152"/>
        <v/>
      </c>
      <c r="AF149" s="19" t="str">
        <f t="shared" si="153"/>
        <v/>
      </c>
      <c r="AG149" s="122" t="str">
        <f t="shared" si="154"/>
        <v/>
      </c>
      <c r="AH149" s="122" t="str">
        <f t="shared" si="155"/>
        <v/>
      </c>
      <c r="AI149" s="122" t="str">
        <f t="shared" si="156"/>
        <v/>
      </c>
      <c r="AJ149" s="122" t="str">
        <f t="shared" si="157"/>
        <v/>
      </c>
      <c r="AK149" s="122" t="str">
        <f t="shared" si="158"/>
        <v/>
      </c>
      <c r="AL149" s="122" t="str">
        <f t="shared" si="159"/>
        <v/>
      </c>
      <c r="AM149" s="122" t="str">
        <f t="shared" si="160"/>
        <v/>
      </c>
      <c r="AN149" s="122" t="str">
        <f t="shared" si="161"/>
        <v/>
      </c>
      <c r="AO149" s="122" t="str">
        <f t="shared" si="162"/>
        <v/>
      </c>
      <c r="AP149" s="122" t="str">
        <f t="shared" si="163"/>
        <v/>
      </c>
      <c r="AQ149" s="130" t="str">
        <f t="shared" si="164"/>
        <v/>
      </c>
      <c r="AR149" s="122" t="str">
        <f t="shared" si="165"/>
        <v/>
      </c>
      <c r="AS149" s="1001"/>
      <c r="AT149" s="442"/>
      <c r="AU149" s="131" t="str">
        <f t="shared" si="166"/>
        <v/>
      </c>
      <c r="AV149" s="17"/>
      <c r="AW149" s="124" t="str">
        <f t="shared" si="167"/>
        <v/>
      </c>
      <c r="AX149" s="16"/>
      <c r="AY149" s="26"/>
    </row>
    <row r="150" spans="2:51">
      <c r="B150" s="508"/>
      <c r="C150" s="124"/>
      <c r="D150" s="123" t="str">
        <f t="shared" si="126"/>
        <v/>
      </c>
      <c r="E150" s="123" t="str">
        <f t="shared" si="127"/>
        <v/>
      </c>
      <c r="F150" s="124" t="str">
        <f t="shared" si="128"/>
        <v/>
      </c>
      <c r="G150" s="122" t="str">
        <f t="shared" si="129"/>
        <v/>
      </c>
      <c r="H150" s="122" t="str">
        <f t="shared" si="120"/>
        <v/>
      </c>
      <c r="I150" s="123" t="str">
        <f t="shared" si="130"/>
        <v/>
      </c>
      <c r="J150" s="123" t="str">
        <f t="shared" si="131"/>
        <v/>
      </c>
      <c r="K150" s="124" t="str">
        <f t="shared" si="132"/>
        <v/>
      </c>
      <c r="L150" s="124" t="str">
        <f t="shared" si="133"/>
        <v/>
      </c>
      <c r="M150" s="122" t="str">
        <f t="shared" si="134"/>
        <v/>
      </c>
      <c r="N150" s="122" t="str">
        <f t="shared" si="135"/>
        <v/>
      </c>
      <c r="O150" s="122" t="str">
        <f t="shared" si="136"/>
        <v/>
      </c>
      <c r="P150" s="122" t="str">
        <f t="shared" si="137"/>
        <v/>
      </c>
      <c r="Q150" s="122" t="str">
        <f t="shared" si="138"/>
        <v/>
      </c>
      <c r="R150" s="122" t="str">
        <f t="shared" si="139"/>
        <v/>
      </c>
      <c r="S150" s="122" t="str">
        <f t="shared" si="140"/>
        <v/>
      </c>
      <c r="T150" s="122" t="str">
        <f t="shared" si="141"/>
        <v/>
      </c>
      <c r="U150" s="122" t="str">
        <f t="shared" si="142"/>
        <v/>
      </c>
      <c r="V150" s="122" t="str">
        <f t="shared" si="143"/>
        <v/>
      </c>
      <c r="W150" s="19" t="str">
        <f t="shared" si="144"/>
        <v/>
      </c>
      <c r="X150" s="19" t="str">
        <f t="shared" si="145"/>
        <v/>
      </c>
      <c r="Y150" s="19" t="str">
        <f t="shared" si="146"/>
        <v/>
      </c>
      <c r="Z150" s="19" t="str">
        <f t="shared" si="147"/>
        <v/>
      </c>
      <c r="AA150" s="19" t="str">
        <f t="shared" si="148"/>
        <v/>
      </c>
      <c r="AB150" s="19" t="str">
        <f t="shared" si="149"/>
        <v/>
      </c>
      <c r="AC150" s="19" t="str">
        <f t="shared" si="150"/>
        <v/>
      </c>
      <c r="AD150" s="19" t="str">
        <f t="shared" si="151"/>
        <v/>
      </c>
      <c r="AE150" s="19" t="str">
        <f t="shared" si="152"/>
        <v/>
      </c>
      <c r="AF150" s="19" t="str">
        <f t="shared" si="153"/>
        <v/>
      </c>
      <c r="AG150" s="122" t="str">
        <f t="shared" si="154"/>
        <v/>
      </c>
      <c r="AH150" s="122" t="str">
        <f t="shared" si="155"/>
        <v/>
      </c>
      <c r="AI150" s="122" t="str">
        <f t="shared" si="156"/>
        <v/>
      </c>
      <c r="AJ150" s="122" t="str">
        <f t="shared" si="157"/>
        <v/>
      </c>
      <c r="AK150" s="122" t="str">
        <f t="shared" si="158"/>
        <v/>
      </c>
      <c r="AL150" s="122" t="str">
        <f t="shared" si="159"/>
        <v/>
      </c>
      <c r="AM150" s="122" t="str">
        <f t="shared" si="160"/>
        <v/>
      </c>
      <c r="AN150" s="122" t="str">
        <f t="shared" si="161"/>
        <v/>
      </c>
      <c r="AO150" s="122" t="str">
        <f t="shared" si="162"/>
        <v/>
      </c>
      <c r="AP150" s="122" t="str">
        <f t="shared" si="163"/>
        <v/>
      </c>
      <c r="AQ150" s="130" t="str">
        <f t="shared" si="164"/>
        <v/>
      </c>
      <c r="AR150" s="122" t="str">
        <f t="shared" si="165"/>
        <v/>
      </c>
      <c r="AS150" s="1001"/>
      <c r="AT150" s="442"/>
      <c r="AU150" s="131" t="str">
        <f t="shared" si="166"/>
        <v/>
      </c>
      <c r="AV150" s="17"/>
      <c r="AW150" s="124" t="str">
        <f t="shared" si="167"/>
        <v/>
      </c>
      <c r="AX150" s="16"/>
      <c r="AY150" s="26"/>
    </row>
    <row r="151" spans="2:51">
      <c r="B151" s="508"/>
      <c r="C151" s="124"/>
      <c r="D151" s="123" t="str">
        <f t="shared" si="126"/>
        <v/>
      </c>
      <c r="E151" s="123" t="str">
        <f t="shared" si="127"/>
        <v/>
      </c>
      <c r="F151" s="124" t="str">
        <f t="shared" si="128"/>
        <v/>
      </c>
      <c r="G151" s="122" t="str">
        <f t="shared" si="129"/>
        <v/>
      </c>
      <c r="H151" s="122" t="str">
        <f t="shared" si="120"/>
        <v/>
      </c>
      <c r="I151" s="123" t="str">
        <f t="shared" si="130"/>
        <v/>
      </c>
      <c r="J151" s="123" t="str">
        <f t="shared" si="131"/>
        <v/>
      </c>
      <c r="K151" s="124" t="str">
        <f t="shared" si="132"/>
        <v/>
      </c>
      <c r="L151" s="124" t="str">
        <f t="shared" si="133"/>
        <v/>
      </c>
      <c r="M151" s="122" t="str">
        <f t="shared" si="134"/>
        <v/>
      </c>
      <c r="N151" s="122" t="str">
        <f t="shared" si="135"/>
        <v/>
      </c>
      <c r="O151" s="122" t="str">
        <f t="shared" si="136"/>
        <v/>
      </c>
      <c r="P151" s="122" t="str">
        <f t="shared" si="137"/>
        <v/>
      </c>
      <c r="Q151" s="122" t="str">
        <f t="shared" si="138"/>
        <v/>
      </c>
      <c r="R151" s="122" t="str">
        <f t="shared" si="139"/>
        <v/>
      </c>
      <c r="S151" s="122" t="str">
        <f t="shared" si="140"/>
        <v/>
      </c>
      <c r="T151" s="122" t="str">
        <f t="shared" si="141"/>
        <v/>
      </c>
      <c r="U151" s="122" t="str">
        <f t="shared" si="142"/>
        <v/>
      </c>
      <c r="V151" s="122" t="str">
        <f t="shared" si="143"/>
        <v/>
      </c>
      <c r="W151" s="19" t="str">
        <f t="shared" si="144"/>
        <v/>
      </c>
      <c r="X151" s="19" t="str">
        <f t="shared" si="145"/>
        <v/>
      </c>
      <c r="Y151" s="19" t="str">
        <f t="shared" si="146"/>
        <v/>
      </c>
      <c r="Z151" s="19" t="str">
        <f t="shared" si="147"/>
        <v/>
      </c>
      <c r="AA151" s="19" t="str">
        <f t="shared" si="148"/>
        <v/>
      </c>
      <c r="AB151" s="19" t="str">
        <f t="shared" si="149"/>
        <v/>
      </c>
      <c r="AC151" s="19" t="str">
        <f t="shared" si="150"/>
        <v/>
      </c>
      <c r="AD151" s="19" t="str">
        <f t="shared" si="151"/>
        <v/>
      </c>
      <c r="AE151" s="19" t="str">
        <f t="shared" si="152"/>
        <v/>
      </c>
      <c r="AF151" s="19" t="str">
        <f t="shared" si="153"/>
        <v/>
      </c>
      <c r="AG151" s="122" t="str">
        <f t="shared" si="154"/>
        <v/>
      </c>
      <c r="AH151" s="122" t="str">
        <f t="shared" si="155"/>
        <v/>
      </c>
      <c r="AI151" s="122" t="str">
        <f t="shared" si="156"/>
        <v/>
      </c>
      <c r="AJ151" s="122" t="str">
        <f t="shared" si="157"/>
        <v/>
      </c>
      <c r="AK151" s="122" t="str">
        <f t="shared" si="158"/>
        <v/>
      </c>
      <c r="AL151" s="122" t="str">
        <f t="shared" si="159"/>
        <v/>
      </c>
      <c r="AM151" s="122" t="str">
        <f t="shared" si="160"/>
        <v/>
      </c>
      <c r="AN151" s="122" t="str">
        <f t="shared" si="161"/>
        <v/>
      </c>
      <c r="AO151" s="122" t="str">
        <f t="shared" si="162"/>
        <v/>
      </c>
      <c r="AP151" s="122" t="str">
        <f t="shared" si="163"/>
        <v/>
      </c>
      <c r="AQ151" s="130" t="str">
        <f t="shared" si="164"/>
        <v/>
      </c>
      <c r="AR151" s="122" t="str">
        <f t="shared" si="165"/>
        <v/>
      </c>
      <c r="AS151" s="1001"/>
      <c r="AT151" s="442"/>
      <c r="AU151" s="131" t="str">
        <f t="shared" si="166"/>
        <v/>
      </c>
      <c r="AV151" s="17"/>
      <c r="AW151" s="124" t="str">
        <f t="shared" si="167"/>
        <v/>
      </c>
      <c r="AX151" s="16"/>
      <c r="AY151" s="26"/>
    </row>
    <row r="152" spans="2:51">
      <c r="B152" s="508"/>
      <c r="C152" s="124"/>
      <c r="D152" s="123" t="str">
        <f t="shared" si="126"/>
        <v/>
      </c>
      <c r="E152" s="123" t="str">
        <f t="shared" si="127"/>
        <v/>
      </c>
      <c r="F152" s="124" t="str">
        <f t="shared" si="128"/>
        <v/>
      </c>
      <c r="G152" s="122" t="str">
        <f t="shared" si="129"/>
        <v/>
      </c>
      <c r="H152" s="122" t="str">
        <f t="shared" si="120"/>
        <v/>
      </c>
      <c r="I152" s="123" t="str">
        <f t="shared" si="130"/>
        <v/>
      </c>
      <c r="J152" s="123" t="str">
        <f t="shared" si="131"/>
        <v/>
      </c>
      <c r="K152" s="124" t="str">
        <f t="shared" si="132"/>
        <v/>
      </c>
      <c r="L152" s="124" t="str">
        <f t="shared" si="133"/>
        <v/>
      </c>
      <c r="M152" s="122" t="str">
        <f t="shared" si="134"/>
        <v/>
      </c>
      <c r="N152" s="122" t="str">
        <f t="shared" si="135"/>
        <v/>
      </c>
      <c r="O152" s="122" t="str">
        <f t="shared" si="136"/>
        <v/>
      </c>
      <c r="P152" s="122" t="str">
        <f t="shared" si="137"/>
        <v/>
      </c>
      <c r="Q152" s="122" t="str">
        <f t="shared" si="138"/>
        <v/>
      </c>
      <c r="R152" s="122" t="str">
        <f t="shared" si="139"/>
        <v/>
      </c>
      <c r="S152" s="122" t="str">
        <f t="shared" si="140"/>
        <v/>
      </c>
      <c r="T152" s="122" t="str">
        <f t="shared" si="141"/>
        <v/>
      </c>
      <c r="U152" s="122" t="str">
        <f t="shared" si="142"/>
        <v/>
      </c>
      <c r="V152" s="122" t="str">
        <f t="shared" si="143"/>
        <v/>
      </c>
      <c r="W152" s="19" t="str">
        <f t="shared" si="144"/>
        <v/>
      </c>
      <c r="X152" s="19" t="str">
        <f t="shared" si="145"/>
        <v/>
      </c>
      <c r="Y152" s="19" t="str">
        <f t="shared" si="146"/>
        <v/>
      </c>
      <c r="Z152" s="19" t="str">
        <f t="shared" si="147"/>
        <v/>
      </c>
      <c r="AA152" s="19" t="str">
        <f t="shared" si="148"/>
        <v/>
      </c>
      <c r="AB152" s="19" t="str">
        <f t="shared" si="149"/>
        <v/>
      </c>
      <c r="AC152" s="19" t="str">
        <f t="shared" si="150"/>
        <v/>
      </c>
      <c r="AD152" s="19" t="str">
        <f t="shared" si="151"/>
        <v/>
      </c>
      <c r="AE152" s="19" t="str">
        <f t="shared" si="152"/>
        <v/>
      </c>
      <c r="AF152" s="19" t="str">
        <f t="shared" si="153"/>
        <v/>
      </c>
      <c r="AG152" s="122" t="str">
        <f t="shared" si="154"/>
        <v/>
      </c>
      <c r="AH152" s="122" t="str">
        <f t="shared" si="155"/>
        <v/>
      </c>
      <c r="AI152" s="122" t="str">
        <f t="shared" si="156"/>
        <v/>
      </c>
      <c r="AJ152" s="122" t="str">
        <f t="shared" si="157"/>
        <v/>
      </c>
      <c r="AK152" s="122" t="str">
        <f t="shared" si="158"/>
        <v/>
      </c>
      <c r="AL152" s="122" t="str">
        <f t="shared" si="159"/>
        <v/>
      </c>
      <c r="AM152" s="122" t="str">
        <f t="shared" si="160"/>
        <v/>
      </c>
      <c r="AN152" s="122" t="str">
        <f t="shared" si="161"/>
        <v/>
      </c>
      <c r="AO152" s="122" t="str">
        <f t="shared" si="162"/>
        <v/>
      </c>
      <c r="AP152" s="122" t="str">
        <f t="shared" si="163"/>
        <v/>
      </c>
      <c r="AQ152" s="130" t="str">
        <f t="shared" si="164"/>
        <v/>
      </c>
      <c r="AR152" s="122" t="str">
        <f t="shared" si="165"/>
        <v/>
      </c>
      <c r="AS152" s="1001"/>
      <c r="AT152" s="442"/>
      <c r="AU152" s="131" t="str">
        <f t="shared" si="166"/>
        <v/>
      </c>
      <c r="AV152" s="17"/>
      <c r="AW152" s="124" t="str">
        <f t="shared" si="167"/>
        <v/>
      </c>
      <c r="AX152" s="16"/>
      <c r="AY152" s="26"/>
    </row>
    <row r="153" spans="2:51">
      <c r="B153" s="508"/>
      <c r="C153" s="124"/>
      <c r="D153" s="123" t="str">
        <f t="shared" si="126"/>
        <v/>
      </c>
      <c r="E153" s="123" t="str">
        <f t="shared" si="127"/>
        <v/>
      </c>
      <c r="F153" s="124" t="str">
        <f t="shared" si="128"/>
        <v/>
      </c>
      <c r="G153" s="122" t="str">
        <f t="shared" si="129"/>
        <v/>
      </c>
      <c r="H153" s="122" t="str">
        <f t="shared" si="120"/>
        <v/>
      </c>
      <c r="I153" s="123" t="str">
        <f t="shared" si="130"/>
        <v/>
      </c>
      <c r="J153" s="123" t="str">
        <f t="shared" si="131"/>
        <v/>
      </c>
      <c r="K153" s="124" t="str">
        <f t="shared" si="132"/>
        <v/>
      </c>
      <c r="L153" s="124" t="str">
        <f t="shared" si="133"/>
        <v/>
      </c>
      <c r="M153" s="122" t="str">
        <f t="shared" si="134"/>
        <v/>
      </c>
      <c r="N153" s="122" t="str">
        <f t="shared" si="135"/>
        <v/>
      </c>
      <c r="O153" s="122" t="str">
        <f t="shared" si="136"/>
        <v/>
      </c>
      <c r="P153" s="122" t="str">
        <f t="shared" si="137"/>
        <v/>
      </c>
      <c r="Q153" s="122" t="str">
        <f t="shared" si="138"/>
        <v/>
      </c>
      <c r="R153" s="122" t="str">
        <f t="shared" si="139"/>
        <v/>
      </c>
      <c r="S153" s="122" t="str">
        <f t="shared" si="140"/>
        <v/>
      </c>
      <c r="T153" s="122" t="str">
        <f t="shared" si="141"/>
        <v/>
      </c>
      <c r="U153" s="122" t="str">
        <f t="shared" si="142"/>
        <v/>
      </c>
      <c r="V153" s="122" t="str">
        <f t="shared" si="143"/>
        <v/>
      </c>
      <c r="W153" s="19" t="str">
        <f t="shared" si="144"/>
        <v/>
      </c>
      <c r="X153" s="19" t="str">
        <f t="shared" si="145"/>
        <v/>
      </c>
      <c r="Y153" s="19" t="str">
        <f t="shared" si="146"/>
        <v/>
      </c>
      <c r="Z153" s="19" t="str">
        <f t="shared" si="147"/>
        <v/>
      </c>
      <c r="AA153" s="19" t="str">
        <f t="shared" si="148"/>
        <v/>
      </c>
      <c r="AB153" s="19" t="str">
        <f t="shared" si="149"/>
        <v/>
      </c>
      <c r="AC153" s="19" t="str">
        <f t="shared" si="150"/>
        <v/>
      </c>
      <c r="AD153" s="19" t="str">
        <f t="shared" si="151"/>
        <v/>
      </c>
      <c r="AE153" s="19" t="str">
        <f t="shared" si="152"/>
        <v/>
      </c>
      <c r="AF153" s="19" t="str">
        <f t="shared" si="153"/>
        <v/>
      </c>
      <c r="AG153" s="122" t="str">
        <f t="shared" si="154"/>
        <v/>
      </c>
      <c r="AH153" s="122" t="str">
        <f t="shared" si="155"/>
        <v/>
      </c>
      <c r="AI153" s="122" t="str">
        <f t="shared" si="156"/>
        <v/>
      </c>
      <c r="AJ153" s="122" t="str">
        <f t="shared" si="157"/>
        <v/>
      </c>
      <c r="AK153" s="122" t="str">
        <f t="shared" si="158"/>
        <v/>
      </c>
      <c r="AL153" s="122" t="str">
        <f t="shared" si="159"/>
        <v/>
      </c>
      <c r="AM153" s="122" t="str">
        <f t="shared" si="160"/>
        <v/>
      </c>
      <c r="AN153" s="122" t="str">
        <f t="shared" si="161"/>
        <v/>
      </c>
      <c r="AO153" s="122" t="str">
        <f t="shared" si="162"/>
        <v/>
      </c>
      <c r="AP153" s="122" t="str">
        <f t="shared" si="163"/>
        <v/>
      </c>
      <c r="AQ153" s="130" t="str">
        <f t="shared" si="164"/>
        <v/>
      </c>
      <c r="AR153" s="122" t="str">
        <f t="shared" si="165"/>
        <v/>
      </c>
      <c r="AS153" s="1001"/>
      <c r="AT153" s="442"/>
      <c r="AU153" s="131" t="str">
        <f t="shared" si="166"/>
        <v/>
      </c>
      <c r="AV153" s="17"/>
      <c r="AW153" s="124" t="str">
        <f t="shared" si="167"/>
        <v/>
      </c>
      <c r="AX153" s="16"/>
      <c r="AY153" s="26"/>
    </row>
    <row r="154" spans="2:51">
      <c r="B154" s="508"/>
      <c r="C154" s="124"/>
      <c r="D154" s="123" t="str">
        <f t="shared" si="126"/>
        <v/>
      </c>
      <c r="E154" s="123" t="str">
        <f t="shared" si="127"/>
        <v/>
      </c>
      <c r="F154" s="124" t="str">
        <f t="shared" si="128"/>
        <v/>
      </c>
      <c r="G154" s="122" t="str">
        <f t="shared" si="129"/>
        <v/>
      </c>
      <c r="H154" s="122" t="str">
        <f t="shared" si="120"/>
        <v/>
      </c>
      <c r="I154" s="123" t="str">
        <f t="shared" si="130"/>
        <v/>
      </c>
      <c r="J154" s="123" t="str">
        <f t="shared" si="131"/>
        <v/>
      </c>
      <c r="K154" s="124" t="str">
        <f t="shared" si="132"/>
        <v/>
      </c>
      <c r="L154" s="124" t="str">
        <f t="shared" si="133"/>
        <v/>
      </c>
      <c r="M154" s="122" t="str">
        <f t="shared" si="134"/>
        <v/>
      </c>
      <c r="N154" s="122" t="str">
        <f t="shared" si="135"/>
        <v/>
      </c>
      <c r="O154" s="122" t="str">
        <f t="shared" si="136"/>
        <v/>
      </c>
      <c r="P154" s="122" t="str">
        <f t="shared" si="137"/>
        <v/>
      </c>
      <c r="Q154" s="122" t="str">
        <f t="shared" si="138"/>
        <v/>
      </c>
      <c r="R154" s="122" t="str">
        <f t="shared" si="139"/>
        <v/>
      </c>
      <c r="S154" s="122" t="str">
        <f t="shared" si="140"/>
        <v/>
      </c>
      <c r="T154" s="122" t="str">
        <f t="shared" si="141"/>
        <v/>
      </c>
      <c r="U154" s="122" t="str">
        <f t="shared" si="142"/>
        <v/>
      </c>
      <c r="V154" s="122" t="str">
        <f t="shared" si="143"/>
        <v/>
      </c>
      <c r="W154" s="19" t="str">
        <f t="shared" si="144"/>
        <v/>
      </c>
      <c r="X154" s="19" t="str">
        <f t="shared" si="145"/>
        <v/>
      </c>
      <c r="Y154" s="19" t="str">
        <f t="shared" si="146"/>
        <v/>
      </c>
      <c r="Z154" s="19" t="str">
        <f t="shared" si="147"/>
        <v/>
      </c>
      <c r="AA154" s="19" t="str">
        <f t="shared" si="148"/>
        <v/>
      </c>
      <c r="AB154" s="19" t="str">
        <f t="shared" si="149"/>
        <v/>
      </c>
      <c r="AC154" s="19" t="str">
        <f t="shared" si="150"/>
        <v/>
      </c>
      <c r="AD154" s="19" t="str">
        <f t="shared" si="151"/>
        <v/>
      </c>
      <c r="AE154" s="19" t="str">
        <f t="shared" si="152"/>
        <v/>
      </c>
      <c r="AF154" s="19" t="str">
        <f t="shared" si="153"/>
        <v/>
      </c>
      <c r="AG154" s="122" t="str">
        <f t="shared" si="154"/>
        <v/>
      </c>
      <c r="AH154" s="122" t="str">
        <f t="shared" si="155"/>
        <v/>
      </c>
      <c r="AI154" s="122" t="str">
        <f t="shared" si="156"/>
        <v/>
      </c>
      <c r="AJ154" s="122" t="str">
        <f t="shared" si="157"/>
        <v/>
      </c>
      <c r="AK154" s="122" t="str">
        <f t="shared" si="158"/>
        <v/>
      </c>
      <c r="AL154" s="122" t="str">
        <f t="shared" si="159"/>
        <v/>
      </c>
      <c r="AM154" s="122" t="str">
        <f t="shared" si="160"/>
        <v/>
      </c>
      <c r="AN154" s="122" t="str">
        <f t="shared" si="161"/>
        <v/>
      </c>
      <c r="AO154" s="122" t="str">
        <f t="shared" si="162"/>
        <v/>
      </c>
      <c r="AP154" s="122" t="str">
        <f t="shared" si="163"/>
        <v/>
      </c>
      <c r="AQ154" s="130" t="str">
        <f t="shared" si="164"/>
        <v/>
      </c>
      <c r="AR154" s="122" t="str">
        <f t="shared" si="165"/>
        <v/>
      </c>
      <c r="AS154" s="1001"/>
      <c r="AT154" s="442"/>
      <c r="AU154" s="131" t="str">
        <f t="shared" si="166"/>
        <v/>
      </c>
      <c r="AV154" s="17"/>
      <c r="AW154" s="124" t="str">
        <f t="shared" si="167"/>
        <v/>
      </c>
      <c r="AX154" s="16"/>
      <c r="AY154" s="26"/>
    </row>
    <row r="155" spans="2:51">
      <c r="B155" s="508"/>
      <c r="C155" s="124"/>
      <c r="D155" s="123" t="str">
        <f t="shared" si="126"/>
        <v/>
      </c>
      <c r="E155" s="123" t="str">
        <f t="shared" si="127"/>
        <v/>
      </c>
      <c r="F155" s="124" t="str">
        <f t="shared" si="128"/>
        <v/>
      </c>
      <c r="G155" s="122" t="str">
        <f t="shared" si="129"/>
        <v/>
      </c>
      <c r="H155" s="122" t="str">
        <f t="shared" si="120"/>
        <v/>
      </c>
      <c r="I155" s="123" t="str">
        <f t="shared" si="130"/>
        <v/>
      </c>
      <c r="J155" s="123" t="str">
        <f t="shared" si="131"/>
        <v/>
      </c>
      <c r="K155" s="124" t="str">
        <f t="shared" si="132"/>
        <v/>
      </c>
      <c r="L155" s="124" t="str">
        <f t="shared" si="133"/>
        <v/>
      </c>
      <c r="M155" s="122" t="str">
        <f t="shared" si="134"/>
        <v/>
      </c>
      <c r="N155" s="122" t="str">
        <f t="shared" si="135"/>
        <v/>
      </c>
      <c r="O155" s="122" t="str">
        <f t="shared" si="136"/>
        <v/>
      </c>
      <c r="P155" s="122" t="str">
        <f t="shared" si="137"/>
        <v/>
      </c>
      <c r="Q155" s="122" t="str">
        <f t="shared" si="138"/>
        <v/>
      </c>
      <c r="R155" s="122" t="str">
        <f t="shared" si="139"/>
        <v/>
      </c>
      <c r="S155" s="122" t="str">
        <f t="shared" si="140"/>
        <v/>
      </c>
      <c r="T155" s="122" t="str">
        <f t="shared" si="141"/>
        <v/>
      </c>
      <c r="U155" s="122" t="str">
        <f t="shared" si="142"/>
        <v/>
      </c>
      <c r="V155" s="122" t="str">
        <f t="shared" si="143"/>
        <v/>
      </c>
      <c r="W155" s="19" t="str">
        <f t="shared" si="144"/>
        <v/>
      </c>
      <c r="X155" s="19" t="str">
        <f t="shared" si="145"/>
        <v/>
      </c>
      <c r="Y155" s="19" t="str">
        <f t="shared" si="146"/>
        <v/>
      </c>
      <c r="Z155" s="19" t="str">
        <f t="shared" si="147"/>
        <v/>
      </c>
      <c r="AA155" s="19" t="str">
        <f t="shared" si="148"/>
        <v/>
      </c>
      <c r="AB155" s="19" t="str">
        <f t="shared" si="149"/>
        <v/>
      </c>
      <c r="AC155" s="19" t="str">
        <f t="shared" si="150"/>
        <v/>
      </c>
      <c r="AD155" s="19" t="str">
        <f t="shared" si="151"/>
        <v/>
      </c>
      <c r="AE155" s="19" t="str">
        <f t="shared" si="152"/>
        <v/>
      </c>
      <c r="AF155" s="19" t="str">
        <f t="shared" si="153"/>
        <v/>
      </c>
      <c r="AG155" s="122" t="str">
        <f t="shared" si="154"/>
        <v/>
      </c>
      <c r="AH155" s="122" t="str">
        <f t="shared" si="155"/>
        <v/>
      </c>
      <c r="AI155" s="122" t="str">
        <f t="shared" si="156"/>
        <v/>
      </c>
      <c r="AJ155" s="122" t="str">
        <f t="shared" si="157"/>
        <v/>
      </c>
      <c r="AK155" s="122" t="str">
        <f t="shared" si="158"/>
        <v/>
      </c>
      <c r="AL155" s="122" t="str">
        <f t="shared" si="159"/>
        <v/>
      </c>
      <c r="AM155" s="122" t="str">
        <f t="shared" si="160"/>
        <v/>
      </c>
      <c r="AN155" s="122" t="str">
        <f t="shared" si="161"/>
        <v/>
      </c>
      <c r="AO155" s="122" t="str">
        <f t="shared" si="162"/>
        <v/>
      </c>
      <c r="AP155" s="122" t="str">
        <f t="shared" si="163"/>
        <v/>
      </c>
      <c r="AQ155" s="130" t="str">
        <f t="shared" si="164"/>
        <v/>
      </c>
      <c r="AR155" s="122" t="str">
        <f t="shared" si="165"/>
        <v/>
      </c>
      <c r="AS155" s="1001"/>
      <c r="AT155" s="442"/>
      <c r="AU155" s="131" t="str">
        <f t="shared" si="166"/>
        <v/>
      </c>
      <c r="AV155" s="17"/>
      <c r="AW155" s="124" t="str">
        <f t="shared" si="167"/>
        <v/>
      </c>
      <c r="AX155" s="16"/>
      <c r="AY155" s="26"/>
    </row>
    <row r="156" spans="2:51">
      <c r="B156" s="508"/>
      <c r="C156" s="124"/>
      <c r="D156" s="123" t="str">
        <f t="shared" si="126"/>
        <v/>
      </c>
      <c r="E156" s="123" t="str">
        <f t="shared" si="127"/>
        <v/>
      </c>
      <c r="F156" s="124" t="str">
        <f t="shared" si="128"/>
        <v/>
      </c>
      <c r="G156" s="122" t="str">
        <f t="shared" si="129"/>
        <v/>
      </c>
      <c r="H156" s="122" t="str">
        <f t="shared" si="120"/>
        <v/>
      </c>
      <c r="I156" s="123" t="str">
        <f t="shared" si="130"/>
        <v/>
      </c>
      <c r="J156" s="123" t="str">
        <f t="shared" si="131"/>
        <v/>
      </c>
      <c r="K156" s="124" t="str">
        <f t="shared" si="132"/>
        <v/>
      </c>
      <c r="L156" s="124" t="str">
        <f t="shared" si="133"/>
        <v/>
      </c>
      <c r="M156" s="122" t="str">
        <f t="shared" si="134"/>
        <v/>
      </c>
      <c r="N156" s="122" t="str">
        <f t="shared" si="135"/>
        <v/>
      </c>
      <c r="O156" s="122" t="str">
        <f t="shared" si="136"/>
        <v/>
      </c>
      <c r="P156" s="122" t="str">
        <f t="shared" si="137"/>
        <v/>
      </c>
      <c r="Q156" s="122" t="str">
        <f t="shared" si="138"/>
        <v/>
      </c>
      <c r="R156" s="122" t="str">
        <f t="shared" si="139"/>
        <v/>
      </c>
      <c r="S156" s="122" t="str">
        <f t="shared" si="140"/>
        <v/>
      </c>
      <c r="T156" s="122" t="str">
        <f t="shared" si="141"/>
        <v/>
      </c>
      <c r="U156" s="122" t="str">
        <f t="shared" si="142"/>
        <v/>
      </c>
      <c r="V156" s="122" t="str">
        <f t="shared" si="143"/>
        <v/>
      </c>
      <c r="W156" s="19" t="str">
        <f t="shared" si="144"/>
        <v/>
      </c>
      <c r="X156" s="19" t="str">
        <f t="shared" si="145"/>
        <v/>
      </c>
      <c r="Y156" s="19" t="str">
        <f t="shared" si="146"/>
        <v/>
      </c>
      <c r="Z156" s="19" t="str">
        <f t="shared" si="147"/>
        <v/>
      </c>
      <c r="AA156" s="19" t="str">
        <f t="shared" si="148"/>
        <v/>
      </c>
      <c r="AB156" s="19" t="str">
        <f t="shared" si="149"/>
        <v/>
      </c>
      <c r="AC156" s="19" t="str">
        <f t="shared" si="150"/>
        <v/>
      </c>
      <c r="AD156" s="19" t="str">
        <f t="shared" si="151"/>
        <v/>
      </c>
      <c r="AE156" s="19" t="str">
        <f t="shared" si="152"/>
        <v/>
      </c>
      <c r="AF156" s="19" t="str">
        <f t="shared" si="153"/>
        <v/>
      </c>
      <c r="AG156" s="122" t="str">
        <f t="shared" si="154"/>
        <v/>
      </c>
      <c r="AH156" s="122" t="str">
        <f t="shared" si="155"/>
        <v/>
      </c>
      <c r="AI156" s="122" t="str">
        <f t="shared" si="156"/>
        <v/>
      </c>
      <c r="AJ156" s="122" t="str">
        <f t="shared" si="157"/>
        <v/>
      </c>
      <c r="AK156" s="122" t="str">
        <f t="shared" si="158"/>
        <v/>
      </c>
      <c r="AL156" s="122" t="str">
        <f t="shared" si="159"/>
        <v/>
      </c>
      <c r="AM156" s="122" t="str">
        <f t="shared" si="160"/>
        <v/>
      </c>
      <c r="AN156" s="122" t="str">
        <f t="shared" si="161"/>
        <v/>
      </c>
      <c r="AO156" s="122" t="str">
        <f t="shared" si="162"/>
        <v/>
      </c>
      <c r="AP156" s="122" t="str">
        <f t="shared" si="163"/>
        <v/>
      </c>
      <c r="AQ156" s="130" t="str">
        <f t="shared" si="164"/>
        <v/>
      </c>
      <c r="AR156" s="122" t="str">
        <f t="shared" si="165"/>
        <v/>
      </c>
      <c r="AS156" s="1001"/>
      <c r="AT156" s="442"/>
      <c r="AU156" s="131" t="str">
        <f t="shared" si="166"/>
        <v/>
      </c>
      <c r="AV156" s="17"/>
      <c r="AW156" s="124" t="str">
        <f t="shared" si="167"/>
        <v/>
      </c>
      <c r="AX156" s="16"/>
      <c r="AY156" s="26"/>
    </row>
    <row r="157" spans="2:51">
      <c r="B157" s="508"/>
      <c r="C157" s="124"/>
      <c r="D157" s="123" t="str">
        <f t="shared" si="126"/>
        <v/>
      </c>
      <c r="E157" s="123" t="str">
        <f t="shared" si="127"/>
        <v/>
      </c>
      <c r="F157" s="124" t="str">
        <f t="shared" si="128"/>
        <v/>
      </c>
      <c r="G157" s="122" t="str">
        <f t="shared" si="129"/>
        <v/>
      </c>
      <c r="H157" s="122" t="str">
        <f t="shared" si="120"/>
        <v/>
      </c>
      <c r="I157" s="123" t="str">
        <f t="shared" si="130"/>
        <v/>
      </c>
      <c r="J157" s="123" t="str">
        <f t="shared" si="131"/>
        <v/>
      </c>
      <c r="K157" s="124" t="str">
        <f t="shared" si="132"/>
        <v/>
      </c>
      <c r="L157" s="124" t="str">
        <f t="shared" si="133"/>
        <v/>
      </c>
      <c r="M157" s="122" t="str">
        <f t="shared" si="134"/>
        <v/>
      </c>
      <c r="N157" s="122" t="str">
        <f t="shared" si="135"/>
        <v/>
      </c>
      <c r="O157" s="122" t="str">
        <f t="shared" si="136"/>
        <v/>
      </c>
      <c r="P157" s="122" t="str">
        <f t="shared" si="137"/>
        <v/>
      </c>
      <c r="Q157" s="122" t="str">
        <f t="shared" si="138"/>
        <v/>
      </c>
      <c r="R157" s="122" t="str">
        <f t="shared" si="139"/>
        <v/>
      </c>
      <c r="S157" s="122" t="str">
        <f t="shared" si="140"/>
        <v/>
      </c>
      <c r="T157" s="122" t="str">
        <f t="shared" si="141"/>
        <v/>
      </c>
      <c r="U157" s="122" t="str">
        <f t="shared" si="142"/>
        <v/>
      </c>
      <c r="V157" s="122" t="str">
        <f t="shared" si="143"/>
        <v/>
      </c>
      <c r="W157" s="19" t="str">
        <f t="shared" si="144"/>
        <v/>
      </c>
      <c r="X157" s="19" t="str">
        <f t="shared" si="145"/>
        <v/>
      </c>
      <c r="Y157" s="19" t="str">
        <f t="shared" si="146"/>
        <v/>
      </c>
      <c r="Z157" s="19" t="str">
        <f t="shared" si="147"/>
        <v/>
      </c>
      <c r="AA157" s="19" t="str">
        <f t="shared" si="148"/>
        <v/>
      </c>
      <c r="AB157" s="19" t="str">
        <f t="shared" si="149"/>
        <v/>
      </c>
      <c r="AC157" s="19" t="str">
        <f t="shared" si="150"/>
        <v/>
      </c>
      <c r="AD157" s="19" t="str">
        <f t="shared" si="151"/>
        <v/>
      </c>
      <c r="AE157" s="19" t="str">
        <f t="shared" si="152"/>
        <v/>
      </c>
      <c r="AF157" s="19" t="str">
        <f t="shared" si="153"/>
        <v/>
      </c>
      <c r="AG157" s="122" t="str">
        <f t="shared" si="154"/>
        <v/>
      </c>
      <c r="AH157" s="122" t="str">
        <f t="shared" si="155"/>
        <v/>
      </c>
      <c r="AI157" s="122" t="str">
        <f t="shared" si="156"/>
        <v/>
      </c>
      <c r="AJ157" s="122" t="str">
        <f t="shared" si="157"/>
        <v/>
      </c>
      <c r="AK157" s="122" t="str">
        <f t="shared" si="158"/>
        <v/>
      </c>
      <c r="AL157" s="122" t="str">
        <f t="shared" si="159"/>
        <v/>
      </c>
      <c r="AM157" s="122" t="str">
        <f t="shared" si="160"/>
        <v/>
      </c>
      <c r="AN157" s="122" t="str">
        <f t="shared" si="161"/>
        <v/>
      </c>
      <c r="AO157" s="122" t="str">
        <f t="shared" si="162"/>
        <v/>
      </c>
      <c r="AP157" s="122" t="str">
        <f t="shared" si="163"/>
        <v/>
      </c>
      <c r="AQ157" s="130" t="str">
        <f t="shared" si="164"/>
        <v/>
      </c>
      <c r="AR157" s="122" t="str">
        <f t="shared" si="165"/>
        <v/>
      </c>
      <c r="AS157" s="1001"/>
      <c r="AT157" s="442"/>
      <c r="AU157" s="131" t="str">
        <f t="shared" si="166"/>
        <v/>
      </c>
      <c r="AV157" s="17"/>
      <c r="AW157" s="124" t="str">
        <f t="shared" si="167"/>
        <v/>
      </c>
      <c r="AX157" s="16"/>
      <c r="AY157" s="26"/>
    </row>
    <row r="158" spans="2:51">
      <c r="B158" s="508"/>
      <c r="C158" s="124"/>
      <c r="D158" s="123" t="str">
        <f t="shared" si="126"/>
        <v/>
      </c>
      <c r="E158" s="123" t="str">
        <f t="shared" si="127"/>
        <v/>
      </c>
      <c r="F158" s="124" t="str">
        <f t="shared" si="128"/>
        <v/>
      </c>
      <c r="G158" s="122" t="str">
        <f t="shared" si="129"/>
        <v/>
      </c>
      <c r="H158" s="122" t="str">
        <f t="shared" si="120"/>
        <v/>
      </c>
      <c r="I158" s="123" t="str">
        <f t="shared" si="130"/>
        <v/>
      </c>
      <c r="J158" s="123" t="str">
        <f t="shared" si="131"/>
        <v/>
      </c>
      <c r="K158" s="124" t="str">
        <f t="shared" si="132"/>
        <v/>
      </c>
      <c r="L158" s="124" t="str">
        <f t="shared" si="133"/>
        <v/>
      </c>
      <c r="M158" s="122" t="str">
        <f t="shared" si="134"/>
        <v/>
      </c>
      <c r="N158" s="122" t="str">
        <f t="shared" si="135"/>
        <v/>
      </c>
      <c r="O158" s="122" t="str">
        <f t="shared" si="136"/>
        <v/>
      </c>
      <c r="P158" s="122" t="str">
        <f t="shared" si="137"/>
        <v/>
      </c>
      <c r="Q158" s="122" t="str">
        <f t="shared" si="138"/>
        <v/>
      </c>
      <c r="R158" s="122" t="str">
        <f t="shared" si="139"/>
        <v/>
      </c>
      <c r="S158" s="122" t="str">
        <f t="shared" si="140"/>
        <v/>
      </c>
      <c r="T158" s="122" t="str">
        <f t="shared" si="141"/>
        <v/>
      </c>
      <c r="U158" s="122" t="str">
        <f t="shared" si="142"/>
        <v/>
      </c>
      <c r="V158" s="122" t="str">
        <f t="shared" si="143"/>
        <v/>
      </c>
      <c r="W158" s="19" t="str">
        <f t="shared" si="144"/>
        <v/>
      </c>
      <c r="X158" s="19" t="str">
        <f t="shared" si="145"/>
        <v/>
      </c>
      <c r="Y158" s="19" t="str">
        <f t="shared" si="146"/>
        <v/>
      </c>
      <c r="Z158" s="19" t="str">
        <f t="shared" si="147"/>
        <v/>
      </c>
      <c r="AA158" s="19" t="str">
        <f t="shared" si="148"/>
        <v/>
      </c>
      <c r="AB158" s="19" t="str">
        <f t="shared" si="149"/>
        <v/>
      </c>
      <c r="AC158" s="19" t="str">
        <f t="shared" si="150"/>
        <v/>
      </c>
      <c r="AD158" s="19" t="str">
        <f t="shared" si="151"/>
        <v/>
      </c>
      <c r="AE158" s="19" t="str">
        <f t="shared" si="152"/>
        <v/>
      </c>
      <c r="AF158" s="19" t="str">
        <f t="shared" si="153"/>
        <v/>
      </c>
      <c r="AG158" s="122" t="str">
        <f t="shared" si="154"/>
        <v/>
      </c>
      <c r="AH158" s="122" t="str">
        <f t="shared" si="155"/>
        <v/>
      </c>
      <c r="AI158" s="122" t="str">
        <f t="shared" si="156"/>
        <v/>
      </c>
      <c r="AJ158" s="122" t="str">
        <f t="shared" si="157"/>
        <v/>
      </c>
      <c r="AK158" s="122" t="str">
        <f t="shared" si="158"/>
        <v/>
      </c>
      <c r="AL158" s="122" t="str">
        <f t="shared" si="159"/>
        <v/>
      </c>
      <c r="AM158" s="122" t="str">
        <f t="shared" si="160"/>
        <v/>
      </c>
      <c r="AN158" s="122" t="str">
        <f t="shared" si="161"/>
        <v/>
      </c>
      <c r="AO158" s="122" t="str">
        <f t="shared" si="162"/>
        <v/>
      </c>
      <c r="AP158" s="122" t="str">
        <f t="shared" si="163"/>
        <v/>
      </c>
      <c r="AQ158" s="130" t="str">
        <f t="shared" si="164"/>
        <v/>
      </c>
      <c r="AR158" s="122" t="str">
        <f t="shared" si="165"/>
        <v/>
      </c>
      <c r="AS158" s="1001"/>
      <c r="AT158" s="442"/>
      <c r="AU158" s="131" t="str">
        <f t="shared" si="166"/>
        <v/>
      </c>
      <c r="AV158" s="17"/>
      <c r="AW158" s="124" t="str">
        <f t="shared" si="167"/>
        <v/>
      </c>
      <c r="AX158" s="16"/>
      <c r="AY158" s="26"/>
    </row>
    <row r="159" spans="2:51">
      <c r="B159" s="508"/>
      <c r="C159" s="124"/>
      <c r="D159" s="123" t="str">
        <f t="shared" si="126"/>
        <v/>
      </c>
      <c r="E159" s="123" t="str">
        <f t="shared" si="127"/>
        <v/>
      </c>
      <c r="F159" s="124" t="str">
        <f t="shared" si="128"/>
        <v/>
      </c>
      <c r="G159" s="122" t="str">
        <f t="shared" si="129"/>
        <v/>
      </c>
      <c r="H159" s="122" t="str">
        <f t="shared" si="120"/>
        <v/>
      </c>
      <c r="I159" s="123" t="str">
        <f t="shared" si="130"/>
        <v/>
      </c>
      <c r="J159" s="123" t="str">
        <f t="shared" si="131"/>
        <v/>
      </c>
      <c r="K159" s="124" t="str">
        <f t="shared" si="132"/>
        <v/>
      </c>
      <c r="L159" s="124" t="str">
        <f t="shared" si="133"/>
        <v/>
      </c>
      <c r="M159" s="122" t="str">
        <f t="shared" si="134"/>
        <v/>
      </c>
      <c r="N159" s="122" t="str">
        <f t="shared" si="135"/>
        <v/>
      </c>
      <c r="O159" s="122" t="str">
        <f t="shared" si="136"/>
        <v/>
      </c>
      <c r="P159" s="122" t="str">
        <f t="shared" si="137"/>
        <v/>
      </c>
      <c r="Q159" s="122" t="str">
        <f t="shared" si="138"/>
        <v/>
      </c>
      <c r="R159" s="122" t="str">
        <f t="shared" si="139"/>
        <v/>
      </c>
      <c r="S159" s="122" t="str">
        <f t="shared" si="140"/>
        <v/>
      </c>
      <c r="T159" s="122" t="str">
        <f t="shared" si="141"/>
        <v/>
      </c>
      <c r="U159" s="122" t="str">
        <f t="shared" si="142"/>
        <v/>
      </c>
      <c r="V159" s="122" t="str">
        <f t="shared" si="143"/>
        <v/>
      </c>
      <c r="W159" s="19" t="str">
        <f t="shared" si="144"/>
        <v/>
      </c>
      <c r="X159" s="19" t="str">
        <f t="shared" si="145"/>
        <v/>
      </c>
      <c r="Y159" s="19" t="str">
        <f t="shared" si="146"/>
        <v/>
      </c>
      <c r="Z159" s="19" t="str">
        <f t="shared" si="147"/>
        <v/>
      </c>
      <c r="AA159" s="19" t="str">
        <f t="shared" si="148"/>
        <v/>
      </c>
      <c r="AB159" s="19" t="str">
        <f t="shared" si="149"/>
        <v/>
      </c>
      <c r="AC159" s="19" t="str">
        <f t="shared" si="150"/>
        <v/>
      </c>
      <c r="AD159" s="19" t="str">
        <f t="shared" si="151"/>
        <v/>
      </c>
      <c r="AE159" s="19" t="str">
        <f t="shared" si="152"/>
        <v/>
      </c>
      <c r="AF159" s="19" t="str">
        <f t="shared" si="153"/>
        <v/>
      </c>
      <c r="AG159" s="122" t="str">
        <f t="shared" si="154"/>
        <v/>
      </c>
      <c r="AH159" s="122" t="str">
        <f t="shared" si="155"/>
        <v/>
      </c>
      <c r="AI159" s="122" t="str">
        <f t="shared" si="156"/>
        <v/>
      </c>
      <c r="AJ159" s="122" t="str">
        <f t="shared" si="157"/>
        <v/>
      </c>
      <c r="AK159" s="122" t="str">
        <f t="shared" si="158"/>
        <v/>
      </c>
      <c r="AL159" s="122" t="str">
        <f t="shared" si="159"/>
        <v/>
      </c>
      <c r="AM159" s="122" t="str">
        <f t="shared" si="160"/>
        <v/>
      </c>
      <c r="AN159" s="122" t="str">
        <f t="shared" si="161"/>
        <v/>
      </c>
      <c r="AO159" s="122" t="str">
        <f t="shared" si="162"/>
        <v/>
      </c>
      <c r="AP159" s="122" t="str">
        <f t="shared" si="163"/>
        <v/>
      </c>
      <c r="AQ159" s="130" t="str">
        <f t="shared" si="164"/>
        <v/>
      </c>
      <c r="AR159" s="122" t="str">
        <f t="shared" si="165"/>
        <v/>
      </c>
      <c r="AS159" s="1001"/>
      <c r="AT159" s="442"/>
      <c r="AU159" s="131" t="str">
        <f t="shared" si="166"/>
        <v/>
      </c>
      <c r="AV159" s="17"/>
      <c r="AW159" s="124" t="str">
        <f t="shared" si="167"/>
        <v/>
      </c>
      <c r="AX159" s="16"/>
      <c r="AY159" s="26"/>
    </row>
    <row r="160" spans="2:51">
      <c r="B160" s="508"/>
      <c r="C160" s="124"/>
      <c r="D160" s="123" t="str">
        <f t="shared" si="126"/>
        <v/>
      </c>
      <c r="E160" s="123" t="str">
        <f t="shared" si="127"/>
        <v/>
      </c>
      <c r="F160" s="124" t="str">
        <f t="shared" si="128"/>
        <v/>
      </c>
      <c r="G160" s="122" t="str">
        <f t="shared" si="129"/>
        <v/>
      </c>
      <c r="H160" s="122" t="str">
        <f t="shared" si="120"/>
        <v/>
      </c>
      <c r="I160" s="123" t="str">
        <f t="shared" si="130"/>
        <v/>
      </c>
      <c r="J160" s="123" t="str">
        <f t="shared" si="131"/>
        <v/>
      </c>
      <c r="K160" s="124" t="str">
        <f t="shared" si="132"/>
        <v/>
      </c>
      <c r="L160" s="124" t="str">
        <f t="shared" si="133"/>
        <v/>
      </c>
      <c r="M160" s="122" t="str">
        <f t="shared" si="134"/>
        <v/>
      </c>
      <c r="N160" s="122" t="str">
        <f t="shared" si="135"/>
        <v/>
      </c>
      <c r="O160" s="122" t="str">
        <f t="shared" si="136"/>
        <v/>
      </c>
      <c r="P160" s="122" t="str">
        <f t="shared" si="137"/>
        <v/>
      </c>
      <c r="Q160" s="122" t="str">
        <f t="shared" si="138"/>
        <v/>
      </c>
      <c r="R160" s="122" t="str">
        <f t="shared" si="139"/>
        <v/>
      </c>
      <c r="S160" s="122" t="str">
        <f t="shared" si="140"/>
        <v/>
      </c>
      <c r="T160" s="122" t="str">
        <f t="shared" si="141"/>
        <v/>
      </c>
      <c r="U160" s="122" t="str">
        <f t="shared" si="142"/>
        <v/>
      </c>
      <c r="V160" s="122" t="str">
        <f t="shared" si="143"/>
        <v/>
      </c>
      <c r="W160" s="19" t="str">
        <f t="shared" si="144"/>
        <v/>
      </c>
      <c r="X160" s="19" t="str">
        <f t="shared" si="145"/>
        <v/>
      </c>
      <c r="Y160" s="19" t="str">
        <f t="shared" si="146"/>
        <v/>
      </c>
      <c r="Z160" s="19" t="str">
        <f t="shared" si="147"/>
        <v/>
      </c>
      <c r="AA160" s="19" t="str">
        <f t="shared" si="148"/>
        <v/>
      </c>
      <c r="AB160" s="19" t="str">
        <f t="shared" si="149"/>
        <v/>
      </c>
      <c r="AC160" s="19" t="str">
        <f t="shared" si="150"/>
        <v/>
      </c>
      <c r="AD160" s="19" t="str">
        <f t="shared" si="151"/>
        <v/>
      </c>
      <c r="AE160" s="19" t="str">
        <f t="shared" si="152"/>
        <v/>
      </c>
      <c r="AF160" s="19" t="str">
        <f t="shared" si="153"/>
        <v/>
      </c>
      <c r="AG160" s="122" t="str">
        <f t="shared" si="154"/>
        <v/>
      </c>
      <c r="AH160" s="122" t="str">
        <f t="shared" si="155"/>
        <v/>
      </c>
      <c r="AI160" s="122" t="str">
        <f t="shared" si="156"/>
        <v/>
      </c>
      <c r="AJ160" s="122" t="str">
        <f t="shared" si="157"/>
        <v/>
      </c>
      <c r="AK160" s="122" t="str">
        <f t="shared" si="158"/>
        <v/>
      </c>
      <c r="AL160" s="122" t="str">
        <f t="shared" si="159"/>
        <v/>
      </c>
      <c r="AM160" s="122" t="str">
        <f t="shared" si="160"/>
        <v/>
      </c>
      <c r="AN160" s="122" t="str">
        <f t="shared" si="161"/>
        <v/>
      </c>
      <c r="AO160" s="122" t="str">
        <f t="shared" si="162"/>
        <v/>
      </c>
      <c r="AP160" s="122" t="str">
        <f t="shared" si="163"/>
        <v/>
      </c>
      <c r="AQ160" s="130" t="str">
        <f t="shared" si="164"/>
        <v/>
      </c>
      <c r="AR160" s="122" t="str">
        <f t="shared" si="165"/>
        <v/>
      </c>
      <c r="AS160" s="1001"/>
      <c r="AT160" s="442"/>
      <c r="AU160" s="131" t="str">
        <f t="shared" si="166"/>
        <v/>
      </c>
      <c r="AV160" s="17"/>
      <c r="AW160" s="124" t="str">
        <f t="shared" si="167"/>
        <v/>
      </c>
      <c r="AX160" s="16"/>
      <c r="AY160" s="26"/>
    </row>
    <row r="161" spans="2:51">
      <c r="B161" s="508"/>
      <c r="C161" s="124"/>
      <c r="D161" s="123" t="str">
        <f t="shared" si="126"/>
        <v/>
      </c>
      <c r="E161" s="123" t="str">
        <f t="shared" si="127"/>
        <v/>
      </c>
      <c r="F161" s="124" t="str">
        <f t="shared" si="128"/>
        <v/>
      </c>
      <c r="G161" s="122" t="str">
        <f t="shared" si="129"/>
        <v/>
      </c>
      <c r="H161" s="122" t="str">
        <f t="shared" si="120"/>
        <v/>
      </c>
      <c r="I161" s="123" t="str">
        <f t="shared" si="130"/>
        <v/>
      </c>
      <c r="J161" s="123" t="str">
        <f t="shared" si="131"/>
        <v/>
      </c>
      <c r="K161" s="124" t="str">
        <f t="shared" si="132"/>
        <v/>
      </c>
      <c r="L161" s="124" t="str">
        <f t="shared" si="133"/>
        <v/>
      </c>
      <c r="M161" s="122" t="str">
        <f t="shared" si="134"/>
        <v/>
      </c>
      <c r="N161" s="122" t="str">
        <f t="shared" si="135"/>
        <v/>
      </c>
      <c r="O161" s="122" t="str">
        <f t="shared" si="136"/>
        <v/>
      </c>
      <c r="P161" s="122" t="str">
        <f t="shared" si="137"/>
        <v/>
      </c>
      <c r="Q161" s="122" t="str">
        <f t="shared" si="138"/>
        <v/>
      </c>
      <c r="R161" s="122" t="str">
        <f t="shared" si="139"/>
        <v/>
      </c>
      <c r="S161" s="122" t="str">
        <f t="shared" si="140"/>
        <v/>
      </c>
      <c r="T161" s="122" t="str">
        <f t="shared" si="141"/>
        <v/>
      </c>
      <c r="U161" s="122" t="str">
        <f t="shared" si="142"/>
        <v/>
      </c>
      <c r="V161" s="122" t="str">
        <f t="shared" si="143"/>
        <v/>
      </c>
      <c r="W161" s="19" t="str">
        <f t="shared" si="144"/>
        <v/>
      </c>
      <c r="X161" s="19" t="str">
        <f t="shared" si="145"/>
        <v/>
      </c>
      <c r="Y161" s="19" t="str">
        <f t="shared" si="146"/>
        <v/>
      </c>
      <c r="Z161" s="19" t="str">
        <f t="shared" si="147"/>
        <v/>
      </c>
      <c r="AA161" s="19" t="str">
        <f t="shared" si="148"/>
        <v/>
      </c>
      <c r="AB161" s="19" t="str">
        <f t="shared" si="149"/>
        <v/>
      </c>
      <c r="AC161" s="19" t="str">
        <f t="shared" si="150"/>
        <v/>
      </c>
      <c r="AD161" s="19" t="str">
        <f t="shared" si="151"/>
        <v/>
      </c>
      <c r="AE161" s="19" t="str">
        <f t="shared" si="152"/>
        <v/>
      </c>
      <c r="AF161" s="19" t="str">
        <f t="shared" si="153"/>
        <v/>
      </c>
      <c r="AG161" s="122" t="str">
        <f t="shared" si="154"/>
        <v/>
      </c>
      <c r="AH161" s="122" t="str">
        <f t="shared" si="155"/>
        <v/>
      </c>
      <c r="AI161" s="122" t="str">
        <f t="shared" si="156"/>
        <v/>
      </c>
      <c r="AJ161" s="122" t="str">
        <f t="shared" si="157"/>
        <v/>
      </c>
      <c r="AK161" s="122" t="str">
        <f t="shared" si="158"/>
        <v/>
      </c>
      <c r="AL161" s="122" t="str">
        <f t="shared" si="159"/>
        <v/>
      </c>
      <c r="AM161" s="122" t="str">
        <f t="shared" si="160"/>
        <v/>
      </c>
      <c r="AN161" s="122" t="str">
        <f t="shared" si="161"/>
        <v/>
      </c>
      <c r="AO161" s="122" t="str">
        <f t="shared" si="162"/>
        <v/>
      </c>
      <c r="AP161" s="122" t="str">
        <f t="shared" si="163"/>
        <v/>
      </c>
      <c r="AQ161" s="130" t="str">
        <f t="shared" si="164"/>
        <v/>
      </c>
      <c r="AR161" s="122" t="str">
        <f t="shared" si="165"/>
        <v/>
      </c>
      <c r="AS161" s="1001"/>
      <c r="AT161" s="442"/>
      <c r="AU161" s="131" t="str">
        <f t="shared" si="166"/>
        <v/>
      </c>
      <c r="AV161" s="17"/>
      <c r="AW161" s="124" t="str">
        <f t="shared" si="167"/>
        <v/>
      </c>
      <c r="AX161" s="16"/>
      <c r="AY161" s="26"/>
    </row>
    <row r="162" spans="2:51">
      <c r="B162" s="508"/>
      <c r="C162" s="124"/>
      <c r="D162" s="123" t="str">
        <f t="shared" si="126"/>
        <v/>
      </c>
      <c r="E162" s="123" t="str">
        <f t="shared" si="127"/>
        <v/>
      </c>
      <c r="F162" s="124" t="str">
        <f t="shared" si="128"/>
        <v/>
      </c>
      <c r="G162" s="122" t="str">
        <f t="shared" si="129"/>
        <v/>
      </c>
      <c r="H162" s="122" t="str">
        <f t="shared" si="120"/>
        <v/>
      </c>
      <c r="I162" s="123" t="str">
        <f t="shared" si="130"/>
        <v/>
      </c>
      <c r="J162" s="123" t="str">
        <f t="shared" si="131"/>
        <v/>
      </c>
      <c r="K162" s="124" t="str">
        <f t="shared" si="132"/>
        <v/>
      </c>
      <c r="L162" s="124" t="str">
        <f t="shared" si="133"/>
        <v/>
      </c>
      <c r="M162" s="122" t="str">
        <f t="shared" si="134"/>
        <v/>
      </c>
      <c r="N162" s="122" t="str">
        <f t="shared" si="135"/>
        <v/>
      </c>
      <c r="O162" s="122" t="str">
        <f t="shared" si="136"/>
        <v/>
      </c>
      <c r="P162" s="122" t="str">
        <f t="shared" si="137"/>
        <v/>
      </c>
      <c r="Q162" s="122" t="str">
        <f t="shared" si="138"/>
        <v/>
      </c>
      <c r="R162" s="122" t="str">
        <f t="shared" si="139"/>
        <v/>
      </c>
      <c r="S162" s="122" t="str">
        <f t="shared" si="140"/>
        <v/>
      </c>
      <c r="T162" s="122" t="str">
        <f t="shared" si="141"/>
        <v/>
      </c>
      <c r="U162" s="122" t="str">
        <f t="shared" si="142"/>
        <v/>
      </c>
      <c r="V162" s="122" t="str">
        <f t="shared" si="143"/>
        <v/>
      </c>
      <c r="W162" s="19" t="str">
        <f t="shared" si="144"/>
        <v/>
      </c>
      <c r="X162" s="19" t="str">
        <f t="shared" si="145"/>
        <v/>
      </c>
      <c r="Y162" s="19" t="str">
        <f t="shared" si="146"/>
        <v/>
      </c>
      <c r="Z162" s="19" t="str">
        <f t="shared" si="147"/>
        <v/>
      </c>
      <c r="AA162" s="19" t="str">
        <f t="shared" si="148"/>
        <v/>
      </c>
      <c r="AB162" s="19" t="str">
        <f t="shared" si="149"/>
        <v/>
      </c>
      <c r="AC162" s="19" t="str">
        <f t="shared" si="150"/>
        <v/>
      </c>
      <c r="AD162" s="19" t="str">
        <f t="shared" si="151"/>
        <v/>
      </c>
      <c r="AE162" s="19" t="str">
        <f t="shared" si="152"/>
        <v/>
      </c>
      <c r="AF162" s="19" t="str">
        <f t="shared" si="153"/>
        <v/>
      </c>
      <c r="AG162" s="122" t="str">
        <f t="shared" si="154"/>
        <v/>
      </c>
      <c r="AH162" s="122" t="str">
        <f t="shared" si="155"/>
        <v/>
      </c>
      <c r="AI162" s="122" t="str">
        <f t="shared" si="156"/>
        <v/>
      </c>
      <c r="AJ162" s="122" t="str">
        <f t="shared" si="157"/>
        <v/>
      </c>
      <c r="AK162" s="122" t="str">
        <f t="shared" si="158"/>
        <v/>
      </c>
      <c r="AL162" s="122" t="str">
        <f t="shared" si="159"/>
        <v/>
      </c>
      <c r="AM162" s="122" t="str">
        <f t="shared" si="160"/>
        <v/>
      </c>
      <c r="AN162" s="122" t="str">
        <f t="shared" si="161"/>
        <v/>
      </c>
      <c r="AO162" s="122" t="str">
        <f t="shared" si="162"/>
        <v/>
      </c>
      <c r="AP162" s="122" t="str">
        <f t="shared" si="163"/>
        <v/>
      </c>
      <c r="AQ162" s="130" t="str">
        <f t="shared" si="164"/>
        <v/>
      </c>
      <c r="AR162" s="122" t="str">
        <f t="shared" si="165"/>
        <v/>
      </c>
      <c r="AS162" s="1001"/>
      <c r="AT162" s="442"/>
      <c r="AU162" s="131" t="str">
        <f t="shared" si="166"/>
        <v/>
      </c>
      <c r="AV162" s="17"/>
      <c r="AW162" s="124" t="str">
        <f t="shared" si="167"/>
        <v/>
      </c>
      <c r="AX162" s="16"/>
      <c r="AY162" s="26"/>
    </row>
    <row r="163" spans="2:51">
      <c r="B163" s="508"/>
      <c r="C163" s="124"/>
      <c r="D163" s="123" t="str">
        <f t="shared" si="126"/>
        <v/>
      </c>
      <c r="E163" s="123" t="str">
        <f t="shared" si="127"/>
        <v/>
      </c>
      <c r="F163" s="124" t="str">
        <f t="shared" si="128"/>
        <v/>
      </c>
      <c r="G163" s="122" t="str">
        <f t="shared" si="129"/>
        <v/>
      </c>
      <c r="H163" s="122" t="str">
        <f t="shared" si="120"/>
        <v/>
      </c>
      <c r="I163" s="123" t="str">
        <f t="shared" si="130"/>
        <v/>
      </c>
      <c r="J163" s="123" t="str">
        <f t="shared" si="131"/>
        <v/>
      </c>
      <c r="K163" s="124" t="str">
        <f t="shared" si="132"/>
        <v/>
      </c>
      <c r="L163" s="124" t="str">
        <f t="shared" si="133"/>
        <v/>
      </c>
      <c r="M163" s="122" t="str">
        <f t="shared" si="134"/>
        <v/>
      </c>
      <c r="N163" s="122" t="str">
        <f t="shared" si="135"/>
        <v/>
      </c>
      <c r="O163" s="122" t="str">
        <f t="shared" si="136"/>
        <v/>
      </c>
      <c r="P163" s="122" t="str">
        <f t="shared" si="137"/>
        <v/>
      </c>
      <c r="Q163" s="122" t="str">
        <f t="shared" si="138"/>
        <v/>
      </c>
      <c r="R163" s="122" t="str">
        <f t="shared" si="139"/>
        <v/>
      </c>
      <c r="S163" s="122" t="str">
        <f t="shared" si="140"/>
        <v/>
      </c>
      <c r="T163" s="122" t="str">
        <f t="shared" si="141"/>
        <v/>
      </c>
      <c r="U163" s="122" t="str">
        <f t="shared" si="142"/>
        <v/>
      </c>
      <c r="V163" s="122" t="str">
        <f t="shared" si="143"/>
        <v/>
      </c>
      <c r="W163" s="19" t="str">
        <f t="shared" si="144"/>
        <v/>
      </c>
      <c r="X163" s="19" t="str">
        <f t="shared" si="145"/>
        <v/>
      </c>
      <c r="Y163" s="19" t="str">
        <f t="shared" si="146"/>
        <v/>
      </c>
      <c r="Z163" s="19" t="str">
        <f t="shared" si="147"/>
        <v/>
      </c>
      <c r="AA163" s="19" t="str">
        <f t="shared" si="148"/>
        <v/>
      </c>
      <c r="AB163" s="19" t="str">
        <f t="shared" si="149"/>
        <v/>
      </c>
      <c r="AC163" s="19" t="str">
        <f t="shared" si="150"/>
        <v/>
      </c>
      <c r="AD163" s="19" t="str">
        <f t="shared" si="151"/>
        <v/>
      </c>
      <c r="AE163" s="19" t="str">
        <f t="shared" si="152"/>
        <v/>
      </c>
      <c r="AF163" s="19" t="str">
        <f t="shared" si="153"/>
        <v/>
      </c>
      <c r="AG163" s="122" t="str">
        <f t="shared" si="154"/>
        <v/>
      </c>
      <c r="AH163" s="122" t="str">
        <f t="shared" si="155"/>
        <v/>
      </c>
      <c r="AI163" s="122" t="str">
        <f t="shared" si="156"/>
        <v/>
      </c>
      <c r="AJ163" s="122" t="str">
        <f t="shared" si="157"/>
        <v/>
      </c>
      <c r="AK163" s="122" t="str">
        <f t="shared" si="158"/>
        <v/>
      </c>
      <c r="AL163" s="122" t="str">
        <f t="shared" si="159"/>
        <v/>
      </c>
      <c r="AM163" s="122" t="str">
        <f t="shared" si="160"/>
        <v/>
      </c>
      <c r="AN163" s="122" t="str">
        <f t="shared" si="161"/>
        <v/>
      </c>
      <c r="AO163" s="122" t="str">
        <f t="shared" si="162"/>
        <v/>
      </c>
      <c r="AP163" s="122" t="str">
        <f t="shared" si="163"/>
        <v/>
      </c>
      <c r="AQ163" s="130" t="str">
        <f t="shared" si="164"/>
        <v/>
      </c>
      <c r="AR163" s="122" t="str">
        <f t="shared" si="165"/>
        <v/>
      </c>
      <c r="AS163" s="1001"/>
      <c r="AT163" s="442"/>
      <c r="AU163" s="131" t="str">
        <f t="shared" si="166"/>
        <v/>
      </c>
      <c r="AV163" s="17"/>
      <c r="AW163" s="124" t="str">
        <f t="shared" si="167"/>
        <v/>
      </c>
      <c r="AX163" s="16"/>
      <c r="AY163" s="26"/>
    </row>
    <row r="164" spans="2:51">
      <c r="B164" s="508"/>
      <c r="C164" s="124"/>
      <c r="D164" s="123" t="str">
        <f t="shared" si="126"/>
        <v/>
      </c>
      <c r="E164" s="123" t="str">
        <f t="shared" si="127"/>
        <v/>
      </c>
      <c r="F164" s="124" t="str">
        <f t="shared" si="128"/>
        <v/>
      </c>
      <c r="G164" s="122" t="str">
        <f t="shared" si="129"/>
        <v/>
      </c>
      <c r="H164" s="122" t="str">
        <f t="shared" si="120"/>
        <v/>
      </c>
      <c r="I164" s="123" t="str">
        <f t="shared" si="130"/>
        <v/>
      </c>
      <c r="J164" s="123" t="str">
        <f t="shared" si="131"/>
        <v/>
      </c>
      <c r="K164" s="124" t="str">
        <f t="shared" si="132"/>
        <v/>
      </c>
      <c r="L164" s="124" t="str">
        <f t="shared" si="133"/>
        <v/>
      </c>
      <c r="M164" s="122" t="str">
        <f t="shared" si="134"/>
        <v/>
      </c>
      <c r="N164" s="122" t="str">
        <f t="shared" si="135"/>
        <v/>
      </c>
      <c r="O164" s="122" t="str">
        <f t="shared" si="136"/>
        <v/>
      </c>
      <c r="P164" s="122" t="str">
        <f t="shared" si="137"/>
        <v/>
      </c>
      <c r="Q164" s="122" t="str">
        <f t="shared" si="138"/>
        <v/>
      </c>
      <c r="R164" s="122" t="str">
        <f t="shared" si="139"/>
        <v/>
      </c>
      <c r="S164" s="122" t="str">
        <f t="shared" si="140"/>
        <v/>
      </c>
      <c r="T164" s="122" t="str">
        <f t="shared" si="141"/>
        <v/>
      </c>
      <c r="U164" s="122" t="str">
        <f t="shared" si="142"/>
        <v/>
      </c>
      <c r="V164" s="122" t="str">
        <f t="shared" si="143"/>
        <v/>
      </c>
      <c r="W164" s="19" t="str">
        <f t="shared" si="144"/>
        <v/>
      </c>
      <c r="X164" s="19" t="str">
        <f t="shared" si="145"/>
        <v/>
      </c>
      <c r="Y164" s="19" t="str">
        <f t="shared" si="146"/>
        <v/>
      </c>
      <c r="Z164" s="19" t="str">
        <f t="shared" si="147"/>
        <v/>
      </c>
      <c r="AA164" s="19" t="str">
        <f t="shared" si="148"/>
        <v/>
      </c>
      <c r="AB164" s="19" t="str">
        <f t="shared" si="149"/>
        <v/>
      </c>
      <c r="AC164" s="19" t="str">
        <f t="shared" si="150"/>
        <v/>
      </c>
      <c r="AD164" s="19" t="str">
        <f t="shared" si="151"/>
        <v/>
      </c>
      <c r="AE164" s="19" t="str">
        <f t="shared" si="152"/>
        <v/>
      </c>
      <c r="AF164" s="19" t="str">
        <f t="shared" si="153"/>
        <v/>
      </c>
      <c r="AG164" s="122" t="str">
        <f t="shared" si="154"/>
        <v/>
      </c>
      <c r="AH164" s="122" t="str">
        <f t="shared" si="155"/>
        <v/>
      </c>
      <c r="AI164" s="122" t="str">
        <f t="shared" si="156"/>
        <v/>
      </c>
      <c r="AJ164" s="122" t="str">
        <f t="shared" si="157"/>
        <v/>
      </c>
      <c r="AK164" s="122" t="str">
        <f t="shared" si="158"/>
        <v/>
      </c>
      <c r="AL164" s="122" t="str">
        <f t="shared" si="159"/>
        <v/>
      </c>
      <c r="AM164" s="122" t="str">
        <f t="shared" si="160"/>
        <v/>
      </c>
      <c r="AN164" s="122" t="str">
        <f t="shared" si="161"/>
        <v/>
      </c>
      <c r="AO164" s="122" t="str">
        <f t="shared" si="162"/>
        <v/>
      </c>
      <c r="AP164" s="122" t="str">
        <f t="shared" si="163"/>
        <v/>
      </c>
      <c r="AQ164" s="130" t="str">
        <f t="shared" si="164"/>
        <v/>
      </c>
      <c r="AR164" s="122" t="str">
        <f t="shared" si="165"/>
        <v/>
      </c>
      <c r="AS164" s="1001"/>
      <c r="AT164" s="442"/>
      <c r="AU164" s="131" t="str">
        <f t="shared" si="166"/>
        <v/>
      </c>
      <c r="AV164" s="17"/>
      <c r="AW164" s="124" t="str">
        <f t="shared" si="167"/>
        <v/>
      </c>
      <c r="AX164" s="16"/>
      <c r="AY164" s="26"/>
    </row>
    <row r="165" spans="2:51">
      <c r="B165" s="508"/>
      <c r="C165" s="124"/>
      <c r="D165" s="123" t="str">
        <f t="shared" si="126"/>
        <v/>
      </c>
      <c r="E165" s="123" t="str">
        <f t="shared" si="127"/>
        <v/>
      </c>
      <c r="F165" s="124" t="str">
        <f t="shared" si="128"/>
        <v/>
      </c>
      <c r="G165" s="122" t="str">
        <f t="shared" si="129"/>
        <v/>
      </c>
      <c r="H165" s="122" t="str">
        <f t="shared" si="120"/>
        <v/>
      </c>
      <c r="I165" s="123" t="str">
        <f t="shared" si="130"/>
        <v/>
      </c>
      <c r="J165" s="123" t="str">
        <f t="shared" si="131"/>
        <v/>
      </c>
      <c r="K165" s="124" t="str">
        <f t="shared" si="132"/>
        <v/>
      </c>
      <c r="L165" s="124" t="str">
        <f t="shared" si="133"/>
        <v/>
      </c>
      <c r="M165" s="122" t="str">
        <f t="shared" si="134"/>
        <v/>
      </c>
      <c r="N165" s="122" t="str">
        <f t="shared" si="135"/>
        <v/>
      </c>
      <c r="O165" s="122" t="str">
        <f t="shared" si="136"/>
        <v/>
      </c>
      <c r="P165" s="122" t="str">
        <f t="shared" si="137"/>
        <v/>
      </c>
      <c r="Q165" s="122" t="str">
        <f t="shared" si="138"/>
        <v/>
      </c>
      <c r="R165" s="122" t="str">
        <f t="shared" si="139"/>
        <v/>
      </c>
      <c r="S165" s="122" t="str">
        <f t="shared" si="140"/>
        <v/>
      </c>
      <c r="T165" s="122" t="str">
        <f t="shared" si="141"/>
        <v/>
      </c>
      <c r="U165" s="122" t="str">
        <f t="shared" si="142"/>
        <v/>
      </c>
      <c r="V165" s="122" t="str">
        <f t="shared" si="143"/>
        <v/>
      </c>
      <c r="W165" s="19" t="str">
        <f t="shared" si="144"/>
        <v/>
      </c>
      <c r="X165" s="19" t="str">
        <f t="shared" si="145"/>
        <v/>
      </c>
      <c r="Y165" s="19" t="str">
        <f t="shared" si="146"/>
        <v/>
      </c>
      <c r="Z165" s="19" t="str">
        <f t="shared" si="147"/>
        <v/>
      </c>
      <c r="AA165" s="19" t="str">
        <f t="shared" si="148"/>
        <v/>
      </c>
      <c r="AB165" s="19" t="str">
        <f t="shared" si="149"/>
        <v/>
      </c>
      <c r="AC165" s="19" t="str">
        <f t="shared" si="150"/>
        <v/>
      </c>
      <c r="AD165" s="19" t="str">
        <f t="shared" si="151"/>
        <v/>
      </c>
      <c r="AE165" s="19" t="str">
        <f t="shared" si="152"/>
        <v/>
      </c>
      <c r="AF165" s="19" t="str">
        <f t="shared" si="153"/>
        <v/>
      </c>
      <c r="AG165" s="122" t="str">
        <f t="shared" si="154"/>
        <v/>
      </c>
      <c r="AH165" s="122" t="str">
        <f t="shared" si="155"/>
        <v/>
      </c>
      <c r="AI165" s="122" t="str">
        <f t="shared" si="156"/>
        <v/>
      </c>
      <c r="AJ165" s="122" t="str">
        <f t="shared" si="157"/>
        <v/>
      </c>
      <c r="AK165" s="122" t="str">
        <f t="shared" si="158"/>
        <v/>
      </c>
      <c r="AL165" s="122" t="str">
        <f t="shared" si="159"/>
        <v/>
      </c>
      <c r="AM165" s="122" t="str">
        <f t="shared" si="160"/>
        <v/>
      </c>
      <c r="AN165" s="122" t="str">
        <f t="shared" si="161"/>
        <v/>
      </c>
      <c r="AO165" s="122" t="str">
        <f t="shared" si="162"/>
        <v/>
      </c>
      <c r="AP165" s="122" t="str">
        <f t="shared" si="163"/>
        <v/>
      </c>
      <c r="AQ165" s="130" t="str">
        <f t="shared" si="164"/>
        <v/>
      </c>
      <c r="AR165" s="122" t="str">
        <f t="shared" si="165"/>
        <v/>
      </c>
      <c r="AS165" s="1001"/>
      <c r="AT165" s="442"/>
      <c r="AU165" s="131" t="str">
        <f t="shared" si="166"/>
        <v/>
      </c>
      <c r="AV165" s="17"/>
      <c r="AW165" s="124" t="str">
        <f t="shared" si="167"/>
        <v/>
      </c>
      <c r="AX165" s="16"/>
      <c r="AY165" s="26"/>
    </row>
    <row r="166" spans="2:51">
      <c r="B166" s="508"/>
      <c r="C166" s="124"/>
      <c r="D166" s="123" t="str">
        <f t="shared" si="126"/>
        <v/>
      </c>
      <c r="E166" s="123" t="str">
        <f t="shared" si="127"/>
        <v/>
      </c>
      <c r="F166" s="124" t="str">
        <f t="shared" si="128"/>
        <v/>
      </c>
      <c r="G166" s="122" t="str">
        <f t="shared" si="129"/>
        <v/>
      </c>
      <c r="H166" s="122" t="str">
        <f t="shared" si="120"/>
        <v/>
      </c>
      <c r="I166" s="123" t="str">
        <f t="shared" si="130"/>
        <v/>
      </c>
      <c r="J166" s="123" t="str">
        <f t="shared" si="131"/>
        <v/>
      </c>
      <c r="K166" s="124" t="str">
        <f t="shared" si="132"/>
        <v/>
      </c>
      <c r="L166" s="124" t="str">
        <f t="shared" si="133"/>
        <v/>
      </c>
      <c r="M166" s="122" t="str">
        <f t="shared" si="134"/>
        <v/>
      </c>
      <c r="N166" s="122" t="str">
        <f t="shared" si="135"/>
        <v/>
      </c>
      <c r="O166" s="122" t="str">
        <f t="shared" si="136"/>
        <v/>
      </c>
      <c r="P166" s="122" t="str">
        <f t="shared" si="137"/>
        <v/>
      </c>
      <c r="Q166" s="122" t="str">
        <f t="shared" si="138"/>
        <v/>
      </c>
      <c r="R166" s="122" t="str">
        <f t="shared" si="139"/>
        <v/>
      </c>
      <c r="S166" s="122" t="str">
        <f t="shared" si="140"/>
        <v/>
      </c>
      <c r="T166" s="122" t="str">
        <f t="shared" si="141"/>
        <v/>
      </c>
      <c r="U166" s="122" t="str">
        <f t="shared" si="142"/>
        <v/>
      </c>
      <c r="V166" s="122" t="str">
        <f t="shared" si="143"/>
        <v/>
      </c>
      <c r="W166" s="19" t="str">
        <f t="shared" si="144"/>
        <v/>
      </c>
      <c r="X166" s="19" t="str">
        <f t="shared" si="145"/>
        <v/>
      </c>
      <c r="Y166" s="19" t="str">
        <f t="shared" si="146"/>
        <v/>
      </c>
      <c r="Z166" s="19" t="str">
        <f t="shared" si="147"/>
        <v/>
      </c>
      <c r="AA166" s="19" t="str">
        <f t="shared" si="148"/>
        <v/>
      </c>
      <c r="AB166" s="19" t="str">
        <f t="shared" si="149"/>
        <v/>
      </c>
      <c r="AC166" s="19" t="str">
        <f t="shared" si="150"/>
        <v/>
      </c>
      <c r="AD166" s="19" t="str">
        <f t="shared" si="151"/>
        <v/>
      </c>
      <c r="AE166" s="19" t="str">
        <f t="shared" si="152"/>
        <v/>
      </c>
      <c r="AF166" s="19" t="str">
        <f t="shared" si="153"/>
        <v/>
      </c>
      <c r="AG166" s="122" t="str">
        <f t="shared" si="154"/>
        <v/>
      </c>
      <c r="AH166" s="122" t="str">
        <f t="shared" si="155"/>
        <v/>
      </c>
      <c r="AI166" s="122" t="str">
        <f t="shared" si="156"/>
        <v/>
      </c>
      <c r="AJ166" s="122" t="str">
        <f t="shared" si="157"/>
        <v/>
      </c>
      <c r="AK166" s="122" t="str">
        <f t="shared" si="158"/>
        <v/>
      </c>
      <c r="AL166" s="122" t="str">
        <f t="shared" si="159"/>
        <v/>
      </c>
      <c r="AM166" s="122" t="str">
        <f t="shared" si="160"/>
        <v/>
      </c>
      <c r="AN166" s="122" t="str">
        <f t="shared" si="161"/>
        <v/>
      </c>
      <c r="AO166" s="122" t="str">
        <f t="shared" si="162"/>
        <v/>
      </c>
      <c r="AP166" s="122" t="str">
        <f t="shared" si="163"/>
        <v/>
      </c>
      <c r="AQ166" s="130" t="str">
        <f t="shared" si="164"/>
        <v/>
      </c>
      <c r="AR166" s="122" t="str">
        <f t="shared" si="165"/>
        <v/>
      </c>
      <c r="AS166" s="1001"/>
      <c r="AT166" s="442"/>
      <c r="AU166" s="131" t="str">
        <f t="shared" si="166"/>
        <v/>
      </c>
      <c r="AV166" s="17"/>
      <c r="AW166" s="124" t="str">
        <f t="shared" si="167"/>
        <v/>
      </c>
      <c r="AX166" s="16"/>
      <c r="AY166" s="26"/>
    </row>
    <row r="167" spans="2:51">
      <c r="B167" s="508"/>
      <c r="C167" s="124"/>
      <c r="D167" s="123" t="str">
        <f t="shared" si="126"/>
        <v/>
      </c>
      <c r="E167" s="123" t="str">
        <f t="shared" si="127"/>
        <v/>
      </c>
      <c r="F167" s="124" t="str">
        <f t="shared" si="128"/>
        <v/>
      </c>
      <c r="G167" s="122" t="str">
        <f t="shared" si="129"/>
        <v/>
      </c>
      <c r="H167" s="122" t="str">
        <f t="shared" si="120"/>
        <v/>
      </c>
      <c r="I167" s="123" t="str">
        <f t="shared" si="130"/>
        <v/>
      </c>
      <c r="J167" s="123" t="str">
        <f t="shared" si="131"/>
        <v/>
      </c>
      <c r="K167" s="124" t="str">
        <f t="shared" si="132"/>
        <v/>
      </c>
      <c r="L167" s="124" t="str">
        <f t="shared" si="133"/>
        <v/>
      </c>
      <c r="M167" s="122" t="str">
        <f t="shared" si="134"/>
        <v/>
      </c>
      <c r="N167" s="122" t="str">
        <f t="shared" si="135"/>
        <v/>
      </c>
      <c r="O167" s="122" t="str">
        <f t="shared" si="136"/>
        <v/>
      </c>
      <c r="P167" s="122" t="str">
        <f t="shared" si="137"/>
        <v/>
      </c>
      <c r="Q167" s="122" t="str">
        <f t="shared" si="138"/>
        <v/>
      </c>
      <c r="R167" s="122" t="str">
        <f t="shared" si="139"/>
        <v/>
      </c>
      <c r="S167" s="122" t="str">
        <f t="shared" si="140"/>
        <v/>
      </c>
      <c r="T167" s="122" t="str">
        <f t="shared" si="141"/>
        <v/>
      </c>
      <c r="U167" s="122" t="str">
        <f t="shared" si="142"/>
        <v/>
      </c>
      <c r="V167" s="122" t="str">
        <f t="shared" si="143"/>
        <v/>
      </c>
      <c r="W167" s="19" t="str">
        <f t="shared" si="144"/>
        <v/>
      </c>
      <c r="X167" s="19" t="str">
        <f t="shared" si="145"/>
        <v/>
      </c>
      <c r="Y167" s="19" t="str">
        <f t="shared" si="146"/>
        <v/>
      </c>
      <c r="Z167" s="19" t="str">
        <f t="shared" si="147"/>
        <v/>
      </c>
      <c r="AA167" s="19" t="str">
        <f t="shared" si="148"/>
        <v/>
      </c>
      <c r="AB167" s="19" t="str">
        <f t="shared" si="149"/>
        <v/>
      </c>
      <c r="AC167" s="19" t="str">
        <f t="shared" si="150"/>
        <v/>
      </c>
      <c r="AD167" s="19" t="str">
        <f t="shared" si="151"/>
        <v/>
      </c>
      <c r="AE167" s="19" t="str">
        <f t="shared" si="152"/>
        <v/>
      </c>
      <c r="AF167" s="19" t="str">
        <f t="shared" si="153"/>
        <v/>
      </c>
      <c r="AG167" s="122" t="str">
        <f t="shared" si="154"/>
        <v/>
      </c>
      <c r="AH167" s="122" t="str">
        <f t="shared" si="155"/>
        <v/>
      </c>
      <c r="AI167" s="122" t="str">
        <f t="shared" si="156"/>
        <v/>
      </c>
      <c r="AJ167" s="122" t="str">
        <f t="shared" si="157"/>
        <v/>
      </c>
      <c r="AK167" s="122" t="str">
        <f t="shared" si="158"/>
        <v/>
      </c>
      <c r="AL167" s="122" t="str">
        <f t="shared" si="159"/>
        <v/>
      </c>
      <c r="AM167" s="122" t="str">
        <f t="shared" si="160"/>
        <v/>
      </c>
      <c r="AN167" s="122" t="str">
        <f t="shared" si="161"/>
        <v/>
      </c>
      <c r="AO167" s="122" t="str">
        <f t="shared" si="162"/>
        <v/>
      </c>
      <c r="AP167" s="122" t="str">
        <f t="shared" si="163"/>
        <v/>
      </c>
      <c r="AQ167" s="130" t="str">
        <f t="shared" si="164"/>
        <v/>
      </c>
      <c r="AR167" s="122" t="str">
        <f t="shared" si="165"/>
        <v/>
      </c>
      <c r="AS167" s="1001"/>
      <c r="AT167" s="442"/>
      <c r="AU167" s="131" t="str">
        <f t="shared" si="166"/>
        <v/>
      </c>
      <c r="AV167" s="17"/>
      <c r="AW167" s="124" t="str">
        <f t="shared" si="167"/>
        <v/>
      </c>
      <c r="AX167" s="16"/>
      <c r="AY167" s="26"/>
    </row>
    <row r="168" spans="2:51">
      <c r="B168" s="508"/>
      <c r="C168" s="124"/>
      <c r="D168" s="123" t="str">
        <f t="shared" si="126"/>
        <v/>
      </c>
      <c r="E168" s="123" t="str">
        <f t="shared" si="127"/>
        <v/>
      </c>
      <c r="F168" s="124" t="str">
        <f t="shared" si="128"/>
        <v/>
      </c>
      <c r="G168" s="122" t="str">
        <f t="shared" si="129"/>
        <v/>
      </c>
      <c r="H168" s="122" t="str">
        <f t="shared" si="120"/>
        <v/>
      </c>
      <c r="I168" s="123" t="str">
        <f t="shared" si="130"/>
        <v/>
      </c>
      <c r="J168" s="123" t="str">
        <f t="shared" si="131"/>
        <v/>
      </c>
      <c r="K168" s="124" t="str">
        <f t="shared" si="132"/>
        <v/>
      </c>
      <c r="L168" s="124" t="str">
        <f t="shared" si="133"/>
        <v/>
      </c>
      <c r="M168" s="122" t="str">
        <f t="shared" si="134"/>
        <v/>
      </c>
      <c r="N168" s="122" t="str">
        <f t="shared" si="135"/>
        <v/>
      </c>
      <c r="O168" s="122" t="str">
        <f t="shared" si="136"/>
        <v/>
      </c>
      <c r="P168" s="122" t="str">
        <f t="shared" si="137"/>
        <v/>
      </c>
      <c r="Q168" s="122" t="str">
        <f t="shared" si="138"/>
        <v/>
      </c>
      <c r="R168" s="122" t="str">
        <f t="shared" si="139"/>
        <v/>
      </c>
      <c r="S168" s="122" t="str">
        <f t="shared" si="140"/>
        <v/>
      </c>
      <c r="T168" s="122" t="str">
        <f t="shared" si="141"/>
        <v/>
      </c>
      <c r="U168" s="122" t="str">
        <f t="shared" si="142"/>
        <v/>
      </c>
      <c r="V168" s="122" t="str">
        <f t="shared" si="143"/>
        <v/>
      </c>
      <c r="W168" s="19" t="str">
        <f t="shared" si="144"/>
        <v/>
      </c>
      <c r="X168" s="19" t="str">
        <f t="shared" si="145"/>
        <v/>
      </c>
      <c r="Y168" s="19" t="str">
        <f t="shared" si="146"/>
        <v/>
      </c>
      <c r="Z168" s="19" t="str">
        <f t="shared" si="147"/>
        <v/>
      </c>
      <c r="AA168" s="19" t="str">
        <f t="shared" si="148"/>
        <v/>
      </c>
      <c r="AB168" s="19" t="str">
        <f t="shared" si="149"/>
        <v/>
      </c>
      <c r="AC168" s="19" t="str">
        <f t="shared" si="150"/>
        <v/>
      </c>
      <c r="AD168" s="19" t="str">
        <f t="shared" si="151"/>
        <v/>
      </c>
      <c r="AE168" s="19" t="str">
        <f t="shared" si="152"/>
        <v/>
      </c>
      <c r="AF168" s="19" t="str">
        <f t="shared" si="153"/>
        <v/>
      </c>
      <c r="AG168" s="122" t="str">
        <f t="shared" si="154"/>
        <v/>
      </c>
      <c r="AH168" s="122" t="str">
        <f t="shared" si="155"/>
        <v/>
      </c>
      <c r="AI168" s="122" t="str">
        <f t="shared" si="156"/>
        <v/>
      </c>
      <c r="AJ168" s="122" t="str">
        <f t="shared" si="157"/>
        <v/>
      </c>
      <c r="AK168" s="122" t="str">
        <f t="shared" si="158"/>
        <v/>
      </c>
      <c r="AL168" s="122" t="str">
        <f t="shared" si="159"/>
        <v/>
      </c>
      <c r="AM168" s="122" t="str">
        <f t="shared" si="160"/>
        <v/>
      </c>
      <c r="AN168" s="122" t="str">
        <f t="shared" si="161"/>
        <v/>
      </c>
      <c r="AO168" s="122" t="str">
        <f t="shared" si="162"/>
        <v/>
      </c>
      <c r="AP168" s="122" t="str">
        <f t="shared" si="163"/>
        <v/>
      </c>
      <c r="AQ168" s="130" t="str">
        <f t="shared" si="164"/>
        <v/>
      </c>
      <c r="AR168" s="122" t="str">
        <f t="shared" si="165"/>
        <v/>
      </c>
      <c r="AS168" s="1001"/>
      <c r="AT168" s="442"/>
      <c r="AU168" s="131" t="str">
        <f t="shared" si="166"/>
        <v/>
      </c>
      <c r="AV168" s="17"/>
      <c r="AW168" s="124" t="str">
        <f t="shared" si="167"/>
        <v/>
      </c>
      <c r="AX168" s="16"/>
      <c r="AY168" s="26"/>
    </row>
    <row r="169" spans="2:51">
      <c r="B169" s="508"/>
      <c r="C169" s="124"/>
      <c r="D169" s="123" t="str">
        <f t="shared" si="126"/>
        <v/>
      </c>
      <c r="E169" s="123" t="str">
        <f t="shared" si="127"/>
        <v/>
      </c>
      <c r="F169" s="124" t="str">
        <f t="shared" si="128"/>
        <v/>
      </c>
      <c r="G169" s="122" t="str">
        <f t="shared" si="129"/>
        <v/>
      </c>
      <c r="H169" s="122" t="str">
        <f t="shared" si="120"/>
        <v/>
      </c>
      <c r="I169" s="123" t="str">
        <f t="shared" si="130"/>
        <v/>
      </c>
      <c r="J169" s="123" t="str">
        <f t="shared" si="131"/>
        <v/>
      </c>
      <c r="K169" s="124" t="str">
        <f t="shared" si="132"/>
        <v/>
      </c>
      <c r="L169" s="124" t="str">
        <f t="shared" si="133"/>
        <v/>
      </c>
      <c r="M169" s="122" t="str">
        <f t="shared" si="134"/>
        <v/>
      </c>
      <c r="N169" s="122" t="str">
        <f t="shared" si="135"/>
        <v/>
      </c>
      <c r="O169" s="122" t="str">
        <f t="shared" si="136"/>
        <v/>
      </c>
      <c r="P169" s="122" t="str">
        <f t="shared" si="137"/>
        <v/>
      </c>
      <c r="Q169" s="122" t="str">
        <f t="shared" si="138"/>
        <v/>
      </c>
      <c r="R169" s="122" t="str">
        <f t="shared" si="139"/>
        <v/>
      </c>
      <c r="S169" s="122" t="str">
        <f t="shared" si="140"/>
        <v/>
      </c>
      <c r="T169" s="122" t="str">
        <f t="shared" si="141"/>
        <v/>
      </c>
      <c r="U169" s="122" t="str">
        <f t="shared" si="142"/>
        <v/>
      </c>
      <c r="V169" s="122" t="str">
        <f t="shared" si="143"/>
        <v/>
      </c>
      <c r="W169" s="19" t="str">
        <f t="shared" si="144"/>
        <v/>
      </c>
      <c r="X169" s="19" t="str">
        <f t="shared" si="145"/>
        <v/>
      </c>
      <c r="Y169" s="19" t="str">
        <f t="shared" si="146"/>
        <v/>
      </c>
      <c r="Z169" s="19" t="str">
        <f t="shared" si="147"/>
        <v/>
      </c>
      <c r="AA169" s="19" t="str">
        <f t="shared" si="148"/>
        <v/>
      </c>
      <c r="AB169" s="19" t="str">
        <f t="shared" si="149"/>
        <v/>
      </c>
      <c r="AC169" s="19" t="str">
        <f t="shared" si="150"/>
        <v/>
      </c>
      <c r="AD169" s="19" t="str">
        <f t="shared" si="151"/>
        <v/>
      </c>
      <c r="AE169" s="19" t="str">
        <f t="shared" si="152"/>
        <v/>
      </c>
      <c r="AF169" s="19" t="str">
        <f t="shared" si="153"/>
        <v/>
      </c>
      <c r="AG169" s="122" t="str">
        <f t="shared" si="154"/>
        <v/>
      </c>
      <c r="AH169" s="122" t="str">
        <f t="shared" si="155"/>
        <v/>
      </c>
      <c r="AI169" s="122" t="str">
        <f t="shared" si="156"/>
        <v/>
      </c>
      <c r="AJ169" s="122" t="str">
        <f t="shared" si="157"/>
        <v/>
      </c>
      <c r="AK169" s="122" t="str">
        <f t="shared" si="158"/>
        <v/>
      </c>
      <c r="AL169" s="122" t="str">
        <f t="shared" si="159"/>
        <v/>
      </c>
      <c r="AM169" s="122" t="str">
        <f t="shared" si="160"/>
        <v/>
      </c>
      <c r="AN169" s="122" t="str">
        <f t="shared" si="161"/>
        <v/>
      </c>
      <c r="AO169" s="122" t="str">
        <f t="shared" si="162"/>
        <v/>
      </c>
      <c r="AP169" s="122" t="str">
        <f t="shared" si="163"/>
        <v/>
      </c>
      <c r="AQ169" s="130" t="str">
        <f t="shared" si="164"/>
        <v/>
      </c>
      <c r="AR169" s="122" t="str">
        <f t="shared" si="165"/>
        <v/>
      </c>
      <c r="AS169" s="1001"/>
      <c r="AT169" s="442"/>
      <c r="AU169" s="131" t="str">
        <f t="shared" si="166"/>
        <v/>
      </c>
      <c r="AV169" s="17"/>
      <c r="AW169" s="124" t="str">
        <f t="shared" si="167"/>
        <v/>
      </c>
      <c r="AX169" s="16"/>
      <c r="AY169" s="26"/>
    </row>
    <row r="170" spans="2:51">
      <c r="B170" s="508"/>
      <c r="C170" s="124"/>
      <c r="D170" s="123" t="str">
        <f t="shared" si="126"/>
        <v/>
      </c>
      <c r="E170" s="123" t="str">
        <f t="shared" si="127"/>
        <v/>
      </c>
      <c r="F170" s="124" t="str">
        <f t="shared" si="128"/>
        <v/>
      </c>
      <c r="G170" s="122" t="str">
        <f t="shared" si="129"/>
        <v/>
      </c>
      <c r="H170" s="122" t="str">
        <f t="shared" ref="H170:H201" si="168">IF(A170="","",I170-J170)</f>
        <v/>
      </c>
      <c r="I170" s="123" t="str">
        <f t="shared" si="130"/>
        <v/>
      </c>
      <c r="J170" s="123" t="str">
        <f t="shared" si="131"/>
        <v/>
      </c>
      <c r="K170" s="124" t="str">
        <f t="shared" si="132"/>
        <v/>
      </c>
      <c r="L170" s="124" t="str">
        <f t="shared" si="133"/>
        <v/>
      </c>
      <c r="M170" s="122" t="str">
        <f t="shared" si="134"/>
        <v/>
      </c>
      <c r="N170" s="122" t="str">
        <f t="shared" si="135"/>
        <v/>
      </c>
      <c r="O170" s="122" t="str">
        <f t="shared" si="136"/>
        <v/>
      </c>
      <c r="P170" s="122" t="str">
        <f t="shared" si="137"/>
        <v/>
      </c>
      <c r="Q170" s="122" t="str">
        <f t="shared" si="138"/>
        <v/>
      </c>
      <c r="R170" s="122" t="str">
        <f t="shared" si="139"/>
        <v/>
      </c>
      <c r="S170" s="122" t="str">
        <f t="shared" si="140"/>
        <v/>
      </c>
      <c r="T170" s="122" t="str">
        <f t="shared" si="141"/>
        <v/>
      </c>
      <c r="U170" s="122" t="str">
        <f t="shared" si="142"/>
        <v/>
      </c>
      <c r="V170" s="122" t="str">
        <f t="shared" si="143"/>
        <v/>
      </c>
      <c r="W170" s="19" t="str">
        <f t="shared" si="144"/>
        <v/>
      </c>
      <c r="X170" s="19" t="str">
        <f t="shared" si="145"/>
        <v/>
      </c>
      <c r="Y170" s="19" t="str">
        <f t="shared" si="146"/>
        <v/>
      </c>
      <c r="Z170" s="19" t="str">
        <f t="shared" si="147"/>
        <v/>
      </c>
      <c r="AA170" s="19" t="str">
        <f t="shared" si="148"/>
        <v/>
      </c>
      <c r="AB170" s="19" t="str">
        <f t="shared" si="149"/>
        <v/>
      </c>
      <c r="AC170" s="19" t="str">
        <f t="shared" si="150"/>
        <v/>
      </c>
      <c r="AD170" s="19" t="str">
        <f t="shared" si="151"/>
        <v/>
      </c>
      <c r="AE170" s="19" t="str">
        <f t="shared" si="152"/>
        <v/>
      </c>
      <c r="AF170" s="19" t="str">
        <f t="shared" si="153"/>
        <v/>
      </c>
      <c r="AG170" s="122" t="str">
        <f t="shared" si="154"/>
        <v/>
      </c>
      <c r="AH170" s="122" t="str">
        <f t="shared" si="155"/>
        <v/>
      </c>
      <c r="AI170" s="122" t="str">
        <f t="shared" si="156"/>
        <v/>
      </c>
      <c r="AJ170" s="122" t="str">
        <f t="shared" si="157"/>
        <v/>
      </c>
      <c r="AK170" s="122" t="str">
        <f t="shared" si="158"/>
        <v/>
      </c>
      <c r="AL170" s="122" t="str">
        <f t="shared" si="159"/>
        <v/>
      </c>
      <c r="AM170" s="122" t="str">
        <f t="shared" si="160"/>
        <v/>
      </c>
      <c r="AN170" s="122" t="str">
        <f t="shared" si="161"/>
        <v/>
      </c>
      <c r="AO170" s="122" t="str">
        <f t="shared" si="162"/>
        <v/>
      </c>
      <c r="AP170" s="122" t="str">
        <f t="shared" si="163"/>
        <v/>
      </c>
      <c r="AQ170" s="130" t="str">
        <f t="shared" si="164"/>
        <v/>
      </c>
      <c r="AR170" s="122" t="str">
        <f t="shared" si="165"/>
        <v/>
      </c>
      <c r="AS170" s="1001"/>
      <c r="AT170" s="442"/>
      <c r="AU170" s="131" t="str">
        <f t="shared" si="166"/>
        <v/>
      </c>
      <c r="AV170" s="17"/>
      <c r="AW170" s="124" t="str">
        <f t="shared" si="167"/>
        <v/>
      </c>
      <c r="AX170" s="16"/>
      <c r="AY170" s="26"/>
    </row>
    <row r="171" spans="2:51">
      <c r="B171" s="508"/>
      <c r="C171" s="124"/>
      <c r="D171" s="123" t="str">
        <f t="shared" si="126"/>
        <v/>
      </c>
      <c r="E171" s="123" t="str">
        <f t="shared" si="127"/>
        <v/>
      </c>
      <c r="F171" s="124" t="str">
        <f t="shared" si="128"/>
        <v/>
      </c>
      <c r="G171" s="122" t="str">
        <f t="shared" si="129"/>
        <v/>
      </c>
      <c r="H171" s="122" t="str">
        <f t="shared" si="168"/>
        <v/>
      </c>
      <c r="I171" s="123" t="str">
        <f t="shared" si="130"/>
        <v/>
      </c>
      <c r="J171" s="123" t="str">
        <f t="shared" si="131"/>
        <v/>
      </c>
      <c r="K171" s="124" t="str">
        <f t="shared" si="132"/>
        <v/>
      </c>
      <c r="L171" s="124" t="str">
        <f t="shared" si="133"/>
        <v/>
      </c>
      <c r="M171" s="122" t="str">
        <f t="shared" si="134"/>
        <v/>
      </c>
      <c r="N171" s="122" t="str">
        <f t="shared" si="135"/>
        <v/>
      </c>
      <c r="O171" s="122" t="str">
        <f t="shared" si="136"/>
        <v/>
      </c>
      <c r="P171" s="122" t="str">
        <f t="shared" si="137"/>
        <v/>
      </c>
      <c r="Q171" s="122" t="str">
        <f t="shared" si="138"/>
        <v/>
      </c>
      <c r="R171" s="122" t="str">
        <f t="shared" si="139"/>
        <v/>
      </c>
      <c r="S171" s="122" t="str">
        <f t="shared" si="140"/>
        <v/>
      </c>
      <c r="T171" s="122" t="str">
        <f t="shared" si="141"/>
        <v/>
      </c>
      <c r="U171" s="122" t="str">
        <f t="shared" si="142"/>
        <v/>
      </c>
      <c r="V171" s="122" t="str">
        <f t="shared" si="143"/>
        <v/>
      </c>
      <c r="W171" s="19" t="str">
        <f t="shared" si="144"/>
        <v/>
      </c>
      <c r="X171" s="19" t="str">
        <f t="shared" si="145"/>
        <v/>
      </c>
      <c r="Y171" s="19" t="str">
        <f t="shared" si="146"/>
        <v/>
      </c>
      <c r="Z171" s="19" t="str">
        <f t="shared" si="147"/>
        <v/>
      </c>
      <c r="AA171" s="19" t="str">
        <f t="shared" si="148"/>
        <v/>
      </c>
      <c r="AB171" s="19" t="str">
        <f t="shared" si="149"/>
        <v/>
      </c>
      <c r="AC171" s="19" t="str">
        <f t="shared" si="150"/>
        <v/>
      </c>
      <c r="AD171" s="19" t="str">
        <f t="shared" si="151"/>
        <v/>
      </c>
      <c r="AE171" s="19" t="str">
        <f t="shared" si="152"/>
        <v/>
      </c>
      <c r="AF171" s="19" t="str">
        <f t="shared" si="153"/>
        <v/>
      </c>
      <c r="AG171" s="122" t="str">
        <f t="shared" si="154"/>
        <v/>
      </c>
      <c r="AH171" s="122" t="str">
        <f t="shared" si="155"/>
        <v/>
      </c>
      <c r="AI171" s="122" t="str">
        <f t="shared" si="156"/>
        <v/>
      </c>
      <c r="AJ171" s="122" t="str">
        <f t="shared" si="157"/>
        <v/>
      </c>
      <c r="AK171" s="122" t="str">
        <f t="shared" si="158"/>
        <v/>
      </c>
      <c r="AL171" s="122" t="str">
        <f t="shared" si="159"/>
        <v/>
      </c>
      <c r="AM171" s="122" t="str">
        <f t="shared" si="160"/>
        <v/>
      </c>
      <c r="AN171" s="122" t="str">
        <f t="shared" si="161"/>
        <v/>
      </c>
      <c r="AO171" s="122" t="str">
        <f t="shared" si="162"/>
        <v/>
      </c>
      <c r="AP171" s="122" t="str">
        <f t="shared" si="163"/>
        <v/>
      </c>
      <c r="AQ171" s="130" t="str">
        <f t="shared" si="164"/>
        <v/>
      </c>
      <c r="AR171" s="122" t="str">
        <f t="shared" si="165"/>
        <v/>
      </c>
      <c r="AS171" s="1001"/>
      <c r="AT171" s="442"/>
      <c r="AU171" s="131" t="str">
        <f t="shared" si="166"/>
        <v/>
      </c>
      <c r="AV171" s="17"/>
      <c r="AW171" s="124" t="str">
        <f t="shared" si="167"/>
        <v/>
      </c>
      <c r="AX171" s="16"/>
      <c r="AY171" s="26"/>
    </row>
    <row r="172" spans="2:51">
      <c r="B172" s="508"/>
      <c r="C172" s="124"/>
      <c r="D172" s="123" t="str">
        <f t="shared" si="126"/>
        <v/>
      </c>
      <c r="E172" s="123" t="str">
        <f t="shared" si="127"/>
        <v/>
      </c>
      <c r="F172" s="124" t="str">
        <f t="shared" si="128"/>
        <v/>
      </c>
      <c r="G172" s="122" t="str">
        <f t="shared" si="129"/>
        <v/>
      </c>
      <c r="H172" s="122" t="str">
        <f t="shared" si="168"/>
        <v/>
      </c>
      <c r="I172" s="123" t="str">
        <f t="shared" si="130"/>
        <v/>
      </c>
      <c r="J172" s="123" t="str">
        <f t="shared" si="131"/>
        <v/>
      </c>
      <c r="K172" s="124" t="str">
        <f t="shared" si="132"/>
        <v/>
      </c>
      <c r="L172" s="124" t="str">
        <f t="shared" si="133"/>
        <v/>
      </c>
      <c r="M172" s="122" t="str">
        <f t="shared" si="134"/>
        <v/>
      </c>
      <c r="N172" s="122" t="str">
        <f t="shared" si="135"/>
        <v/>
      </c>
      <c r="O172" s="122" t="str">
        <f t="shared" si="136"/>
        <v/>
      </c>
      <c r="P172" s="122" t="str">
        <f t="shared" si="137"/>
        <v/>
      </c>
      <c r="Q172" s="122" t="str">
        <f t="shared" si="138"/>
        <v/>
      </c>
      <c r="R172" s="122" t="str">
        <f t="shared" si="139"/>
        <v/>
      </c>
      <c r="S172" s="122" t="str">
        <f t="shared" si="140"/>
        <v/>
      </c>
      <c r="T172" s="122" t="str">
        <f t="shared" si="141"/>
        <v/>
      </c>
      <c r="U172" s="122" t="str">
        <f t="shared" si="142"/>
        <v/>
      </c>
      <c r="V172" s="122" t="str">
        <f t="shared" si="143"/>
        <v/>
      </c>
      <c r="W172" s="19" t="str">
        <f t="shared" si="144"/>
        <v/>
      </c>
      <c r="X172" s="19" t="str">
        <f t="shared" si="145"/>
        <v/>
      </c>
      <c r="Y172" s="19" t="str">
        <f t="shared" si="146"/>
        <v/>
      </c>
      <c r="Z172" s="19" t="str">
        <f t="shared" si="147"/>
        <v/>
      </c>
      <c r="AA172" s="19" t="str">
        <f t="shared" si="148"/>
        <v/>
      </c>
      <c r="AB172" s="19" t="str">
        <f t="shared" si="149"/>
        <v/>
      </c>
      <c r="AC172" s="19" t="str">
        <f t="shared" si="150"/>
        <v/>
      </c>
      <c r="AD172" s="19" t="str">
        <f t="shared" si="151"/>
        <v/>
      </c>
      <c r="AE172" s="19" t="str">
        <f t="shared" si="152"/>
        <v/>
      </c>
      <c r="AF172" s="19" t="str">
        <f t="shared" si="153"/>
        <v/>
      </c>
      <c r="AG172" s="122" t="str">
        <f t="shared" si="154"/>
        <v/>
      </c>
      <c r="AH172" s="122" t="str">
        <f t="shared" si="155"/>
        <v/>
      </c>
      <c r="AI172" s="122" t="str">
        <f t="shared" si="156"/>
        <v/>
      </c>
      <c r="AJ172" s="122" t="str">
        <f t="shared" si="157"/>
        <v/>
      </c>
      <c r="AK172" s="122" t="str">
        <f t="shared" si="158"/>
        <v/>
      </c>
      <c r="AL172" s="122" t="str">
        <f t="shared" si="159"/>
        <v/>
      </c>
      <c r="AM172" s="122" t="str">
        <f t="shared" si="160"/>
        <v/>
      </c>
      <c r="AN172" s="122" t="str">
        <f t="shared" si="161"/>
        <v/>
      </c>
      <c r="AO172" s="122" t="str">
        <f t="shared" si="162"/>
        <v/>
      </c>
      <c r="AP172" s="122" t="str">
        <f t="shared" si="163"/>
        <v/>
      </c>
      <c r="AQ172" s="130" t="str">
        <f t="shared" si="164"/>
        <v/>
      </c>
      <c r="AR172" s="122" t="str">
        <f t="shared" si="165"/>
        <v/>
      </c>
      <c r="AS172" s="1001"/>
      <c r="AT172" s="442"/>
      <c r="AU172" s="131" t="str">
        <f t="shared" si="166"/>
        <v/>
      </c>
      <c r="AV172" s="17"/>
      <c r="AW172" s="124" t="str">
        <f t="shared" si="167"/>
        <v/>
      </c>
      <c r="AX172" s="16"/>
      <c r="AY172" s="26"/>
    </row>
    <row r="173" spans="2:51">
      <c r="B173" s="508"/>
      <c r="C173" s="124"/>
      <c r="D173" s="123" t="str">
        <f t="shared" si="126"/>
        <v/>
      </c>
      <c r="E173" s="123" t="str">
        <f t="shared" si="127"/>
        <v/>
      </c>
      <c r="F173" s="124" t="str">
        <f t="shared" si="128"/>
        <v/>
      </c>
      <c r="G173" s="122" t="str">
        <f t="shared" si="129"/>
        <v/>
      </c>
      <c r="H173" s="122" t="str">
        <f t="shared" si="168"/>
        <v/>
      </c>
      <c r="I173" s="123" t="str">
        <f t="shared" si="130"/>
        <v/>
      </c>
      <c r="J173" s="123" t="str">
        <f t="shared" si="131"/>
        <v/>
      </c>
      <c r="K173" s="124" t="str">
        <f t="shared" si="132"/>
        <v/>
      </c>
      <c r="L173" s="124" t="str">
        <f t="shared" si="133"/>
        <v/>
      </c>
      <c r="M173" s="122" t="str">
        <f t="shared" si="134"/>
        <v/>
      </c>
      <c r="N173" s="122" t="str">
        <f t="shared" si="135"/>
        <v/>
      </c>
      <c r="O173" s="122" t="str">
        <f t="shared" si="136"/>
        <v/>
      </c>
      <c r="P173" s="122" t="str">
        <f t="shared" si="137"/>
        <v/>
      </c>
      <c r="Q173" s="122" t="str">
        <f t="shared" si="138"/>
        <v/>
      </c>
      <c r="R173" s="122" t="str">
        <f t="shared" si="139"/>
        <v/>
      </c>
      <c r="S173" s="122" t="str">
        <f t="shared" si="140"/>
        <v/>
      </c>
      <c r="T173" s="122" t="str">
        <f t="shared" si="141"/>
        <v/>
      </c>
      <c r="U173" s="122" t="str">
        <f t="shared" si="142"/>
        <v/>
      </c>
      <c r="V173" s="122" t="str">
        <f t="shared" si="143"/>
        <v/>
      </c>
      <c r="W173" s="19" t="str">
        <f t="shared" si="144"/>
        <v/>
      </c>
      <c r="X173" s="19" t="str">
        <f t="shared" si="145"/>
        <v/>
      </c>
      <c r="Y173" s="19" t="str">
        <f t="shared" si="146"/>
        <v/>
      </c>
      <c r="Z173" s="19" t="str">
        <f t="shared" si="147"/>
        <v/>
      </c>
      <c r="AA173" s="19" t="str">
        <f t="shared" si="148"/>
        <v/>
      </c>
      <c r="AB173" s="19" t="str">
        <f t="shared" si="149"/>
        <v/>
      </c>
      <c r="AC173" s="19" t="str">
        <f t="shared" si="150"/>
        <v/>
      </c>
      <c r="AD173" s="19" t="str">
        <f t="shared" si="151"/>
        <v/>
      </c>
      <c r="AE173" s="19" t="str">
        <f t="shared" si="152"/>
        <v/>
      </c>
      <c r="AF173" s="19" t="str">
        <f t="shared" si="153"/>
        <v/>
      </c>
      <c r="AG173" s="122" t="str">
        <f t="shared" si="154"/>
        <v/>
      </c>
      <c r="AH173" s="122" t="str">
        <f t="shared" si="155"/>
        <v/>
      </c>
      <c r="AI173" s="122" t="str">
        <f t="shared" si="156"/>
        <v/>
      </c>
      <c r="AJ173" s="122" t="str">
        <f t="shared" si="157"/>
        <v/>
      </c>
      <c r="AK173" s="122" t="str">
        <f t="shared" si="158"/>
        <v/>
      </c>
      <c r="AL173" s="122" t="str">
        <f t="shared" si="159"/>
        <v/>
      </c>
      <c r="AM173" s="122" t="str">
        <f t="shared" si="160"/>
        <v/>
      </c>
      <c r="AN173" s="122" t="str">
        <f t="shared" si="161"/>
        <v/>
      </c>
      <c r="AO173" s="122" t="str">
        <f t="shared" si="162"/>
        <v/>
      </c>
      <c r="AP173" s="122" t="str">
        <f t="shared" si="163"/>
        <v/>
      </c>
      <c r="AQ173" s="130" t="str">
        <f t="shared" si="164"/>
        <v/>
      </c>
      <c r="AR173" s="122" t="str">
        <f t="shared" si="165"/>
        <v/>
      </c>
      <c r="AS173" s="1001"/>
      <c r="AT173" s="442"/>
      <c r="AU173" s="131" t="str">
        <f t="shared" si="166"/>
        <v/>
      </c>
      <c r="AV173" s="17"/>
      <c r="AW173" s="124" t="str">
        <f t="shared" si="167"/>
        <v/>
      </c>
      <c r="AX173" s="16"/>
      <c r="AY173" s="26"/>
    </row>
    <row r="174" spans="2:51">
      <c r="B174" s="508"/>
      <c r="C174" s="124"/>
      <c r="D174" s="123" t="str">
        <f t="shared" si="126"/>
        <v/>
      </c>
      <c r="E174" s="123" t="str">
        <f t="shared" si="127"/>
        <v/>
      </c>
      <c r="F174" s="124" t="str">
        <f t="shared" si="128"/>
        <v/>
      </c>
      <c r="G174" s="122" t="str">
        <f t="shared" si="129"/>
        <v/>
      </c>
      <c r="H174" s="122" t="str">
        <f t="shared" si="168"/>
        <v/>
      </c>
      <c r="I174" s="123" t="str">
        <f t="shared" si="130"/>
        <v/>
      </c>
      <c r="J174" s="123" t="str">
        <f t="shared" si="131"/>
        <v/>
      </c>
      <c r="K174" s="124" t="str">
        <f t="shared" si="132"/>
        <v/>
      </c>
      <c r="L174" s="124" t="str">
        <f t="shared" si="133"/>
        <v/>
      </c>
      <c r="M174" s="122" t="str">
        <f t="shared" si="134"/>
        <v/>
      </c>
      <c r="N174" s="122" t="str">
        <f t="shared" si="135"/>
        <v/>
      </c>
      <c r="O174" s="122" t="str">
        <f t="shared" si="136"/>
        <v/>
      </c>
      <c r="P174" s="122" t="str">
        <f t="shared" si="137"/>
        <v/>
      </c>
      <c r="Q174" s="122" t="str">
        <f t="shared" si="138"/>
        <v/>
      </c>
      <c r="R174" s="122" t="str">
        <f t="shared" si="139"/>
        <v/>
      </c>
      <c r="S174" s="122" t="str">
        <f t="shared" si="140"/>
        <v/>
      </c>
      <c r="T174" s="122" t="str">
        <f t="shared" si="141"/>
        <v/>
      </c>
      <c r="U174" s="122" t="str">
        <f t="shared" si="142"/>
        <v/>
      </c>
      <c r="V174" s="122" t="str">
        <f t="shared" si="143"/>
        <v/>
      </c>
      <c r="W174" s="19" t="str">
        <f t="shared" si="144"/>
        <v/>
      </c>
      <c r="X174" s="19" t="str">
        <f t="shared" si="145"/>
        <v/>
      </c>
      <c r="Y174" s="19" t="str">
        <f t="shared" si="146"/>
        <v/>
      </c>
      <c r="Z174" s="19" t="str">
        <f t="shared" si="147"/>
        <v/>
      </c>
      <c r="AA174" s="19" t="str">
        <f t="shared" si="148"/>
        <v/>
      </c>
      <c r="AB174" s="19" t="str">
        <f t="shared" si="149"/>
        <v/>
      </c>
      <c r="AC174" s="19" t="str">
        <f t="shared" si="150"/>
        <v/>
      </c>
      <c r="AD174" s="19" t="str">
        <f t="shared" si="151"/>
        <v/>
      </c>
      <c r="AE174" s="19" t="str">
        <f t="shared" si="152"/>
        <v/>
      </c>
      <c r="AF174" s="19" t="str">
        <f t="shared" si="153"/>
        <v/>
      </c>
      <c r="AG174" s="122" t="str">
        <f t="shared" si="154"/>
        <v/>
      </c>
      <c r="AH174" s="122" t="str">
        <f t="shared" si="155"/>
        <v/>
      </c>
      <c r="AI174" s="122" t="str">
        <f t="shared" si="156"/>
        <v/>
      </c>
      <c r="AJ174" s="122" t="str">
        <f t="shared" si="157"/>
        <v/>
      </c>
      <c r="AK174" s="122" t="str">
        <f t="shared" si="158"/>
        <v/>
      </c>
      <c r="AL174" s="122" t="str">
        <f t="shared" si="159"/>
        <v/>
      </c>
      <c r="AM174" s="122" t="str">
        <f t="shared" si="160"/>
        <v/>
      </c>
      <c r="AN174" s="122" t="str">
        <f t="shared" si="161"/>
        <v/>
      </c>
      <c r="AO174" s="122" t="str">
        <f t="shared" si="162"/>
        <v/>
      </c>
      <c r="AP174" s="122" t="str">
        <f t="shared" si="163"/>
        <v/>
      </c>
      <c r="AQ174" s="130" t="str">
        <f t="shared" si="164"/>
        <v/>
      </c>
      <c r="AR174" s="122" t="str">
        <f t="shared" si="165"/>
        <v/>
      </c>
      <c r="AS174" s="1001"/>
      <c r="AT174" s="442"/>
      <c r="AU174" s="131" t="str">
        <f t="shared" si="166"/>
        <v/>
      </c>
      <c r="AV174" s="17"/>
      <c r="AW174" s="124" t="str">
        <f t="shared" si="167"/>
        <v/>
      </c>
      <c r="AX174" s="16"/>
      <c r="AY174" s="26"/>
    </row>
    <row r="175" spans="2:51">
      <c r="B175" s="508"/>
      <c r="C175" s="124"/>
      <c r="D175" s="123" t="str">
        <f t="shared" si="126"/>
        <v/>
      </c>
      <c r="E175" s="123" t="str">
        <f t="shared" si="127"/>
        <v/>
      </c>
      <c r="F175" s="124" t="str">
        <f t="shared" si="128"/>
        <v/>
      </c>
      <c r="G175" s="122" t="str">
        <f t="shared" si="129"/>
        <v/>
      </c>
      <c r="H175" s="122" t="str">
        <f t="shared" si="168"/>
        <v/>
      </c>
      <c r="I175" s="123" t="str">
        <f t="shared" si="130"/>
        <v/>
      </c>
      <c r="J175" s="123" t="str">
        <f t="shared" si="131"/>
        <v/>
      </c>
      <c r="K175" s="124" t="str">
        <f t="shared" si="132"/>
        <v/>
      </c>
      <c r="L175" s="124" t="str">
        <f t="shared" si="133"/>
        <v/>
      </c>
      <c r="M175" s="122" t="str">
        <f t="shared" si="134"/>
        <v/>
      </c>
      <c r="N175" s="122" t="str">
        <f t="shared" si="135"/>
        <v/>
      </c>
      <c r="O175" s="122" t="str">
        <f t="shared" si="136"/>
        <v/>
      </c>
      <c r="P175" s="122" t="str">
        <f t="shared" si="137"/>
        <v/>
      </c>
      <c r="Q175" s="122" t="str">
        <f t="shared" si="138"/>
        <v/>
      </c>
      <c r="R175" s="122" t="str">
        <f t="shared" si="139"/>
        <v/>
      </c>
      <c r="S175" s="122" t="str">
        <f t="shared" si="140"/>
        <v/>
      </c>
      <c r="T175" s="122" t="str">
        <f t="shared" si="141"/>
        <v/>
      </c>
      <c r="U175" s="122" t="str">
        <f t="shared" si="142"/>
        <v/>
      </c>
      <c r="V175" s="122" t="str">
        <f t="shared" si="143"/>
        <v/>
      </c>
      <c r="W175" s="19" t="str">
        <f t="shared" si="144"/>
        <v/>
      </c>
      <c r="X175" s="19" t="str">
        <f t="shared" si="145"/>
        <v/>
      </c>
      <c r="Y175" s="19" t="str">
        <f t="shared" si="146"/>
        <v/>
      </c>
      <c r="Z175" s="19" t="str">
        <f t="shared" si="147"/>
        <v/>
      </c>
      <c r="AA175" s="19" t="str">
        <f t="shared" si="148"/>
        <v/>
      </c>
      <c r="AB175" s="19" t="str">
        <f t="shared" si="149"/>
        <v/>
      </c>
      <c r="AC175" s="19" t="str">
        <f t="shared" si="150"/>
        <v/>
      </c>
      <c r="AD175" s="19" t="str">
        <f t="shared" si="151"/>
        <v/>
      </c>
      <c r="AE175" s="19" t="str">
        <f t="shared" si="152"/>
        <v/>
      </c>
      <c r="AF175" s="19" t="str">
        <f t="shared" si="153"/>
        <v/>
      </c>
      <c r="AG175" s="122" t="str">
        <f t="shared" si="154"/>
        <v/>
      </c>
      <c r="AH175" s="122" t="str">
        <f t="shared" si="155"/>
        <v/>
      </c>
      <c r="AI175" s="122" t="str">
        <f t="shared" si="156"/>
        <v/>
      </c>
      <c r="AJ175" s="122" t="str">
        <f t="shared" si="157"/>
        <v/>
      </c>
      <c r="AK175" s="122" t="str">
        <f t="shared" si="158"/>
        <v/>
      </c>
      <c r="AL175" s="122" t="str">
        <f t="shared" si="159"/>
        <v/>
      </c>
      <c r="AM175" s="122" t="str">
        <f t="shared" si="160"/>
        <v/>
      </c>
      <c r="AN175" s="122" t="str">
        <f t="shared" si="161"/>
        <v/>
      </c>
      <c r="AO175" s="122" t="str">
        <f t="shared" si="162"/>
        <v/>
      </c>
      <c r="AP175" s="122" t="str">
        <f t="shared" si="163"/>
        <v/>
      </c>
      <c r="AQ175" s="130" t="str">
        <f t="shared" si="164"/>
        <v/>
      </c>
      <c r="AR175" s="122" t="str">
        <f t="shared" si="165"/>
        <v/>
      </c>
      <c r="AS175" s="1001"/>
      <c r="AT175" s="442"/>
      <c r="AU175" s="131" t="str">
        <f t="shared" si="166"/>
        <v/>
      </c>
      <c r="AV175" s="17"/>
      <c r="AW175" s="124" t="str">
        <f t="shared" si="167"/>
        <v/>
      </c>
      <c r="AX175" s="16"/>
      <c r="AY175" s="26"/>
    </row>
    <row r="176" spans="2:51">
      <c r="B176" s="508"/>
      <c r="C176" s="124"/>
      <c r="D176" s="123" t="str">
        <f t="shared" ref="D176:D201" si="169">IF(A176="","",10^-((((B176-P$12)/P$13)+7))/$AU176)</f>
        <v/>
      </c>
      <c r="E176" s="123" t="str">
        <f t="shared" ref="E176:E201" si="170">IF(A176="","",IF(A177="",(B176-B175)/(A176-A175),((B177-B176)/(A177-A176)+(B176-B175)/(A176-A175))/2))</f>
        <v/>
      </c>
      <c r="F176" s="124" t="str">
        <f t="shared" ref="F176:F201" si="171">IF(A176="","",IF(C176="","0,00001",(IF(ABS(C176-B176)&lt;0.00001,0.00001,C176-B176))))</f>
        <v/>
      </c>
      <c r="G176" s="122" t="str">
        <f t="shared" ref="G176:G201" si="172">IF(A176="","",IF(AX176="X",0,IF(ABS(E176)&lt;0.00001,(0.00001^M$20)*(ABS(H176)^I$20)*ABS(F176)^K$20,((ABS(E176))^M$20)*((ABS(H176))^I$20)*ABS(F176)^K$20)))</f>
        <v/>
      </c>
      <c r="H176" s="122" t="str">
        <f t="shared" si="168"/>
        <v/>
      </c>
      <c r="I176" s="123" t="str">
        <f t="shared" ref="I176:I201" si="173">IF(A176="","",L176*I$18+K176*E$19)</f>
        <v/>
      </c>
      <c r="J176" s="123" t="str">
        <f t="shared" ref="J176:J201" si="174">IF(A176="","",D176 -$AC$9/AU176^2/D176+L176*(W176*$B$11+X176*$C$11+Y176*$D$11+Z176*$E$11+AA176*$F$11+AB176*$G$11+AC176*$H$11)+K176*(AD176*$B$18+AE176*$C$18+AF176*$D$18))</f>
        <v/>
      </c>
      <c r="K176" s="124" t="str">
        <f t="shared" ref="K176:K201" si="175">IF(A176="","",A176/(A176+$G$16))</f>
        <v/>
      </c>
      <c r="L176" s="124" t="str">
        <f t="shared" ref="L176:L201" si="176">IF(A176="","",$E$16/(A176+$G$16))</f>
        <v/>
      </c>
      <c r="M176" s="122" t="str">
        <f t="shared" ref="M176:M201" si="177">IF($A176="","",(1+(V$5*$AU176^(-2*V$4))*$D176+(V$6*$AU176^(-4*V$4-2))*$D176^2+(V$7*$AU176^(-6*V$4-6))*$D176^3+(V$8*$AU176^(-8*V$4-12))*$D176^4+(V$9*$AU176^(-10*V$4-20))*$D176^5+(V$10*$AU176^(-12*V$4-30))*$D176^6))</f>
        <v/>
      </c>
      <c r="N176" s="122" t="str">
        <f t="shared" ref="N176:N201" si="178">IF($A176="","",(1+(W$5*$AU176^(-2*W$4))*$D176+(W$6*$AU176^(-4*W$4-2))*$D176^2+(W$7*$AU176^(-6*W$4-6))*$D176^3+(W$8*$AU176^(-8*W$4-12))*$D176^4+(W$9*$AU176^(-10*W$4-20))*$D176^5+(W$10*$AU176^(-12*W$4-30))*$D176^6))</f>
        <v/>
      </c>
      <c r="O176" s="122" t="str">
        <f t="shared" ref="O176:O201" si="179">IF($A176="","",(1+(X$5*$AU176^(-2*X$4))*$D176+(X$6*$AU176^(-4*X$4-2))*$D176^2+(X$7*$AU176^(-6*X$4-6))*$D176^3+(X$8*$AU176^(-8*X$4-12))*$D176^4+(X$9*$AU176^(-10*X$4-20))*$D176^5+(X$10*$AU176^(-12*X$4-30))*$D176^6))</f>
        <v/>
      </c>
      <c r="P176" s="122" t="str">
        <f t="shared" ref="P176:P201" si="180">IF($A176="","",(1+(Y$5*$AU176^(-2*Y$4))*$D176+(Y$6*$AU176^(-4*Y$4-2))*$D176^2+(Y$7*$AU176^(-6*Y$4-6))*$D176^3+(Y$8*$AU176^(-8*Y$4-12))*$D176^4+(Y$9*$AU176^(-10*Y$4-20))*$D176^5+(Y$10*$AU176^(-12*Y$4-30))*$D176^6))</f>
        <v/>
      </c>
      <c r="Q176" s="122" t="str">
        <f t="shared" ref="Q176:Q201" si="181">IF($A176="","",(1+(Z$5*$AU176^(-2*Z$4))*$D176+(Z$6*$AU176^(-4*Z$4-2))*$D176^2+(Z$7*$AU176^(-6*Z$4-6))*$D176^3+(Z$8*$AU176^(-8*Z$4-12))*$D176^4+(Z$9*$AU176^(-10*Z$4-20))*$D176^5+(Z$10*$AU176^(-12*Z$4-30))*$D176^6))</f>
        <v/>
      </c>
      <c r="R176" s="122" t="str">
        <f t="shared" ref="R176:R201" si="182">IF($A176="","",(1+(AA$5*$AU176^(-2*AA$4))*$D176+(AA$6*$AU176^(-4*AA$4-2))*$D176^2+(AA$7*$AU176^(-6*AA$4-6))*$D176^3+(AA$8*$AU176^(-8*AA$4-12))*$D176^4+(AA$9*$AU176^(-10*AA$4-20))*$D176^5+(AA$10*$AU176^(-12*AA$4-30))*$D176^6))</f>
        <v/>
      </c>
      <c r="S176" s="122" t="str">
        <f t="shared" ref="S176:S201" si="183">IF($A176="","",(1+(AB$5*$AU176^(-2*AB$4))*$D176+(AB$6*$AU176^(-4*AB$4-2))*$D176^2+(AB$7*$AU176^(-6*AB$4-6))*$D176^3+(AB$8*$AU176^(-8*AB$4-12))*$D176^4+(AB$9*$AU176^(-10*AB$4-20))*$D176^5+(AB$10*$AU176^(-12*AB$4-30))*$D176^6))</f>
        <v/>
      </c>
      <c r="T176" s="122" t="str">
        <f t="shared" ref="T176:T201" si="184">IF($A176="","",(1+(AC$5*$AU176^(-2*AC$4))*$D176+(AC$6*$AU176^(-4*AC$4-2))*$D176^2))</f>
        <v/>
      </c>
      <c r="U176" s="122" t="str">
        <f t="shared" ref="U176:U201" si="185">IF($A176="","",(1+(AD$5*$AU176^(-2*AD$4))*$D176+(AD$6*$AU176^(-4*AD$4-2))*$D176^2))</f>
        <v/>
      </c>
      <c r="V176" s="122" t="str">
        <f t="shared" ref="V176:V201" si="186">IF($A176="","",(1+(AE$5*$AU176^(-2*AE$4))*$D176+(AE$6*$AU176^(-4*AE$4-2))*$D176^2))</f>
        <v/>
      </c>
      <c r="W176" s="19" t="str">
        <f t="shared" ref="W176:W201" si="187">IF($A176="","",((V$5*$AU176^(-2*V$4))*$D176+2*(V$6*$AU176^(-4*V$4-2))*$D176^2+3*(V$7*$AU176^(-6*V$4-6))*$D176^3+4*(V$8*$AU176^(-8*V$4-12))*$D176^4+5*(V$9*$AU176^(-10*V$4-20))*$D176^5+6*(V$10*$AU176^(-12*V$4-30))*$D176^6)/M176)</f>
        <v/>
      </c>
      <c r="X176" s="19" t="str">
        <f t="shared" ref="X176:X201" si="188">IF($A176="","",((W$5*$AU176^(-2*W$4))*$D176+2*(W$6*$AU176^(-4*W$4-2))*$D176^2+3*(W$7*$AU176^(-6*W$4-6))*$D176^3+4*(W$8*$AU176^(-8*W$4-12))*$D176^4+5*(W$9*$AU176^(-10*W$4-20))*$D176^5+6*(W$10*$AU176^(-12*W$4-30))*$D176^6)/N176)</f>
        <v/>
      </c>
      <c r="Y176" s="19" t="str">
        <f t="shared" ref="Y176:Y201" si="189">IF($A176="","",((X$5*$AU176^(-2*X$4))*$D176+2*(X$6*$AU176^(-4*X$4-2))*$D176^2+3*(X$7*$AU176^(-6*X$4-6))*$D176^3+4*(X$8*$AU176^(-8*X$4-12))*$D176^4+5*(X$9*$AU176^(-10*X$4-20))*$D176^5+6*(X$10*$AU176^(-12*X$4-30))*$D176^6)/O176)</f>
        <v/>
      </c>
      <c r="Z176" s="19" t="str">
        <f t="shared" ref="Z176:Z201" si="190">IF($A176="","",((Y$5*$AU176^(-2*Y$4))*$D176+2*(Y$6*$AU176^(-4*Y$4-2))*$D176^2+3*(Y$7*$AU176^(-6*Y$4-6))*$D176^3+4*(Y$8*$AU176^(-8*Y$4-12))*$D176^4+5*(Y$9*$AU176^(-10*Y$4-20))*$D176^5+6*(Y$10*$AU176^(-12*Y$4-30))*$D176^6)/P176)</f>
        <v/>
      </c>
      <c r="AA176" s="19" t="str">
        <f t="shared" ref="AA176:AA201" si="191">IF($A176="","",((Z$5*$AU176^(-2*Z$4))*$D176+2*(Z$6*$AU176^(-4*Z$4-2))*$D176^2+3*(Z$7*$AU176^(-6*Z$4-6))*$D176^3+4*(Z$8*$AU176^(-8*Z$4-12))*$D176^4+5*(Z$9*$AU176^(-10*Z$4-20))*$D176^5+6*(Z$10*$AU176^(-12*Z$4-30))*$D176^6)/Q176)</f>
        <v/>
      </c>
      <c r="AB176" s="19" t="str">
        <f t="shared" ref="AB176:AB201" si="192">IF($A176="","",((AA$5*$AU176^(-2*AA$4))*$D176+2*(AA$6*$AU176^(-4*AA$4-2))*$D176^2+3*(AA$7*$AU176^(-6*AA$4-6))*$D176^3+4*(AA$8*$AU176^(-8*AA$4-12))*$D176^4+5*(AA$9*$AU176^(-10*AA$4-20))*$D176^5+6*(AA$10*$AU176^(-12*AA$4-30))*$D176^6)/R176)</f>
        <v/>
      </c>
      <c r="AC176" s="19" t="str">
        <f t="shared" ref="AC176:AC201" si="193">IF($A176="","",((AB$5*$AU176^(-2*AB$4))*$D176+2*(AB$6*$AU176^(-4*AB$4-2))*$D176^2+3*(AB$7*$AU176^(-6*AB$4-6))*$D176^3+4*(AB$8*$AU176^(-8*AB$4-12))*$D176^4+5*(AB$9*$AU176^(-10*AB$4-20))*$D176^5+6*(AB$10*$AU176^(-12*AB$4-30))*$D176^6)/S176)</f>
        <v/>
      </c>
      <c r="AD176" s="19" t="str">
        <f t="shared" ref="AD176:AD201" si="194">IF($A176="","",((AC$5*$AU176^(-2*AC$4))*$D176+2*(AC$6*$AU176^(-4*AC$4-2))*$D176^2)/T176)</f>
        <v/>
      </c>
      <c r="AE176" s="19" t="str">
        <f t="shared" ref="AE176:AE201" si="195">IF($A176="","",((AD$5*$AU176^(-2*AD$4))*$D176+2*(AD$6*$AU176^(-4*AD$4-2))*$D176^2)/U176)</f>
        <v/>
      </c>
      <c r="AF176" s="19" t="str">
        <f t="shared" ref="AF176:AF201" si="196">IF($A176="","",((AE$5*$AU176^(-2*AE$4))*$D176+2*(AE$6*$AU176^(-4*AE$4-2))*$D176^2)/V176)</f>
        <v/>
      </c>
      <c r="AG176" s="122" t="str">
        <f t="shared" ref="AG176:AG201" si="197">IF(B$11=0,"",IF($A176="","",0.5*B$11*$L176*(1*V$4^2+(V$5*$AU176^(-2*V$4))*$D176*(V$4+1)^2+(V$6*$AU176^(-4*V$4-2))*$D176^2*(V$4+2)^2+(V$7*$AU176^(-6*V$4-6))*$D176^3*(V$4+3)^2+(V$8*$AU176^(-8*V$4-12))*$D176^4*(V$4+4)^2+(V$9*$AU176^(-10*V$4-20))*$D176^5*(V$4+5)^2+(V$10*$AU176^(-12*V$4-30))*$D176^6*(V$4+6)^2)/M176))</f>
        <v/>
      </c>
      <c r="AH176" s="122" t="str">
        <f t="shared" ref="AH176:AH201" si="198">IF(C$11=0,"",IF($A176="","",0.5*C$11*$L176*(1*W$4^2+(W$5*$AU176^(-2*W$4))*$D176*(W$4+1)^2+(W$6*$AU176^(-4*W$4-2))*$D176^2*(W$4+2)^2+(W$7*$AU176^(-6*W$4-6))*$D176^3*(W$4+3)^2+(W$8*$AU176^(-8*W$4-12))*$D176^4*(W$4+4)^2+(W$9*$AU176^(-10*W$4-20))*$D176^5*(W$4+5)^2+(W$10*$AU176^(-12*W$4-30))*$D176^6*(W$4+6)^2)/N176))</f>
        <v/>
      </c>
      <c r="AI176" s="122" t="str">
        <f t="shared" ref="AI176:AI201" si="199">IF(D$11=0,"",IF($A176="","",0.5*D$11*$L176*(1*X$4^2+(X$5*$AU176^(-2*X$4))*$D176*(X$4+1)^2+(X$6*$AU176^(-4*X$4-2))*$D176^2*(X$4+2)^2+(X$7*$AU176^(-6*X$4-6))*$D176^3*(X$4+3)^2+(X$8*$AU176^(-8*X$4-12))*$D176^4*(X$4+4)^2+(X$9*$AU176^(-10*X$4-20))*$D176^5*(X$4+5)^2+(X$10*$AU176^(-12*X$4-30))*$D176^6*(X$4+6)^2)/O176))</f>
        <v/>
      </c>
      <c r="AJ176" s="122" t="str">
        <f t="shared" ref="AJ176:AJ201" si="200">IF(E$11=0,"",IF($A176="","",0.5*E$11*$L176*(1*Y$4^2+(Y$5*$AU176^(-2*Y$4))*$D176*(Y$4+1)^2+(Y$6*$AU176^(-4*Y$4-2))*$D176^2*(Y$4+2)^2+(Y$7*$AU176^(-6*Y$4-6))*$D176^3*(Y$4+3)^2+(Y$8*$AU176^(-8*Y$4-12))*$D176^4*(Y$4+4)^2+(Y$9*$AU176^(-10*Y$4-20))*$D176^5*(Y$4+5)^2+(Y$10*$AU176^(-12*Y$4-30))*$D176^6*(Y$4+6)^2)/P176))</f>
        <v/>
      </c>
      <c r="AK176" s="122" t="str">
        <f t="shared" ref="AK176:AK201" si="201">IF(F$11=0,"",IF($A176="","",0.5*F$11*$L176*(1*Z$4^2+(Z$5*$AU176^(-2*Z$4))*$D176*(Z$4+1)^2+(Z$6*$AU176^(-4*Z$4-2))*$D176^2*(Z$4+2)^2+(Z$7*$AU176^(-6*Z$4-6))*$D176^3*(Z$4+3)^2+(Z$8*$AU176^(-8*Z$4-12))*$D176^4*(Z$4+4)^2+(Z$9*$AU176^(-10*Z$4-20))*$D176^5*(Z$4+5)^2+(Z$10*$AU176^(-12*Z$4-30))*$D176^6*(Z$4+6)^2)/Q176))</f>
        <v/>
      </c>
      <c r="AL176" s="122" t="str">
        <f t="shared" ref="AL176:AL201" si="202">IF(G$11=0,"",IF($A176="","",0.5*G$11*$L176*(1*AA$4^2+(AA$5*$AU176^(-2*AA$4))*$D176*(AA$4+1)^2+(AA$6*$AU176^(-4*AA$4-2))*$D176^2*(AA$4+2)^2+(AA$7*$AU176^(-6*AA$4-6))*$D176^3*(AA$4+3)^2+(AA$8*$AU176^(-8*AA$4-12))*$D176^4*(AA$4+4)^2+(AA$9*$AU176^(-10*AA$4-20))*$D176^5*(AA$4+5)^2+(AA$10*$AU176^(-12*AA$4-30))*$D176^6*(AA$4+6)^2)/R176))</f>
        <v/>
      </c>
      <c r="AM176" s="122" t="str">
        <f t="shared" ref="AM176:AM201" si="203">IF(H$11=0,"",IF($A176="","",0.5*H$11*$L176*(1*AB$4^2+(AB$5*$AU176^(-2*AB$4))*$D176*(AB$4+1)^2+(AB$6*$AU176^(-4*AB$4-2))*$D176^2*(AB$4+2)^2+(AB$7*$AU176^(-6*AB$4-6))*$D176^3*(AB$4+3)^2+(AB$8*$AU176^(-8*AB$4-12))*$D176^4*(AB$4+4)^2+(AB$9*$AU176^(-10*AB$4-20))*$D176^5*(AB$4+5)^2+(AB$10*$AU176^(-12*AB$4-30))*$D176^6*(AB$4+6)^2)/S176))</f>
        <v/>
      </c>
      <c r="AN176" s="122" t="str">
        <f t="shared" ref="AN176:AN201" si="204">IF(B$18=0,"",IF($A176="","",0.5*B$18*$K176*(1*AC$4^2+(AC$5*$AU176^(-2*AC$4))*$D176*(AC$4+1)^2+(AC$6*$AU176^(-4*AC$4-2))*$D176^2*(AC$4+2)^2)/T176))</f>
        <v/>
      </c>
      <c r="AO176" s="122" t="str">
        <f t="shared" ref="AO176:AO201" si="205">IF(C$18=0,"",IF($A176="","",0.5*C$18*$K176*(1*AD$4^2+(AD$5*$AU176^(-2*AD$4))*$D176*(AD$4+1)^2+(AD$6*$AU176^(-4*AD$4-2))*$D176^2*(AD$4+2)^2)/U176))</f>
        <v/>
      </c>
      <c r="AP176" s="122" t="str">
        <f t="shared" ref="AP176:AP201" si="206">IF(D$18=0,"",IF($A176="","",0.5*D$18*$K176*(1*AE$4^2+(AE$5*$AU176^(-2*AE$4))*$D176*(AE$4+1)^2+(AE$6*$AU176^(-4*AE$4-2))*$D176^2*(AE$4+2)^2)/V176))</f>
        <v/>
      </c>
      <c r="AQ176" s="130" t="str">
        <f t="shared" ref="AQ176:AQ201" si="207">IF(A176="","",SUM(AG176:AP176)+0.5*(D176+ $AC$9/AU176^2/D176)+$L176*$S$16+$K176*$T$16)</f>
        <v/>
      </c>
      <c r="AR176" s="122" t="str">
        <f t="shared" ref="AR176:AR201" si="208">IF(A176="","",AQ176+$L176*S$14+$K176*$T$14)</f>
        <v/>
      </c>
      <c r="AS176" s="1001"/>
      <c r="AT176" s="442"/>
      <c r="AU176" s="131" t="str">
        <f t="shared" ref="AU176:AU201" si="209">IF(A176="","",10^(-$P$16*($AT176^0.5/(1+$AT176^0.5)-$P$17*$AT176)))</f>
        <v/>
      </c>
      <c r="AV176" s="17"/>
      <c r="AW176" s="124" t="str">
        <f t="shared" ref="AW176:AW201" si="210">IF(C176="","",C176-B176)</f>
        <v/>
      </c>
      <c r="AX176" s="16"/>
      <c r="AY176" s="26"/>
    </row>
    <row r="177" spans="2:51">
      <c r="B177" s="508"/>
      <c r="C177" s="124"/>
      <c r="D177" s="123" t="str">
        <f t="shared" si="169"/>
        <v/>
      </c>
      <c r="E177" s="123" t="str">
        <f t="shared" si="170"/>
        <v/>
      </c>
      <c r="F177" s="124" t="str">
        <f t="shared" si="171"/>
        <v/>
      </c>
      <c r="G177" s="122" t="str">
        <f t="shared" si="172"/>
        <v/>
      </c>
      <c r="H177" s="122" t="str">
        <f t="shared" si="168"/>
        <v/>
      </c>
      <c r="I177" s="123" t="str">
        <f t="shared" si="173"/>
        <v/>
      </c>
      <c r="J177" s="123" t="str">
        <f t="shared" si="174"/>
        <v/>
      </c>
      <c r="K177" s="124" t="str">
        <f t="shared" si="175"/>
        <v/>
      </c>
      <c r="L177" s="124" t="str">
        <f t="shared" si="176"/>
        <v/>
      </c>
      <c r="M177" s="122" t="str">
        <f t="shared" si="177"/>
        <v/>
      </c>
      <c r="N177" s="122" t="str">
        <f t="shared" si="178"/>
        <v/>
      </c>
      <c r="O177" s="122" t="str">
        <f t="shared" si="179"/>
        <v/>
      </c>
      <c r="P177" s="122" t="str">
        <f t="shared" si="180"/>
        <v/>
      </c>
      <c r="Q177" s="122" t="str">
        <f t="shared" si="181"/>
        <v/>
      </c>
      <c r="R177" s="122" t="str">
        <f t="shared" si="182"/>
        <v/>
      </c>
      <c r="S177" s="122" t="str">
        <f t="shared" si="183"/>
        <v/>
      </c>
      <c r="T177" s="122" t="str">
        <f t="shared" si="184"/>
        <v/>
      </c>
      <c r="U177" s="122" t="str">
        <f t="shared" si="185"/>
        <v/>
      </c>
      <c r="V177" s="122" t="str">
        <f t="shared" si="186"/>
        <v/>
      </c>
      <c r="W177" s="19" t="str">
        <f t="shared" si="187"/>
        <v/>
      </c>
      <c r="X177" s="19" t="str">
        <f t="shared" si="188"/>
        <v/>
      </c>
      <c r="Y177" s="19" t="str">
        <f t="shared" si="189"/>
        <v/>
      </c>
      <c r="Z177" s="19" t="str">
        <f t="shared" si="190"/>
        <v/>
      </c>
      <c r="AA177" s="19" t="str">
        <f t="shared" si="191"/>
        <v/>
      </c>
      <c r="AB177" s="19" t="str">
        <f t="shared" si="192"/>
        <v/>
      </c>
      <c r="AC177" s="19" t="str">
        <f t="shared" si="193"/>
        <v/>
      </c>
      <c r="AD177" s="19" t="str">
        <f t="shared" si="194"/>
        <v/>
      </c>
      <c r="AE177" s="19" t="str">
        <f t="shared" si="195"/>
        <v/>
      </c>
      <c r="AF177" s="19" t="str">
        <f t="shared" si="196"/>
        <v/>
      </c>
      <c r="AG177" s="122" t="str">
        <f t="shared" si="197"/>
        <v/>
      </c>
      <c r="AH177" s="122" t="str">
        <f t="shared" si="198"/>
        <v/>
      </c>
      <c r="AI177" s="122" t="str">
        <f t="shared" si="199"/>
        <v/>
      </c>
      <c r="AJ177" s="122" t="str">
        <f t="shared" si="200"/>
        <v/>
      </c>
      <c r="AK177" s="122" t="str">
        <f t="shared" si="201"/>
        <v/>
      </c>
      <c r="AL177" s="122" t="str">
        <f t="shared" si="202"/>
        <v/>
      </c>
      <c r="AM177" s="122" t="str">
        <f t="shared" si="203"/>
        <v/>
      </c>
      <c r="AN177" s="122" t="str">
        <f t="shared" si="204"/>
        <v/>
      </c>
      <c r="AO177" s="122" t="str">
        <f t="shared" si="205"/>
        <v/>
      </c>
      <c r="AP177" s="122" t="str">
        <f t="shared" si="206"/>
        <v/>
      </c>
      <c r="AQ177" s="130" t="str">
        <f t="shared" si="207"/>
        <v/>
      </c>
      <c r="AR177" s="122" t="str">
        <f t="shared" si="208"/>
        <v/>
      </c>
      <c r="AS177" s="1001"/>
      <c r="AT177" s="442"/>
      <c r="AU177" s="131" t="str">
        <f t="shared" si="209"/>
        <v/>
      </c>
      <c r="AV177" s="17"/>
      <c r="AW177" s="124" t="str">
        <f t="shared" si="210"/>
        <v/>
      </c>
      <c r="AX177" s="16"/>
      <c r="AY177" s="26"/>
    </row>
    <row r="178" spans="2:51">
      <c r="B178" s="508"/>
      <c r="C178" s="124"/>
      <c r="D178" s="123" t="str">
        <f t="shared" si="169"/>
        <v/>
      </c>
      <c r="E178" s="123" t="str">
        <f t="shared" si="170"/>
        <v/>
      </c>
      <c r="F178" s="124" t="str">
        <f t="shared" si="171"/>
        <v/>
      </c>
      <c r="G178" s="122" t="str">
        <f t="shared" si="172"/>
        <v/>
      </c>
      <c r="H178" s="122" t="str">
        <f t="shared" si="168"/>
        <v/>
      </c>
      <c r="I178" s="123" t="str">
        <f t="shared" si="173"/>
        <v/>
      </c>
      <c r="J178" s="123" t="str">
        <f t="shared" si="174"/>
        <v/>
      </c>
      <c r="K178" s="124" t="str">
        <f t="shared" si="175"/>
        <v/>
      </c>
      <c r="L178" s="124" t="str">
        <f t="shared" si="176"/>
        <v/>
      </c>
      <c r="M178" s="122" t="str">
        <f t="shared" si="177"/>
        <v/>
      </c>
      <c r="N178" s="122" t="str">
        <f t="shared" si="178"/>
        <v/>
      </c>
      <c r="O178" s="122" t="str">
        <f t="shared" si="179"/>
        <v/>
      </c>
      <c r="P178" s="122" t="str">
        <f t="shared" si="180"/>
        <v/>
      </c>
      <c r="Q178" s="122" t="str">
        <f t="shared" si="181"/>
        <v/>
      </c>
      <c r="R178" s="122" t="str">
        <f t="shared" si="182"/>
        <v/>
      </c>
      <c r="S178" s="122" t="str">
        <f t="shared" si="183"/>
        <v/>
      </c>
      <c r="T178" s="122" t="str">
        <f t="shared" si="184"/>
        <v/>
      </c>
      <c r="U178" s="122" t="str">
        <f t="shared" si="185"/>
        <v/>
      </c>
      <c r="V178" s="122" t="str">
        <f t="shared" si="186"/>
        <v/>
      </c>
      <c r="W178" s="19" t="str">
        <f t="shared" si="187"/>
        <v/>
      </c>
      <c r="X178" s="19" t="str">
        <f t="shared" si="188"/>
        <v/>
      </c>
      <c r="Y178" s="19" t="str">
        <f t="shared" si="189"/>
        <v/>
      </c>
      <c r="Z178" s="19" t="str">
        <f t="shared" si="190"/>
        <v/>
      </c>
      <c r="AA178" s="19" t="str">
        <f t="shared" si="191"/>
        <v/>
      </c>
      <c r="AB178" s="19" t="str">
        <f t="shared" si="192"/>
        <v/>
      </c>
      <c r="AC178" s="19" t="str">
        <f t="shared" si="193"/>
        <v/>
      </c>
      <c r="AD178" s="19" t="str">
        <f t="shared" si="194"/>
        <v/>
      </c>
      <c r="AE178" s="19" t="str">
        <f t="shared" si="195"/>
        <v/>
      </c>
      <c r="AF178" s="19" t="str">
        <f t="shared" si="196"/>
        <v/>
      </c>
      <c r="AG178" s="122" t="str">
        <f t="shared" si="197"/>
        <v/>
      </c>
      <c r="AH178" s="122" t="str">
        <f t="shared" si="198"/>
        <v/>
      </c>
      <c r="AI178" s="122" t="str">
        <f t="shared" si="199"/>
        <v/>
      </c>
      <c r="AJ178" s="122" t="str">
        <f t="shared" si="200"/>
        <v/>
      </c>
      <c r="AK178" s="122" t="str">
        <f t="shared" si="201"/>
        <v/>
      </c>
      <c r="AL178" s="122" t="str">
        <f t="shared" si="202"/>
        <v/>
      </c>
      <c r="AM178" s="122" t="str">
        <f t="shared" si="203"/>
        <v/>
      </c>
      <c r="AN178" s="122" t="str">
        <f t="shared" si="204"/>
        <v/>
      </c>
      <c r="AO178" s="122" t="str">
        <f t="shared" si="205"/>
        <v/>
      </c>
      <c r="AP178" s="122" t="str">
        <f t="shared" si="206"/>
        <v/>
      </c>
      <c r="AQ178" s="130" t="str">
        <f t="shared" si="207"/>
        <v/>
      </c>
      <c r="AR178" s="122" t="str">
        <f t="shared" si="208"/>
        <v/>
      </c>
      <c r="AS178" s="1001"/>
      <c r="AT178" s="442"/>
      <c r="AU178" s="131" t="str">
        <f t="shared" si="209"/>
        <v/>
      </c>
      <c r="AV178" s="17"/>
      <c r="AW178" s="124" t="str">
        <f t="shared" si="210"/>
        <v/>
      </c>
      <c r="AX178" s="16"/>
      <c r="AY178" s="26"/>
    </row>
    <row r="179" spans="2:51">
      <c r="B179" s="508"/>
      <c r="C179" s="124"/>
      <c r="D179" s="123" t="str">
        <f t="shared" si="169"/>
        <v/>
      </c>
      <c r="E179" s="123" t="str">
        <f t="shared" si="170"/>
        <v/>
      </c>
      <c r="F179" s="124" t="str">
        <f t="shared" si="171"/>
        <v/>
      </c>
      <c r="G179" s="122" t="str">
        <f t="shared" si="172"/>
        <v/>
      </c>
      <c r="H179" s="122" t="str">
        <f t="shared" si="168"/>
        <v/>
      </c>
      <c r="I179" s="123" t="str">
        <f t="shared" si="173"/>
        <v/>
      </c>
      <c r="J179" s="123" t="str">
        <f t="shared" si="174"/>
        <v/>
      </c>
      <c r="K179" s="124" t="str">
        <f t="shared" si="175"/>
        <v/>
      </c>
      <c r="L179" s="124" t="str">
        <f t="shared" si="176"/>
        <v/>
      </c>
      <c r="M179" s="122" t="str">
        <f t="shared" si="177"/>
        <v/>
      </c>
      <c r="N179" s="122" t="str">
        <f t="shared" si="178"/>
        <v/>
      </c>
      <c r="O179" s="122" t="str">
        <f t="shared" si="179"/>
        <v/>
      </c>
      <c r="P179" s="122" t="str">
        <f t="shared" si="180"/>
        <v/>
      </c>
      <c r="Q179" s="122" t="str">
        <f t="shared" si="181"/>
        <v/>
      </c>
      <c r="R179" s="122" t="str">
        <f t="shared" si="182"/>
        <v/>
      </c>
      <c r="S179" s="122" t="str">
        <f t="shared" si="183"/>
        <v/>
      </c>
      <c r="T179" s="122" t="str">
        <f t="shared" si="184"/>
        <v/>
      </c>
      <c r="U179" s="122" t="str">
        <f t="shared" si="185"/>
        <v/>
      </c>
      <c r="V179" s="122" t="str">
        <f t="shared" si="186"/>
        <v/>
      </c>
      <c r="W179" s="19" t="str">
        <f t="shared" si="187"/>
        <v/>
      </c>
      <c r="X179" s="19" t="str">
        <f t="shared" si="188"/>
        <v/>
      </c>
      <c r="Y179" s="19" t="str">
        <f t="shared" si="189"/>
        <v/>
      </c>
      <c r="Z179" s="19" t="str">
        <f t="shared" si="190"/>
        <v/>
      </c>
      <c r="AA179" s="19" t="str">
        <f t="shared" si="191"/>
        <v/>
      </c>
      <c r="AB179" s="19" t="str">
        <f t="shared" si="192"/>
        <v/>
      </c>
      <c r="AC179" s="19" t="str">
        <f t="shared" si="193"/>
        <v/>
      </c>
      <c r="AD179" s="19" t="str">
        <f t="shared" si="194"/>
        <v/>
      </c>
      <c r="AE179" s="19" t="str">
        <f t="shared" si="195"/>
        <v/>
      </c>
      <c r="AF179" s="19" t="str">
        <f t="shared" si="196"/>
        <v/>
      </c>
      <c r="AG179" s="122" t="str">
        <f t="shared" si="197"/>
        <v/>
      </c>
      <c r="AH179" s="122" t="str">
        <f t="shared" si="198"/>
        <v/>
      </c>
      <c r="AI179" s="122" t="str">
        <f t="shared" si="199"/>
        <v/>
      </c>
      <c r="AJ179" s="122" t="str">
        <f t="shared" si="200"/>
        <v/>
      </c>
      <c r="AK179" s="122" t="str">
        <f t="shared" si="201"/>
        <v/>
      </c>
      <c r="AL179" s="122" t="str">
        <f t="shared" si="202"/>
        <v/>
      </c>
      <c r="AM179" s="122" t="str">
        <f t="shared" si="203"/>
        <v/>
      </c>
      <c r="AN179" s="122" t="str">
        <f t="shared" si="204"/>
        <v/>
      </c>
      <c r="AO179" s="122" t="str">
        <f t="shared" si="205"/>
        <v/>
      </c>
      <c r="AP179" s="122" t="str">
        <f t="shared" si="206"/>
        <v/>
      </c>
      <c r="AQ179" s="130" t="str">
        <f t="shared" si="207"/>
        <v/>
      </c>
      <c r="AR179" s="122" t="str">
        <f t="shared" si="208"/>
        <v/>
      </c>
      <c r="AS179" s="1001"/>
      <c r="AT179" s="442"/>
      <c r="AU179" s="131" t="str">
        <f t="shared" si="209"/>
        <v/>
      </c>
      <c r="AV179" s="17"/>
      <c r="AW179" s="124" t="str">
        <f t="shared" si="210"/>
        <v/>
      </c>
      <c r="AX179" s="16"/>
      <c r="AY179" s="26"/>
    </row>
    <row r="180" spans="2:51">
      <c r="B180" s="508"/>
      <c r="C180" s="124"/>
      <c r="D180" s="123" t="str">
        <f t="shared" si="169"/>
        <v/>
      </c>
      <c r="E180" s="123" t="str">
        <f t="shared" si="170"/>
        <v/>
      </c>
      <c r="F180" s="124" t="str">
        <f t="shared" si="171"/>
        <v/>
      </c>
      <c r="G180" s="122" t="str">
        <f t="shared" si="172"/>
        <v/>
      </c>
      <c r="H180" s="122" t="str">
        <f t="shared" si="168"/>
        <v/>
      </c>
      <c r="I180" s="123" t="str">
        <f t="shared" si="173"/>
        <v/>
      </c>
      <c r="J180" s="123" t="str">
        <f t="shared" si="174"/>
        <v/>
      </c>
      <c r="K180" s="124" t="str">
        <f t="shared" si="175"/>
        <v/>
      </c>
      <c r="L180" s="124" t="str">
        <f t="shared" si="176"/>
        <v/>
      </c>
      <c r="M180" s="122" t="str">
        <f t="shared" si="177"/>
        <v/>
      </c>
      <c r="N180" s="122" t="str">
        <f t="shared" si="178"/>
        <v/>
      </c>
      <c r="O180" s="122" t="str">
        <f t="shared" si="179"/>
        <v/>
      </c>
      <c r="P180" s="122" t="str">
        <f t="shared" si="180"/>
        <v/>
      </c>
      <c r="Q180" s="122" t="str">
        <f t="shared" si="181"/>
        <v/>
      </c>
      <c r="R180" s="122" t="str">
        <f t="shared" si="182"/>
        <v/>
      </c>
      <c r="S180" s="122" t="str">
        <f t="shared" si="183"/>
        <v/>
      </c>
      <c r="T180" s="122" t="str">
        <f t="shared" si="184"/>
        <v/>
      </c>
      <c r="U180" s="122" t="str">
        <f t="shared" si="185"/>
        <v/>
      </c>
      <c r="V180" s="122" t="str">
        <f t="shared" si="186"/>
        <v/>
      </c>
      <c r="W180" s="19" t="str">
        <f t="shared" si="187"/>
        <v/>
      </c>
      <c r="X180" s="19" t="str">
        <f t="shared" si="188"/>
        <v/>
      </c>
      <c r="Y180" s="19" t="str">
        <f t="shared" si="189"/>
        <v/>
      </c>
      <c r="Z180" s="19" t="str">
        <f t="shared" si="190"/>
        <v/>
      </c>
      <c r="AA180" s="19" t="str">
        <f t="shared" si="191"/>
        <v/>
      </c>
      <c r="AB180" s="19" t="str">
        <f t="shared" si="192"/>
        <v/>
      </c>
      <c r="AC180" s="19" t="str">
        <f t="shared" si="193"/>
        <v/>
      </c>
      <c r="AD180" s="19" t="str">
        <f t="shared" si="194"/>
        <v/>
      </c>
      <c r="AE180" s="19" t="str">
        <f t="shared" si="195"/>
        <v/>
      </c>
      <c r="AF180" s="19" t="str">
        <f t="shared" si="196"/>
        <v/>
      </c>
      <c r="AG180" s="122" t="str">
        <f t="shared" si="197"/>
        <v/>
      </c>
      <c r="AH180" s="122" t="str">
        <f t="shared" si="198"/>
        <v/>
      </c>
      <c r="AI180" s="122" t="str">
        <f t="shared" si="199"/>
        <v/>
      </c>
      <c r="AJ180" s="122" t="str">
        <f t="shared" si="200"/>
        <v/>
      </c>
      <c r="AK180" s="122" t="str">
        <f t="shared" si="201"/>
        <v/>
      </c>
      <c r="AL180" s="122" t="str">
        <f t="shared" si="202"/>
        <v/>
      </c>
      <c r="AM180" s="122" t="str">
        <f t="shared" si="203"/>
        <v/>
      </c>
      <c r="AN180" s="122" t="str">
        <f t="shared" si="204"/>
        <v/>
      </c>
      <c r="AO180" s="122" t="str">
        <f t="shared" si="205"/>
        <v/>
      </c>
      <c r="AP180" s="122" t="str">
        <f t="shared" si="206"/>
        <v/>
      </c>
      <c r="AQ180" s="130" t="str">
        <f t="shared" si="207"/>
        <v/>
      </c>
      <c r="AR180" s="122" t="str">
        <f t="shared" si="208"/>
        <v/>
      </c>
      <c r="AS180" s="1001"/>
      <c r="AT180" s="442"/>
      <c r="AU180" s="131" t="str">
        <f t="shared" si="209"/>
        <v/>
      </c>
      <c r="AV180" s="17"/>
      <c r="AW180" s="124" t="str">
        <f t="shared" si="210"/>
        <v/>
      </c>
      <c r="AX180" s="16"/>
      <c r="AY180" s="26"/>
    </row>
    <row r="181" spans="2:51">
      <c r="B181" s="508"/>
      <c r="C181" s="124"/>
      <c r="D181" s="123" t="str">
        <f t="shared" si="169"/>
        <v/>
      </c>
      <c r="E181" s="123" t="str">
        <f t="shared" si="170"/>
        <v/>
      </c>
      <c r="F181" s="124" t="str">
        <f t="shared" si="171"/>
        <v/>
      </c>
      <c r="G181" s="122" t="str">
        <f t="shared" si="172"/>
        <v/>
      </c>
      <c r="H181" s="122" t="str">
        <f t="shared" si="168"/>
        <v/>
      </c>
      <c r="I181" s="123" t="str">
        <f t="shared" si="173"/>
        <v/>
      </c>
      <c r="J181" s="123" t="str">
        <f t="shared" si="174"/>
        <v/>
      </c>
      <c r="K181" s="124" t="str">
        <f t="shared" si="175"/>
        <v/>
      </c>
      <c r="L181" s="124" t="str">
        <f t="shared" si="176"/>
        <v/>
      </c>
      <c r="M181" s="122" t="str">
        <f t="shared" si="177"/>
        <v/>
      </c>
      <c r="N181" s="122" t="str">
        <f t="shared" si="178"/>
        <v/>
      </c>
      <c r="O181" s="122" t="str">
        <f t="shared" si="179"/>
        <v/>
      </c>
      <c r="P181" s="122" t="str">
        <f t="shared" si="180"/>
        <v/>
      </c>
      <c r="Q181" s="122" t="str">
        <f t="shared" si="181"/>
        <v/>
      </c>
      <c r="R181" s="122" t="str">
        <f t="shared" si="182"/>
        <v/>
      </c>
      <c r="S181" s="122" t="str">
        <f t="shared" si="183"/>
        <v/>
      </c>
      <c r="T181" s="122" t="str">
        <f t="shared" si="184"/>
        <v/>
      </c>
      <c r="U181" s="122" t="str">
        <f t="shared" si="185"/>
        <v/>
      </c>
      <c r="V181" s="122" t="str">
        <f t="shared" si="186"/>
        <v/>
      </c>
      <c r="W181" s="19" t="str">
        <f t="shared" si="187"/>
        <v/>
      </c>
      <c r="X181" s="19" t="str">
        <f t="shared" si="188"/>
        <v/>
      </c>
      <c r="Y181" s="19" t="str">
        <f t="shared" si="189"/>
        <v/>
      </c>
      <c r="Z181" s="19" t="str">
        <f t="shared" si="190"/>
        <v/>
      </c>
      <c r="AA181" s="19" t="str">
        <f t="shared" si="191"/>
        <v/>
      </c>
      <c r="AB181" s="19" t="str">
        <f t="shared" si="192"/>
        <v/>
      </c>
      <c r="AC181" s="19" t="str">
        <f t="shared" si="193"/>
        <v/>
      </c>
      <c r="AD181" s="19" t="str">
        <f t="shared" si="194"/>
        <v/>
      </c>
      <c r="AE181" s="19" t="str">
        <f t="shared" si="195"/>
        <v/>
      </c>
      <c r="AF181" s="19" t="str">
        <f t="shared" si="196"/>
        <v/>
      </c>
      <c r="AG181" s="122" t="str">
        <f t="shared" si="197"/>
        <v/>
      </c>
      <c r="AH181" s="122" t="str">
        <f t="shared" si="198"/>
        <v/>
      </c>
      <c r="AI181" s="122" t="str">
        <f t="shared" si="199"/>
        <v/>
      </c>
      <c r="AJ181" s="122" t="str">
        <f t="shared" si="200"/>
        <v/>
      </c>
      <c r="AK181" s="122" t="str">
        <f t="shared" si="201"/>
        <v/>
      </c>
      <c r="AL181" s="122" t="str">
        <f t="shared" si="202"/>
        <v/>
      </c>
      <c r="AM181" s="122" t="str">
        <f t="shared" si="203"/>
        <v/>
      </c>
      <c r="AN181" s="122" t="str">
        <f t="shared" si="204"/>
        <v/>
      </c>
      <c r="AO181" s="122" t="str">
        <f t="shared" si="205"/>
        <v/>
      </c>
      <c r="AP181" s="122" t="str">
        <f t="shared" si="206"/>
        <v/>
      </c>
      <c r="AQ181" s="130" t="str">
        <f t="shared" si="207"/>
        <v/>
      </c>
      <c r="AR181" s="122" t="str">
        <f t="shared" si="208"/>
        <v/>
      </c>
      <c r="AS181" s="1001"/>
      <c r="AT181" s="442"/>
      <c r="AU181" s="131" t="str">
        <f t="shared" si="209"/>
        <v/>
      </c>
      <c r="AV181" s="17"/>
      <c r="AW181" s="124" t="str">
        <f t="shared" si="210"/>
        <v/>
      </c>
      <c r="AX181" s="16"/>
      <c r="AY181" s="26"/>
    </row>
    <row r="182" spans="2:51">
      <c r="B182" s="508"/>
      <c r="C182" s="124"/>
      <c r="D182" s="123" t="str">
        <f t="shared" si="169"/>
        <v/>
      </c>
      <c r="E182" s="123" t="str">
        <f t="shared" si="170"/>
        <v/>
      </c>
      <c r="F182" s="124" t="str">
        <f t="shared" si="171"/>
        <v/>
      </c>
      <c r="G182" s="122" t="str">
        <f t="shared" si="172"/>
        <v/>
      </c>
      <c r="H182" s="122" t="str">
        <f t="shared" si="168"/>
        <v/>
      </c>
      <c r="I182" s="123" t="str">
        <f t="shared" si="173"/>
        <v/>
      </c>
      <c r="J182" s="123" t="str">
        <f t="shared" si="174"/>
        <v/>
      </c>
      <c r="K182" s="124" t="str">
        <f t="shared" si="175"/>
        <v/>
      </c>
      <c r="L182" s="124" t="str">
        <f t="shared" si="176"/>
        <v/>
      </c>
      <c r="M182" s="122" t="str">
        <f t="shared" si="177"/>
        <v/>
      </c>
      <c r="N182" s="122" t="str">
        <f t="shared" si="178"/>
        <v/>
      </c>
      <c r="O182" s="122" t="str">
        <f t="shared" si="179"/>
        <v/>
      </c>
      <c r="P182" s="122" t="str">
        <f t="shared" si="180"/>
        <v/>
      </c>
      <c r="Q182" s="122" t="str">
        <f t="shared" si="181"/>
        <v/>
      </c>
      <c r="R182" s="122" t="str">
        <f t="shared" si="182"/>
        <v/>
      </c>
      <c r="S182" s="122" t="str">
        <f t="shared" si="183"/>
        <v/>
      </c>
      <c r="T182" s="122" t="str">
        <f t="shared" si="184"/>
        <v/>
      </c>
      <c r="U182" s="122" t="str">
        <f t="shared" si="185"/>
        <v/>
      </c>
      <c r="V182" s="122" t="str">
        <f t="shared" si="186"/>
        <v/>
      </c>
      <c r="W182" s="19" t="str">
        <f t="shared" si="187"/>
        <v/>
      </c>
      <c r="X182" s="19" t="str">
        <f t="shared" si="188"/>
        <v/>
      </c>
      <c r="Y182" s="19" t="str">
        <f t="shared" si="189"/>
        <v/>
      </c>
      <c r="Z182" s="19" t="str">
        <f t="shared" si="190"/>
        <v/>
      </c>
      <c r="AA182" s="19" t="str">
        <f t="shared" si="191"/>
        <v/>
      </c>
      <c r="AB182" s="19" t="str">
        <f t="shared" si="192"/>
        <v/>
      </c>
      <c r="AC182" s="19" t="str">
        <f t="shared" si="193"/>
        <v/>
      </c>
      <c r="AD182" s="19" t="str">
        <f t="shared" si="194"/>
        <v/>
      </c>
      <c r="AE182" s="19" t="str">
        <f t="shared" si="195"/>
        <v/>
      </c>
      <c r="AF182" s="19" t="str">
        <f t="shared" si="196"/>
        <v/>
      </c>
      <c r="AG182" s="122" t="str">
        <f t="shared" si="197"/>
        <v/>
      </c>
      <c r="AH182" s="122" t="str">
        <f t="shared" si="198"/>
        <v/>
      </c>
      <c r="AI182" s="122" t="str">
        <f t="shared" si="199"/>
        <v/>
      </c>
      <c r="AJ182" s="122" t="str">
        <f t="shared" si="200"/>
        <v/>
      </c>
      <c r="AK182" s="122" t="str">
        <f t="shared" si="201"/>
        <v/>
      </c>
      <c r="AL182" s="122" t="str">
        <f t="shared" si="202"/>
        <v/>
      </c>
      <c r="AM182" s="122" t="str">
        <f t="shared" si="203"/>
        <v/>
      </c>
      <c r="AN182" s="122" t="str">
        <f t="shared" si="204"/>
        <v/>
      </c>
      <c r="AO182" s="122" t="str">
        <f t="shared" si="205"/>
        <v/>
      </c>
      <c r="AP182" s="122" t="str">
        <f t="shared" si="206"/>
        <v/>
      </c>
      <c r="AQ182" s="130" t="str">
        <f t="shared" si="207"/>
        <v/>
      </c>
      <c r="AR182" s="122" t="str">
        <f t="shared" si="208"/>
        <v/>
      </c>
      <c r="AS182" s="1001"/>
      <c r="AT182" s="442"/>
      <c r="AU182" s="131" t="str">
        <f t="shared" si="209"/>
        <v/>
      </c>
      <c r="AV182" s="17"/>
      <c r="AW182" s="124" t="str">
        <f t="shared" si="210"/>
        <v/>
      </c>
      <c r="AX182" s="16"/>
      <c r="AY182" s="26"/>
    </row>
    <row r="183" spans="2:51">
      <c r="B183" s="508"/>
      <c r="C183" s="124"/>
      <c r="D183" s="123" t="str">
        <f t="shared" si="169"/>
        <v/>
      </c>
      <c r="E183" s="123" t="str">
        <f t="shared" si="170"/>
        <v/>
      </c>
      <c r="F183" s="124" t="str">
        <f t="shared" si="171"/>
        <v/>
      </c>
      <c r="G183" s="122" t="str">
        <f t="shared" si="172"/>
        <v/>
      </c>
      <c r="H183" s="122" t="str">
        <f t="shared" si="168"/>
        <v/>
      </c>
      <c r="I183" s="123" t="str">
        <f t="shared" si="173"/>
        <v/>
      </c>
      <c r="J183" s="123" t="str">
        <f t="shared" si="174"/>
        <v/>
      </c>
      <c r="K183" s="124" t="str">
        <f t="shared" si="175"/>
        <v/>
      </c>
      <c r="L183" s="124" t="str">
        <f t="shared" si="176"/>
        <v/>
      </c>
      <c r="M183" s="122" t="str">
        <f t="shared" si="177"/>
        <v/>
      </c>
      <c r="N183" s="122" t="str">
        <f t="shared" si="178"/>
        <v/>
      </c>
      <c r="O183" s="122" t="str">
        <f t="shared" si="179"/>
        <v/>
      </c>
      <c r="P183" s="122" t="str">
        <f t="shared" si="180"/>
        <v/>
      </c>
      <c r="Q183" s="122" t="str">
        <f t="shared" si="181"/>
        <v/>
      </c>
      <c r="R183" s="122" t="str">
        <f t="shared" si="182"/>
        <v/>
      </c>
      <c r="S183" s="122" t="str">
        <f t="shared" si="183"/>
        <v/>
      </c>
      <c r="T183" s="122" t="str">
        <f t="shared" si="184"/>
        <v/>
      </c>
      <c r="U183" s="122" t="str">
        <f t="shared" si="185"/>
        <v/>
      </c>
      <c r="V183" s="122" t="str">
        <f t="shared" si="186"/>
        <v/>
      </c>
      <c r="W183" s="19" t="str">
        <f t="shared" si="187"/>
        <v/>
      </c>
      <c r="X183" s="19" t="str">
        <f t="shared" si="188"/>
        <v/>
      </c>
      <c r="Y183" s="19" t="str">
        <f t="shared" si="189"/>
        <v/>
      </c>
      <c r="Z183" s="19" t="str">
        <f t="shared" si="190"/>
        <v/>
      </c>
      <c r="AA183" s="19" t="str">
        <f t="shared" si="191"/>
        <v/>
      </c>
      <c r="AB183" s="19" t="str">
        <f t="shared" si="192"/>
        <v/>
      </c>
      <c r="AC183" s="19" t="str">
        <f t="shared" si="193"/>
        <v/>
      </c>
      <c r="AD183" s="19" t="str">
        <f t="shared" si="194"/>
        <v/>
      </c>
      <c r="AE183" s="19" t="str">
        <f t="shared" si="195"/>
        <v/>
      </c>
      <c r="AF183" s="19" t="str">
        <f t="shared" si="196"/>
        <v/>
      </c>
      <c r="AG183" s="122" t="str">
        <f t="shared" si="197"/>
        <v/>
      </c>
      <c r="AH183" s="122" t="str">
        <f t="shared" si="198"/>
        <v/>
      </c>
      <c r="AI183" s="122" t="str">
        <f t="shared" si="199"/>
        <v/>
      </c>
      <c r="AJ183" s="122" t="str">
        <f t="shared" si="200"/>
        <v/>
      </c>
      <c r="AK183" s="122" t="str">
        <f t="shared" si="201"/>
        <v/>
      </c>
      <c r="AL183" s="122" t="str">
        <f t="shared" si="202"/>
        <v/>
      </c>
      <c r="AM183" s="122" t="str">
        <f t="shared" si="203"/>
        <v/>
      </c>
      <c r="AN183" s="122" t="str">
        <f t="shared" si="204"/>
        <v/>
      </c>
      <c r="AO183" s="122" t="str">
        <f t="shared" si="205"/>
        <v/>
      </c>
      <c r="AP183" s="122" t="str">
        <f t="shared" si="206"/>
        <v/>
      </c>
      <c r="AQ183" s="130" t="str">
        <f t="shared" si="207"/>
        <v/>
      </c>
      <c r="AR183" s="122" t="str">
        <f t="shared" si="208"/>
        <v/>
      </c>
      <c r="AS183" s="1001"/>
      <c r="AT183" s="442"/>
      <c r="AU183" s="131" t="str">
        <f t="shared" si="209"/>
        <v/>
      </c>
      <c r="AV183" s="17"/>
      <c r="AW183" s="124" t="str">
        <f t="shared" si="210"/>
        <v/>
      </c>
      <c r="AX183" s="16"/>
      <c r="AY183" s="26"/>
    </row>
    <row r="184" spans="2:51">
      <c r="B184" s="508"/>
      <c r="C184" s="124"/>
      <c r="D184" s="123" t="str">
        <f t="shared" si="169"/>
        <v/>
      </c>
      <c r="E184" s="123" t="str">
        <f t="shared" si="170"/>
        <v/>
      </c>
      <c r="F184" s="124" t="str">
        <f t="shared" si="171"/>
        <v/>
      </c>
      <c r="G184" s="122" t="str">
        <f t="shared" si="172"/>
        <v/>
      </c>
      <c r="H184" s="122" t="str">
        <f t="shared" si="168"/>
        <v/>
      </c>
      <c r="I184" s="123" t="str">
        <f t="shared" si="173"/>
        <v/>
      </c>
      <c r="J184" s="123" t="str">
        <f t="shared" si="174"/>
        <v/>
      </c>
      <c r="K184" s="124" t="str">
        <f t="shared" si="175"/>
        <v/>
      </c>
      <c r="L184" s="124" t="str">
        <f t="shared" si="176"/>
        <v/>
      </c>
      <c r="M184" s="122" t="str">
        <f t="shared" si="177"/>
        <v/>
      </c>
      <c r="N184" s="122" t="str">
        <f t="shared" si="178"/>
        <v/>
      </c>
      <c r="O184" s="122" t="str">
        <f t="shared" si="179"/>
        <v/>
      </c>
      <c r="P184" s="122" t="str">
        <f t="shared" si="180"/>
        <v/>
      </c>
      <c r="Q184" s="122" t="str">
        <f t="shared" si="181"/>
        <v/>
      </c>
      <c r="R184" s="122" t="str">
        <f t="shared" si="182"/>
        <v/>
      </c>
      <c r="S184" s="122" t="str">
        <f t="shared" si="183"/>
        <v/>
      </c>
      <c r="T184" s="122" t="str">
        <f t="shared" si="184"/>
        <v/>
      </c>
      <c r="U184" s="122" t="str">
        <f t="shared" si="185"/>
        <v/>
      </c>
      <c r="V184" s="122" t="str">
        <f t="shared" si="186"/>
        <v/>
      </c>
      <c r="W184" s="19" t="str">
        <f t="shared" si="187"/>
        <v/>
      </c>
      <c r="X184" s="19" t="str">
        <f t="shared" si="188"/>
        <v/>
      </c>
      <c r="Y184" s="19" t="str">
        <f t="shared" si="189"/>
        <v/>
      </c>
      <c r="Z184" s="19" t="str">
        <f t="shared" si="190"/>
        <v/>
      </c>
      <c r="AA184" s="19" t="str">
        <f t="shared" si="191"/>
        <v/>
      </c>
      <c r="AB184" s="19" t="str">
        <f t="shared" si="192"/>
        <v/>
      </c>
      <c r="AC184" s="19" t="str">
        <f t="shared" si="193"/>
        <v/>
      </c>
      <c r="AD184" s="19" t="str">
        <f t="shared" si="194"/>
        <v/>
      </c>
      <c r="AE184" s="19" t="str">
        <f t="shared" si="195"/>
        <v/>
      </c>
      <c r="AF184" s="19" t="str">
        <f t="shared" si="196"/>
        <v/>
      </c>
      <c r="AG184" s="122" t="str">
        <f t="shared" si="197"/>
        <v/>
      </c>
      <c r="AH184" s="122" t="str">
        <f t="shared" si="198"/>
        <v/>
      </c>
      <c r="AI184" s="122" t="str">
        <f t="shared" si="199"/>
        <v/>
      </c>
      <c r="AJ184" s="122" t="str">
        <f t="shared" si="200"/>
        <v/>
      </c>
      <c r="AK184" s="122" t="str">
        <f t="shared" si="201"/>
        <v/>
      </c>
      <c r="AL184" s="122" t="str">
        <f t="shared" si="202"/>
        <v/>
      </c>
      <c r="AM184" s="122" t="str">
        <f t="shared" si="203"/>
        <v/>
      </c>
      <c r="AN184" s="122" t="str">
        <f t="shared" si="204"/>
        <v/>
      </c>
      <c r="AO184" s="122" t="str">
        <f t="shared" si="205"/>
        <v/>
      </c>
      <c r="AP184" s="122" t="str">
        <f t="shared" si="206"/>
        <v/>
      </c>
      <c r="AQ184" s="130" t="str">
        <f t="shared" si="207"/>
        <v/>
      </c>
      <c r="AR184" s="122" t="str">
        <f t="shared" si="208"/>
        <v/>
      </c>
      <c r="AS184" s="1001"/>
      <c r="AT184" s="442"/>
      <c r="AU184" s="131" t="str">
        <f t="shared" si="209"/>
        <v/>
      </c>
      <c r="AV184" s="17"/>
      <c r="AW184" s="124" t="str">
        <f t="shared" si="210"/>
        <v/>
      </c>
      <c r="AX184" s="16"/>
      <c r="AY184" s="26"/>
    </row>
    <row r="185" spans="2:51">
      <c r="B185" s="508"/>
      <c r="C185" s="124"/>
      <c r="D185" s="123" t="str">
        <f t="shared" si="169"/>
        <v/>
      </c>
      <c r="E185" s="123" t="str">
        <f t="shared" si="170"/>
        <v/>
      </c>
      <c r="F185" s="124" t="str">
        <f t="shared" si="171"/>
        <v/>
      </c>
      <c r="G185" s="122" t="str">
        <f t="shared" si="172"/>
        <v/>
      </c>
      <c r="H185" s="122" t="str">
        <f t="shared" si="168"/>
        <v/>
      </c>
      <c r="I185" s="123" t="str">
        <f t="shared" si="173"/>
        <v/>
      </c>
      <c r="J185" s="123" t="str">
        <f t="shared" si="174"/>
        <v/>
      </c>
      <c r="K185" s="124" t="str">
        <f t="shared" si="175"/>
        <v/>
      </c>
      <c r="L185" s="124" t="str">
        <f t="shared" si="176"/>
        <v/>
      </c>
      <c r="M185" s="122" t="str">
        <f t="shared" si="177"/>
        <v/>
      </c>
      <c r="N185" s="122" t="str">
        <f t="shared" si="178"/>
        <v/>
      </c>
      <c r="O185" s="122" t="str">
        <f t="shared" si="179"/>
        <v/>
      </c>
      <c r="P185" s="122" t="str">
        <f t="shared" si="180"/>
        <v/>
      </c>
      <c r="Q185" s="122" t="str">
        <f t="shared" si="181"/>
        <v/>
      </c>
      <c r="R185" s="122" t="str">
        <f t="shared" si="182"/>
        <v/>
      </c>
      <c r="S185" s="122" t="str">
        <f t="shared" si="183"/>
        <v/>
      </c>
      <c r="T185" s="122" t="str">
        <f t="shared" si="184"/>
        <v/>
      </c>
      <c r="U185" s="122" t="str">
        <f t="shared" si="185"/>
        <v/>
      </c>
      <c r="V185" s="122" t="str">
        <f t="shared" si="186"/>
        <v/>
      </c>
      <c r="W185" s="19" t="str">
        <f t="shared" si="187"/>
        <v/>
      </c>
      <c r="X185" s="19" t="str">
        <f t="shared" si="188"/>
        <v/>
      </c>
      <c r="Y185" s="19" t="str">
        <f t="shared" si="189"/>
        <v/>
      </c>
      <c r="Z185" s="19" t="str">
        <f t="shared" si="190"/>
        <v/>
      </c>
      <c r="AA185" s="19" t="str">
        <f t="shared" si="191"/>
        <v/>
      </c>
      <c r="AB185" s="19" t="str">
        <f t="shared" si="192"/>
        <v/>
      </c>
      <c r="AC185" s="19" t="str">
        <f t="shared" si="193"/>
        <v/>
      </c>
      <c r="AD185" s="19" t="str">
        <f t="shared" si="194"/>
        <v/>
      </c>
      <c r="AE185" s="19" t="str">
        <f t="shared" si="195"/>
        <v/>
      </c>
      <c r="AF185" s="19" t="str">
        <f t="shared" si="196"/>
        <v/>
      </c>
      <c r="AG185" s="122" t="str">
        <f t="shared" si="197"/>
        <v/>
      </c>
      <c r="AH185" s="122" t="str">
        <f t="shared" si="198"/>
        <v/>
      </c>
      <c r="AI185" s="122" t="str">
        <f t="shared" si="199"/>
        <v/>
      </c>
      <c r="AJ185" s="122" t="str">
        <f t="shared" si="200"/>
        <v/>
      </c>
      <c r="AK185" s="122" t="str">
        <f t="shared" si="201"/>
        <v/>
      </c>
      <c r="AL185" s="122" t="str">
        <f t="shared" si="202"/>
        <v/>
      </c>
      <c r="AM185" s="122" t="str">
        <f t="shared" si="203"/>
        <v/>
      </c>
      <c r="AN185" s="122" t="str">
        <f t="shared" si="204"/>
        <v/>
      </c>
      <c r="AO185" s="122" t="str">
        <f t="shared" si="205"/>
        <v/>
      </c>
      <c r="AP185" s="122" t="str">
        <f t="shared" si="206"/>
        <v/>
      </c>
      <c r="AQ185" s="130" t="str">
        <f t="shared" si="207"/>
        <v/>
      </c>
      <c r="AR185" s="122" t="str">
        <f t="shared" si="208"/>
        <v/>
      </c>
      <c r="AS185" s="1001"/>
      <c r="AT185" s="442"/>
      <c r="AU185" s="131" t="str">
        <f t="shared" si="209"/>
        <v/>
      </c>
      <c r="AV185" s="17"/>
      <c r="AW185" s="124" t="str">
        <f t="shared" si="210"/>
        <v/>
      </c>
      <c r="AX185" s="16"/>
      <c r="AY185" s="26"/>
    </row>
    <row r="186" spans="2:51">
      <c r="B186" s="508"/>
      <c r="C186" s="124"/>
      <c r="D186" s="123" t="str">
        <f t="shared" si="169"/>
        <v/>
      </c>
      <c r="E186" s="123" t="str">
        <f t="shared" si="170"/>
        <v/>
      </c>
      <c r="F186" s="124" t="str">
        <f t="shared" si="171"/>
        <v/>
      </c>
      <c r="G186" s="122" t="str">
        <f t="shared" si="172"/>
        <v/>
      </c>
      <c r="H186" s="122" t="str">
        <f t="shared" si="168"/>
        <v/>
      </c>
      <c r="I186" s="123" t="str">
        <f t="shared" si="173"/>
        <v/>
      </c>
      <c r="J186" s="123" t="str">
        <f t="shared" si="174"/>
        <v/>
      </c>
      <c r="K186" s="124" t="str">
        <f t="shared" si="175"/>
        <v/>
      </c>
      <c r="L186" s="124" t="str">
        <f t="shared" si="176"/>
        <v/>
      </c>
      <c r="M186" s="122" t="str">
        <f t="shared" si="177"/>
        <v/>
      </c>
      <c r="N186" s="122" t="str">
        <f t="shared" si="178"/>
        <v/>
      </c>
      <c r="O186" s="122" t="str">
        <f t="shared" si="179"/>
        <v/>
      </c>
      <c r="P186" s="122" t="str">
        <f t="shared" si="180"/>
        <v/>
      </c>
      <c r="Q186" s="122" t="str">
        <f t="shared" si="181"/>
        <v/>
      </c>
      <c r="R186" s="122" t="str">
        <f t="shared" si="182"/>
        <v/>
      </c>
      <c r="S186" s="122" t="str">
        <f t="shared" si="183"/>
        <v/>
      </c>
      <c r="T186" s="122" t="str">
        <f t="shared" si="184"/>
        <v/>
      </c>
      <c r="U186" s="122" t="str">
        <f t="shared" si="185"/>
        <v/>
      </c>
      <c r="V186" s="122" t="str">
        <f t="shared" si="186"/>
        <v/>
      </c>
      <c r="W186" s="19" t="str">
        <f t="shared" si="187"/>
        <v/>
      </c>
      <c r="X186" s="19" t="str">
        <f t="shared" si="188"/>
        <v/>
      </c>
      <c r="Y186" s="19" t="str">
        <f t="shared" si="189"/>
        <v/>
      </c>
      <c r="Z186" s="19" t="str">
        <f t="shared" si="190"/>
        <v/>
      </c>
      <c r="AA186" s="19" t="str">
        <f t="shared" si="191"/>
        <v/>
      </c>
      <c r="AB186" s="19" t="str">
        <f t="shared" si="192"/>
        <v/>
      </c>
      <c r="AC186" s="19" t="str">
        <f t="shared" si="193"/>
        <v/>
      </c>
      <c r="AD186" s="19" t="str">
        <f t="shared" si="194"/>
        <v/>
      </c>
      <c r="AE186" s="19" t="str">
        <f t="shared" si="195"/>
        <v/>
      </c>
      <c r="AF186" s="19" t="str">
        <f t="shared" si="196"/>
        <v/>
      </c>
      <c r="AG186" s="122" t="str">
        <f t="shared" si="197"/>
        <v/>
      </c>
      <c r="AH186" s="122" t="str">
        <f t="shared" si="198"/>
        <v/>
      </c>
      <c r="AI186" s="122" t="str">
        <f t="shared" si="199"/>
        <v/>
      </c>
      <c r="AJ186" s="122" t="str">
        <f t="shared" si="200"/>
        <v/>
      </c>
      <c r="AK186" s="122" t="str">
        <f t="shared" si="201"/>
        <v/>
      </c>
      <c r="AL186" s="122" t="str">
        <f t="shared" si="202"/>
        <v/>
      </c>
      <c r="AM186" s="122" t="str">
        <f t="shared" si="203"/>
        <v/>
      </c>
      <c r="AN186" s="122" t="str">
        <f t="shared" si="204"/>
        <v/>
      </c>
      <c r="AO186" s="122" t="str">
        <f t="shared" si="205"/>
        <v/>
      </c>
      <c r="AP186" s="122" t="str">
        <f t="shared" si="206"/>
        <v/>
      </c>
      <c r="AQ186" s="130" t="str">
        <f t="shared" si="207"/>
        <v/>
      </c>
      <c r="AR186" s="122" t="str">
        <f t="shared" si="208"/>
        <v/>
      </c>
      <c r="AS186" s="1001"/>
      <c r="AT186" s="442"/>
      <c r="AU186" s="131" t="str">
        <f t="shared" si="209"/>
        <v/>
      </c>
      <c r="AV186" s="17"/>
      <c r="AW186" s="124" t="str">
        <f t="shared" si="210"/>
        <v/>
      </c>
      <c r="AX186" s="16"/>
      <c r="AY186" s="26"/>
    </row>
    <row r="187" spans="2:51">
      <c r="B187" s="508"/>
      <c r="C187" s="124"/>
      <c r="D187" s="123" t="str">
        <f t="shared" si="169"/>
        <v/>
      </c>
      <c r="E187" s="123" t="str">
        <f t="shared" si="170"/>
        <v/>
      </c>
      <c r="F187" s="124" t="str">
        <f t="shared" si="171"/>
        <v/>
      </c>
      <c r="G187" s="122" t="str">
        <f t="shared" si="172"/>
        <v/>
      </c>
      <c r="H187" s="122" t="str">
        <f t="shared" si="168"/>
        <v/>
      </c>
      <c r="I187" s="123" t="str">
        <f t="shared" si="173"/>
        <v/>
      </c>
      <c r="J187" s="123" t="str">
        <f t="shared" si="174"/>
        <v/>
      </c>
      <c r="K187" s="124" t="str">
        <f t="shared" si="175"/>
        <v/>
      </c>
      <c r="L187" s="124" t="str">
        <f t="shared" si="176"/>
        <v/>
      </c>
      <c r="M187" s="122" t="str">
        <f t="shared" si="177"/>
        <v/>
      </c>
      <c r="N187" s="122" t="str">
        <f t="shared" si="178"/>
        <v/>
      </c>
      <c r="O187" s="122" t="str">
        <f t="shared" si="179"/>
        <v/>
      </c>
      <c r="P187" s="122" t="str">
        <f t="shared" si="180"/>
        <v/>
      </c>
      <c r="Q187" s="122" t="str">
        <f t="shared" si="181"/>
        <v/>
      </c>
      <c r="R187" s="122" t="str">
        <f t="shared" si="182"/>
        <v/>
      </c>
      <c r="S187" s="122" t="str">
        <f t="shared" si="183"/>
        <v/>
      </c>
      <c r="T187" s="122" t="str">
        <f t="shared" si="184"/>
        <v/>
      </c>
      <c r="U187" s="122" t="str">
        <f t="shared" si="185"/>
        <v/>
      </c>
      <c r="V187" s="122" t="str">
        <f t="shared" si="186"/>
        <v/>
      </c>
      <c r="W187" s="19" t="str">
        <f t="shared" si="187"/>
        <v/>
      </c>
      <c r="X187" s="19" t="str">
        <f t="shared" si="188"/>
        <v/>
      </c>
      <c r="Y187" s="19" t="str">
        <f t="shared" si="189"/>
        <v/>
      </c>
      <c r="Z187" s="19" t="str">
        <f t="shared" si="190"/>
        <v/>
      </c>
      <c r="AA187" s="19" t="str">
        <f t="shared" si="191"/>
        <v/>
      </c>
      <c r="AB187" s="19" t="str">
        <f t="shared" si="192"/>
        <v/>
      </c>
      <c r="AC187" s="19" t="str">
        <f t="shared" si="193"/>
        <v/>
      </c>
      <c r="AD187" s="19" t="str">
        <f t="shared" si="194"/>
        <v/>
      </c>
      <c r="AE187" s="19" t="str">
        <f t="shared" si="195"/>
        <v/>
      </c>
      <c r="AF187" s="19" t="str">
        <f t="shared" si="196"/>
        <v/>
      </c>
      <c r="AG187" s="122" t="str">
        <f t="shared" si="197"/>
        <v/>
      </c>
      <c r="AH187" s="122" t="str">
        <f t="shared" si="198"/>
        <v/>
      </c>
      <c r="AI187" s="122" t="str">
        <f t="shared" si="199"/>
        <v/>
      </c>
      <c r="AJ187" s="122" t="str">
        <f t="shared" si="200"/>
        <v/>
      </c>
      <c r="AK187" s="122" t="str">
        <f t="shared" si="201"/>
        <v/>
      </c>
      <c r="AL187" s="122" t="str">
        <f t="shared" si="202"/>
        <v/>
      </c>
      <c r="AM187" s="122" t="str">
        <f t="shared" si="203"/>
        <v/>
      </c>
      <c r="AN187" s="122" t="str">
        <f t="shared" si="204"/>
        <v/>
      </c>
      <c r="AO187" s="122" t="str">
        <f t="shared" si="205"/>
        <v/>
      </c>
      <c r="AP187" s="122" t="str">
        <f t="shared" si="206"/>
        <v/>
      </c>
      <c r="AQ187" s="130" t="str">
        <f t="shared" si="207"/>
        <v/>
      </c>
      <c r="AR187" s="122" t="str">
        <f t="shared" si="208"/>
        <v/>
      </c>
      <c r="AS187" s="1001"/>
      <c r="AT187" s="442"/>
      <c r="AU187" s="131" t="str">
        <f t="shared" si="209"/>
        <v/>
      </c>
      <c r="AV187" s="17"/>
      <c r="AW187" s="124" t="str">
        <f t="shared" si="210"/>
        <v/>
      </c>
      <c r="AX187" s="16"/>
      <c r="AY187" s="26"/>
    </row>
    <row r="188" spans="2:51">
      <c r="B188" s="508"/>
      <c r="C188" s="124"/>
      <c r="D188" s="123" t="str">
        <f t="shared" si="169"/>
        <v/>
      </c>
      <c r="E188" s="123" t="str">
        <f t="shared" si="170"/>
        <v/>
      </c>
      <c r="F188" s="124" t="str">
        <f t="shared" si="171"/>
        <v/>
      </c>
      <c r="G188" s="122" t="str">
        <f t="shared" si="172"/>
        <v/>
      </c>
      <c r="H188" s="122" t="str">
        <f t="shared" si="168"/>
        <v/>
      </c>
      <c r="I188" s="123" t="str">
        <f t="shared" si="173"/>
        <v/>
      </c>
      <c r="J188" s="123" t="str">
        <f t="shared" si="174"/>
        <v/>
      </c>
      <c r="K188" s="124" t="str">
        <f t="shared" si="175"/>
        <v/>
      </c>
      <c r="L188" s="124" t="str">
        <f t="shared" si="176"/>
        <v/>
      </c>
      <c r="M188" s="122" t="str">
        <f t="shared" si="177"/>
        <v/>
      </c>
      <c r="N188" s="122" t="str">
        <f t="shared" si="178"/>
        <v/>
      </c>
      <c r="O188" s="122" t="str">
        <f t="shared" si="179"/>
        <v/>
      </c>
      <c r="P188" s="122" t="str">
        <f t="shared" si="180"/>
        <v/>
      </c>
      <c r="Q188" s="122" t="str">
        <f t="shared" si="181"/>
        <v/>
      </c>
      <c r="R188" s="122" t="str">
        <f t="shared" si="182"/>
        <v/>
      </c>
      <c r="S188" s="122" t="str">
        <f t="shared" si="183"/>
        <v/>
      </c>
      <c r="T188" s="122" t="str">
        <f t="shared" si="184"/>
        <v/>
      </c>
      <c r="U188" s="122" t="str">
        <f t="shared" si="185"/>
        <v/>
      </c>
      <c r="V188" s="122" t="str">
        <f t="shared" si="186"/>
        <v/>
      </c>
      <c r="W188" s="19" t="str">
        <f t="shared" si="187"/>
        <v/>
      </c>
      <c r="X188" s="19" t="str">
        <f t="shared" si="188"/>
        <v/>
      </c>
      <c r="Y188" s="19" t="str">
        <f t="shared" si="189"/>
        <v/>
      </c>
      <c r="Z188" s="19" t="str">
        <f t="shared" si="190"/>
        <v/>
      </c>
      <c r="AA188" s="19" t="str">
        <f t="shared" si="191"/>
        <v/>
      </c>
      <c r="AB188" s="19" t="str">
        <f t="shared" si="192"/>
        <v/>
      </c>
      <c r="AC188" s="19" t="str">
        <f t="shared" si="193"/>
        <v/>
      </c>
      <c r="AD188" s="19" t="str">
        <f t="shared" si="194"/>
        <v/>
      </c>
      <c r="AE188" s="19" t="str">
        <f t="shared" si="195"/>
        <v/>
      </c>
      <c r="AF188" s="19" t="str">
        <f t="shared" si="196"/>
        <v/>
      </c>
      <c r="AG188" s="122" t="str">
        <f t="shared" si="197"/>
        <v/>
      </c>
      <c r="AH188" s="122" t="str">
        <f t="shared" si="198"/>
        <v/>
      </c>
      <c r="AI188" s="122" t="str">
        <f t="shared" si="199"/>
        <v/>
      </c>
      <c r="AJ188" s="122" t="str">
        <f t="shared" si="200"/>
        <v/>
      </c>
      <c r="AK188" s="122" t="str">
        <f t="shared" si="201"/>
        <v/>
      </c>
      <c r="AL188" s="122" t="str">
        <f t="shared" si="202"/>
        <v/>
      </c>
      <c r="AM188" s="122" t="str">
        <f t="shared" si="203"/>
        <v/>
      </c>
      <c r="AN188" s="122" t="str">
        <f t="shared" si="204"/>
        <v/>
      </c>
      <c r="AO188" s="122" t="str">
        <f t="shared" si="205"/>
        <v/>
      </c>
      <c r="AP188" s="122" t="str">
        <f t="shared" si="206"/>
        <v/>
      </c>
      <c r="AQ188" s="130" t="str">
        <f t="shared" si="207"/>
        <v/>
      </c>
      <c r="AR188" s="122" t="str">
        <f t="shared" si="208"/>
        <v/>
      </c>
      <c r="AS188" s="1001"/>
      <c r="AT188" s="442"/>
      <c r="AU188" s="131" t="str">
        <f t="shared" si="209"/>
        <v/>
      </c>
      <c r="AV188" s="17"/>
      <c r="AW188" s="124" t="str">
        <f t="shared" si="210"/>
        <v/>
      </c>
      <c r="AX188" s="16"/>
      <c r="AY188" s="26"/>
    </row>
    <row r="189" spans="2:51">
      <c r="B189" s="508"/>
      <c r="C189" s="124"/>
      <c r="D189" s="123" t="str">
        <f t="shared" si="169"/>
        <v/>
      </c>
      <c r="E189" s="123" t="str">
        <f t="shared" si="170"/>
        <v/>
      </c>
      <c r="F189" s="124" t="str">
        <f t="shared" si="171"/>
        <v/>
      </c>
      <c r="G189" s="122" t="str">
        <f t="shared" si="172"/>
        <v/>
      </c>
      <c r="H189" s="122" t="str">
        <f t="shared" si="168"/>
        <v/>
      </c>
      <c r="I189" s="123" t="str">
        <f t="shared" si="173"/>
        <v/>
      </c>
      <c r="J189" s="123" t="str">
        <f t="shared" si="174"/>
        <v/>
      </c>
      <c r="K189" s="124" t="str">
        <f t="shared" si="175"/>
        <v/>
      </c>
      <c r="L189" s="124" t="str">
        <f t="shared" si="176"/>
        <v/>
      </c>
      <c r="M189" s="122" t="str">
        <f t="shared" si="177"/>
        <v/>
      </c>
      <c r="N189" s="122" t="str">
        <f t="shared" si="178"/>
        <v/>
      </c>
      <c r="O189" s="122" t="str">
        <f t="shared" si="179"/>
        <v/>
      </c>
      <c r="P189" s="122" t="str">
        <f t="shared" si="180"/>
        <v/>
      </c>
      <c r="Q189" s="122" t="str">
        <f t="shared" si="181"/>
        <v/>
      </c>
      <c r="R189" s="122" t="str">
        <f t="shared" si="182"/>
        <v/>
      </c>
      <c r="S189" s="122" t="str">
        <f t="shared" si="183"/>
        <v/>
      </c>
      <c r="T189" s="122" t="str">
        <f t="shared" si="184"/>
        <v/>
      </c>
      <c r="U189" s="122" t="str">
        <f t="shared" si="185"/>
        <v/>
      </c>
      <c r="V189" s="122" t="str">
        <f t="shared" si="186"/>
        <v/>
      </c>
      <c r="W189" s="19" t="str">
        <f t="shared" si="187"/>
        <v/>
      </c>
      <c r="X189" s="19" t="str">
        <f t="shared" si="188"/>
        <v/>
      </c>
      <c r="Y189" s="19" t="str">
        <f t="shared" si="189"/>
        <v/>
      </c>
      <c r="Z189" s="19" t="str">
        <f t="shared" si="190"/>
        <v/>
      </c>
      <c r="AA189" s="19" t="str">
        <f t="shared" si="191"/>
        <v/>
      </c>
      <c r="AB189" s="19" t="str">
        <f t="shared" si="192"/>
        <v/>
      </c>
      <c r="AC189" s="19" t="str">
        <f t="shared" si="193"/>
        <v/>
      </c>
      <c r="AD189" s="19" t="str">
        <f t="shared" si="194"/>
        <v/>
      </c>
      <c r="AE189" s="19" t="str">
        <f t="shared" si="195"/>
        <v/>
      </c>
      <c r="AF189" s="19" t="str">
        <f t="shared" si="196"/>
        <v/>
      </c>
      <c r="AG189" s="122" t="str">
        <f t="shared" si="197"/>
        <v/>
      </c>
      <c r="AH189" s="122" t="str">
        <f t="shared" si="198"/>
        <v/>
      </c>
      <c r="AI189" s="122" t="str">
        <f t="shared" si="199"/>
        <v/>
      </c>
      <c r="AJ189" s="122" t="str">
        <f t="shared" si="200"/>
        <v/>
      </c>
      <c r="AK189" s="122" t="str">
        <f t="shared" si="201"/>
        <v/>
      </c>
      <c r="AL189" s="122" t="str">
        <f t="shared" si="202"/>
        <v/>
      </c>
      <c r="AM189" s="122" t="str">
        <f t="shared" si="203"/>
        <v/>
      </c>
      <c r="AN189" s="122" t="str">
        <f t="shared" si="204"/>
        <v/>
      </c>
      <c r="AO189" s="122" t="str">
        <f t="shared" si="205"/>
        <v/>
      </c>
      <c r="AP189" s="122" t="str">
        <f t="shared" si="206"/>
        <v/>
      </c>
      <c r="AQ189" s="130" t="str">
        <f t="shared" si="207"/>
        <v/>
      </c>
      <c r="AR189" s="122" t="str">
        <f t="shared" si="208"/>
        <v/>
      </c>
      <c r="AS189" s="1001"/>
      <c r="AT189" s="442"/>
      <c r="AU189" s="131" t="str">
        <f t="shared" si="209"/>
        <v/>
      </c>
      <c r="AV189" s="17"/>
      <c r="AW189" s="124" t="str">
        <f t="shared" si="210"/>
        <v/>
      </c>
      <c r="AX189" s="16"/>
      <c r="AY189" s="26"/>
    </row>
    <row r="190" spans="2:51">
      <c r="B190" s="508"/>
      <c r="C190" s="124"/>
      <c r="D190" s="123" t="str">
        <f t="shared" si="169"/>
        <v/>
      </c>
      <c r="E190" s="123" t="str">
        <f t="shared" si="170"/>
        <v/>
      </c>
      <c r="F190" s="124" t="str">
        <f t="shared" si="171"/>
        <v/>
      </c>
      <c r="G190" s="122" t="str">
        <f t="shared" si="172"/>
        <v/>
      </c>
      <c r="H190" s="122" t="str">
        <f t="shared" si="168"/>
        <v/>
      </c>
      <c r="I190" s="123" t="str">
        <f t="shared" si="173"/>
        <v/>
      </c>
      <c r="J190" s="123" t="str">
        <f t="shared" si="174"/>
        <v/>
      </c>
      <c r="K190" s="124" t="str">
        <f t="shared" si="175"/>
        <v/>
      </c>
      <c r="L190" s="124" t="str">
        <f t="shared" si="176"/>
        <v/>
      </c>
      <c r="M190" s="122" t="str">
        <f t="shared" si="177"/>
        <v/>
      </c>
      <c r="N190" s="122" t="str">
        <f t="shared" si="178"/>
        <v/>
      </c>
      <c r="O190" s="122" t="str">
        <f t="shared" si="179"/>
        <v/>
      </c>
      <c r="P190" s="122" t="str">
        <f t="shared" si="180"/>
        <v/>
      </c>
      <c r="Q190" s="122" t="str">
        <f t="shared" si="181"/>
        <v/>
      </c>
      <c r="R190" s="122" t="str">
        <f t="shared" si="182"/>
        <v/>
      </c>
      <c r="S190" s="122" t="str">
        <f t="shared" si="183"/>
        <v/>
      </c>
      <c r="T190" s="122" t="str">
        <f t="shared" si="184"/>
        <v/>
      </c>
      <c r="U190" s="122" t="str">
        <f t="shared" si="185"/>
        <v/>
      </c>
      <c r="V190" s="122" t="str">
        <f t="shared" si="186"/>
        <v/>
      </c>
      <c r="W190" s="19" t="str">
        <f t="shared" si="187"/>
        <v/>
      </c>
      <c r="X190" s="19" t="str">
        <f t="shared" si="188"/>
        <v/>
      </c>
      <c r="Y190" s="19" t="str">
        <f t="shared" si="189"/>
        <v/>
      </c>
      <c r="Z190" s="19" t="str">
        <f t="shared" si="190"/>
        <v/>
      </c>
      <c r="AA190" s="19" t="str">
        <f t="shared" si="191"/>
        <v/>
      </c>
      <c r="AB190" s="19" t="str">
        <f t="shared" si="192"/>
        <v/>
      </c>
      <c r="AC190" s="19" t="str">
        <f t="shared" si="193"/>
        <v/>
      </c>
      <c r="AD190" s="19" t="str">
        <f t="shared" si="194"/>
        <v/>
      </c>
      <c r="AE190" s="19" t="str">
        <f t="shared" si="195"/>
        <v/>
      </c>
      <c r="AF190" s="19" t="str">
        <f t="shared" si="196"/>
        <v/>
      </c>
      <c r="AG190" s="122" t="str">
        <f t="shared" si="197"/>
        <v/>
      </c>
      <c r="AH190" s="122" t="str">
        <f t="shared" si="198"/>
        <v/>
      </c>
      <c r="AI190" s="122" t="str">
        <f t="shared" si="199"/>
        <v/>
      </c>
      <c r="AJ190" s="122" t="str">
        <f t="shared" si="200"/>
        <v/>
      </c>
      <c r="AK190" s="122" t="str">
        <f t="shared" si="201"/>
        <v/>
      </c>
      <c r="AL190" s="122" t="str">
        <f t="shared" si="202"/>
        <v/>
      </c>
      <c r="AM190" s="122" t="str">
        <f t="shared" si="203"/>
        <v/>
      </c>
      <c r="AN190" s="122" t="str">
        <f t="shared" si="204"/>
        <v/>
      </c>
      <c r="AO190" s="122" t="str">
        <f t="shared" si="205"/>
        <v/>
      </c>
      <c r="AP190" s="122" t="str">
        <f t="shared" si="206"/>
        <v/>
      </c>
      <c r="AQ190" s="130" t="str">
        <f t="shared" si="207"/>
        <v/>
      </c>
      <c r="AR190" s="122" t="str">
        <f t="shared" si="208"/>
        <v/>
      </c>
      <c r="AS190" s="1001"/>
      <c r="AT190" s="442"/>
      <c r="AU190" s="131" t="str">
        <f t="shared" si="209"/>
        <v/>
      </c>
      <c r="AV190" s="17"/>
      <c r="AW190" s="124" t="str">
        <f t="shared" si="210"/>
        <v/>
      </c>
      <c r="AX190" s="16"/>
      <c r="AY190" s="26"/>
    </row>
    <row r="191" spans="2:51">
      <c r="B191" s="508"/>
      <c r="C191" s="124"/>
      <c r="D191" s="123" t="str">
        <f t="shared" si="169"/>
        <v/>
      </c>
      <c r="E191" s="123" t="str">
        <f t="shared" si="170"/>
        <v/>
      </c>
      <c r="F191" s="124" t="str">
        <f t="shared" si="171"/>
        <v/>
      </c>
      <c r="G191" s="122" t="str">
        <f t="shared" si="172"/>
        <v/>
      </c>
      <c r="H191" s="122" t="str">
        <f t="shared" si="168"/>
        <v/>
      </c>
      <c r="I191" s="123" t="str">
        <f t="shared" si="173"/>
        <v/>
      </c>
      <c r="J191" s="123" t="str">
        <f t="shared" si="174"/>
        <v/>
      </c>
      <c r="K191" s="124" t="str">
        <f t="shared" si="175"/>
        <v/>
      </c>
      <c r="L191" s="124" t="str">
        <f t="shared" si="176"/>
        <v/>
      </c>
      <c r="M191" s="122" t="str">
        <f t="shared" si="177"/>
        <v/>
      </c>
      <c r="N191" s="122" t="str">
        <f t="shared" si="178"/>
        <v/>
      </c>
      <c r="O191" s="122" t="str">
        <f t="shared" si="179"/>
        <v/>
      </c>
      <c r="P191" s="122" t="str">
        <f t="shared" si="180"/>
        <v/>
      </c>
      <c r="Q191" s="122" t="str">
        <f t="shared" si="181"/>
        <v/>
      </c>
      <c r="R191" s="122" t="str">
        <f t="shared" si="182"/>
        <v/>
      </c>
      <c r="S191" s="122" t="str">
        <f t="shared" si="183"/>
        <v/>
      </c>
      <c r="T191" s="122" t="str">
        <f t="shared" si="184"/>
        <v/>
      </c>
      <c r="U191" s="122" t="str">
        <f t="shared" si="185"/>
        <v/>
      </c>
      <c r="V191" s="122" t="str">
        <f t="shared" si="186"/>
        <v/>
      </c>
      <c r="W191" s="19" t="str">
        <f t="shared" si="187"/>
        <v/>
      </c>
      <c r="X191" s="19" t="str">
        <f t="shared" si="188"/>
        <v/>
      </c>
      <c r="Y191" s="19" t="str">
        <f t="shared" si="189"/>
        <v/>
      </c>
      <c r="Z191" s="19" t="str">
        <f t="shared" si="190"/>
        <v/>
      </c>
      <c r="AA191" s="19" t="str">
        <f t="shared" si="191"/>
        <v/>
      </c>
      <c r="AB191" s="19" t="str">
        <f t="shared" si="192"/>
        <v/>
      </c>
      <c r="AC191" s="19" t="str">
        <f t="shared" si="193"/>
        <v/>
      </c>
      <c r="AD191" s="19" t="str">
        <f t="shared" si="194"/>
        <v/>
      </c>
      <c r="AE191" s="19" t="str">
        <f t="shared" si="195"/>
        <v/>
      </c>
      <c r="AF191" s="19" t="str">
        <f t="shared" si="196"/>
        <v/>
      </c>
      <c r="AG191" s="122" t="str">
        <f t="shared" si="197"/>
        <v/>
      </c>
      <c r="AH191" s="122" t="str">
        <f t="shared" si="198"/>
        <v/>
      </c>
      <c r="AI191" s="122" t="str">
        <f t="shared" si="199"/>
        <v/>
      </c>
      <c r="AJ191" s="122" t="str">
        <f t="shared" si="200"/>
        <v/>
      </c>
      <c r="AK191" s="122" t="str">
        <f t="shared" si="201"/>
        <v/>
      </c>
      <c r="AL191" s="122" t="str">
        <f t="shared" si="202"/>
        <v/>
      </c>
      <c r="AM191" s="122" t="str">
        <f t="shared" si="203"/>
        <v/>
      </c>
      <c r="AN191" s="122" t="str">
        <f t="shared" si="204"/>
        <v/>
      </c>
      <c r="AO191" s="122" t="str">
        <f t="shared" si="205"/>
        <v/>
      </c>
      <c r="AP191" s="122" t="str">
        <f t="shared" si="206"/>
        <v/>
      </c>
      <c r="AQ191" s="130" t="str">
        <f t="shared" si="207"/>
        <v/>
      </c>
      <c r="AR191" s="122" t="str">
        <f t="shared" si="208"/>
        <v/>
      </c>
      <c r="AS191" s="1001"/>
      <c r="AT191" s="442"/>
      <c r="AU191" s="131" t="str">
        <f t="shared" si="209"/>
        <v/>
      </c>
      <c r="AV191" s="17"/>
      <c r="AW191" s="124" t="str">
        <f t="shared" si="210"/>
        <v/>
      </c>
      <c r="AX191" s="16"/>
      <c r="AY191" s="26"/>
    </row>
    <row r="192" spans="2:51">
      <c r="B192" s="508"/>
      <c r="C192" s="124"/>
      <c r="D192" s="123" t="str">
        <f t="shared" si="169"/>
        <v/>
      </c>
      <c r="E192" s="123" t="str">
        <f t="shared" si="170"/>
        <v/>
      </c>
      <c r="F192" s="124" t="str">
        <f t="shared" si="171"/>
        <v/>
      </c>
      <c r="G192" s="122" t="str">
        <f t="shared" si="172"/>
        <v/>
      </c>
      <c r="H192" s="122" t="str">
        <f t="shared" si="168"/>
        <v/>
      </c>
      <c r="I192" s="123" t="str">
        <f t="shared" si="173"/>
        <v/>
      </c>
      <c r="J192" s="123" t="str">
        <f t="shared" si="174"/>
        <v/>
      </c>
      <c r="K192" s="124" t="str">
        <f t="shared" si="175"/>
        <v/>
      </c>
      <c r="L192" s="124" t="str">
        <f t="shared" si="176"/>
        <v/>
      </c>
      <c r="M192" s="122" t="str">
        <f t="shared" si="177"/>
        <v/>
      </c>
      <c r="N192" s="122" t="str">
        <f t="shared" si="178"/>
        <v/>
      </c>
      <c r="O192" s="122" t="str">
        <f t="shared" si="179"/>
        <v/>
      </c>
      <c r="P192" s="122" t="str">
        <f t="shared" si="180"/>
        <v/>
      </c>
      <c r="Q192" s="122" t="str">
        <f t="shared" si="181"/>
        <v/>
      </c>
      <c r="R192" s="122" t="str">
        <f t="shared" si="182"/>
        <v/>
      </c>
      <c r="S192" s="122" t="str">
        <f t="shared" si="183"/>
        <v/>
      </c>
      <c r="T192" s="122" t="str">
        <f t="shared" si="184"/>
        <v/>
      </c>
      <c r="U192" s="122" t="str">
        <f t="shared" si="185"/>
        <v/>
      </c>
      <c r="V192" s="122" t="str">
        <f t="shared" si="186"/>
        <v/>
      </c>
      <c r="W192" s="19" t="str">
        <f t="shared" si="187"/>
        <v/>
      </c>
      <c r="X192" s="19" t="str">
        <f t="shared" si="188"/>
        <v/>
      </c>
      <c r="Y192" s="19" t="str">
        <f t="shared" si="189"/>
        <v/>
      </c>
      <c r="Z192" s="19" t="str">
        <f t="shared" si="190"/>
        <v/>
      </c>
      <c r="AA192" s="19" t="str">
        <f t="shared" si="191"/>
        <v/>
      </c>
      <c r="AB192" s="19" t="str">
        <f t="shared" si="192"/>
        <v/>
      </c>
      <c r="AC192" s="19" t="str">
        <f t="shared" si="193"/>
        <v/>
      </c>
      <c r="AD192" s="19" t="str">
        <f t="shared" si="194"/>
        <v/>
      </c>
      <c r="AE192" s="19" t="str">
        <f t="shared" si="195"/>
        <v/>
      </c>
      <c r="AF192" s="19" t="str">
        <f t="shared" si="196"/>
        <v/>
      </c>
      <c r="AG192" s="122" t="str">
        <f t="shared" si="197"/>
        <v/>
      </c>
      <c r="AH192" s="122" t="str">
        <f t="shared" si="198"/>
        <v/>
      </c>
      <c r="AI192" s="122" t="str">
        <f t="shared" si="199"/>
        <v/>
      </c>
      <c r="AJ192" s="122" t="str">
        <f t="shared" si="200"/>
        <v/>
      </c>
      <c r="AK192" s="122" t="str">
        <f t="shared" si="201"/>
        <v/>
      </c>
      <c r="AL192" s="122" t="str">
        <f t="shared" si="202"/>
        <v/>
      </c>
      <c r="AM192" s="122" t="str">
        <f t="shared" si="203"/>
        <v/>
      </c>
      <c r="AN192" s="122" t="str">
        <f t="shared" si="204"/>
        <v/>
      </c>
      <c r="AO192" s="122" t="str">
        <f t="shared" si="205"/>
        <v/>
      </c>
      <c r="AP192" s="122" t="str">
        <f t="shared" si="206"/>
        <v/>
      </c>
      <c r="AQ192" s="130" t="str">
        <f t="shared" si="207"/>
        <v/>
      </c>
      <c r="AR192" s="122" t="str">
        <f t="shared" si="208"/>
        <v/>
      </c>
      <c r="AS192" s="1001"/>
      <c r="AT192" s="442"/>
      <c r="AU192" s="131" t="str">
        <f t="shared" si="209"/>
        <v/>
      </c>
      <c r="AV192" s="17"/>
      <c r="AW192" s="124" t="str">
        <f t="shared" si="210"/>
        <v/>
      </c>
      <c r="AX192" s="16"/>
      <c r="AY192" s="26"/>
    </row>
    <row r="193" spans="2:51">
      <c r="B193" s="508"/>
      <c r="C193" s="124"/>
      <c r="D193" s="123" t="str">
        <f t="shared" si="169"/>
        <v/>
      </c>
      <c r="E193" s="123" t="str">
        <f t="shared" si="170"/>
        <v/>
      </c>
      <c r="F193" s="124" t="str">
        <f t="shared" si="171"/>
        <v/>
      </c>
      <c r="G193" s="122" t="str">
        <f t="shared" si="172"/>
        <v/>
      </c>
      <c r="H193" s="122" t="str">
        <f t="shared" si="168"/>
        <v/>
      </c>
      <c r="I193" s="123" t="str">
        <f t="shared" si="173"/>
        <v/>
      </c>
      <c r="J193" s="123" t="str">
        <f t="shared" si="174"/>
        <v/>
      </c>
      <c r="K193" s="124" t="str">
        <f t="shared" si="175"/>
        <v/>
      </c>
      <c r="L193" s="124" t="str">
        <f t="shared" si="176"/>
        <v/>
      </c>
      <c r="M193" s="122" t="str">
        <f t="shared" si="177"/>
        <v/>
      </c>
      <c r="N193" s="122" t="str">
        <f t="shared" si="178"/>
        <v/>
      </c>
      <c r="O193" s="122" t="str">
        <f t="shared" si="179"/>
        <v/>
      </c>
      <c r="P193" s="122" t="str">
        <f t="shared" si="180"/>
        <v/>
      </c>
      <c r="Q193" s="122" t="str">
        <f t="shared" si="181"/>
        <v/>
      </c>
      <c r="R193" s="122" t="str">
        <f t="shared" si="182"/>
        <v/>
      </c>
      <c r="S193" s="122" t="str">
        <f t="shared" si="183"/>
        <v/>
      </c>
      <c r="T193" s="122" t="str">
        <f t="shared" si="184"/>
        <v/>
      </c>
      <c r="U193" s="122" t="str">
        <f t="shared" si="185"/>
        <v/>
      </c>
      <c r="V193" s="122" t="str">
        <f t="shared" si="186"/>
        <v/>
      </c>
      <c r="W193" s="19" t="str">
        <f t="shared" si="187"/>
        <v/>
      </c>
      <c r="X193" s="19" t="str">
        <f t="shared" si="188"/>
        <v/>
      </c>
      <c r="Y193" s="19" t="str">
        <f t="shared" si="189"/>
        <v/>
      </c>
      <c r="Z193" s="19" t="str">
        <f t="shared" si="190"/>
        <v/>
      </c>
      <c r="AA193" s="19" t="str">
        <f t="shared" si="191"/>
        <v/>
      </c>
      <c r="AB193" s="19" t="str">
        <f t="shared" si="192"/>
        <v/>
      </c>
      <c r="AC193" s="19" t="str">
        <f t="shared" si="193"/>
        <v/>
      </c>
      <c r="AD193" s="19" t="str">
        <f t="shared" si="194"/>
        <v/>
      </c>
      <c r="AE193" s="19" t="str">
        <f t="shared" si="195"/>
        <v/>
      </c>
      <c r="AF193" s="19" t="str">
        <f t="shared" si="196"/>
        <v/>
      </c>
      <c r="AG193" s="122" t="str">
        <f t="shared" si="197"/>
        <v/>
      </c>
      <c r="AH193" s="122" t="str">
        <f t="shared" si="198"/>
        <v/>
      </c>
      <c r="AI193" s="122" t="str">
        <f t="shared" si="199"/>
        <v/>
      </c>
      <c r="AJ193" s="122" t="str">
        <f t="shared" si="200"/>
        <v/>
      </c>
      <c r="AK193" s="122" t="str">
        <f t="shared" si="201"/>
        <v/>
      </c>
      <c r="AL193" s="122" t="str">
        <f t="shared" si="202"/>
        <v/>
      </c>
      <c r="AM193" s="122" t="str">
        <f t="shared" si="203"/>
        <v/>
      </c>
      <c r="AN193" s="122" t="str">
        <f t="shared" si="204"/>
        <v/>
      </c>
      <c r="AO193" s="122" t="str">
        <f t="shared" si="205"/>
        <v/>
      </c>
      <c r="AP193" s="122" t="str">
        <f t="shared" si="206"/>
        <v/>
      </c>
      <c r="AQ193" s="130" t="str">
        <f t="shared" si="207"/>
        <v/>
      </c>
      <c r="AR193" s="122" t="str">
        <f t="shared" si="208"/>
        <v/>
      </c>
      <c r="AS193" s="1001"/>
      <c r="AT193" s="442"/>
      <c r="AU193" s="131" t="str">
        <f t="shared" si="209"/>
        <v/>
      </c>
      <c r="AV193" s="17"/>
      <c r="AW193" s="124" t="str">
        <f t="shared" si="210"/>
        <v/>
      </c>
      <c r="AX193" s="16"/>
      <c r="AY193" s="26"/>
    </row>
    <row r="194" spans="2:51">
      <c r="B194" s="508"/>
      <c r="C194" s="124"/>
      <c r="D194" s="123" t="str">
        <f t="shared" si="169"/>
        <v/>
      </c>
      <c r="E194" s="123" t="str">
        <f t="shared" si="170"/>
        <v/>
      </c>
      <c r="F194" s="124" t="str">
        <f t="shared" si="171"/>
        <v/>
      </c>
      <c r="G194" s="122" t="str">
        <f t="shared" si="172"/>
        <v/>
      </c>
      <c r="H194" s="122" t="str">
        <f t="shared" si="168"/>
        <v/>
      </c>
      <c r="I194" s="123" t="str">
        <f t="shared" si="173"/>
        <v/>
      </c>
      <c r="J194" s="123" t="str">
        <f t="shared" si="174"/>
        <v/>
      </c>
      <c r="K194" s="124" t="str">
        <f t="shared" si="175"/>
        <v/>
      </c>
      <c r="L194" s="124" t="str">
        <f t="shared" si="176"/>
        <v/>
      </c>
      <c r="M194" s="122" t="str">
        <f t="shared" si="177"/>
        <v/>
      </c>
      <c r="N194" s="122" t="str">
        <f t="shared" si="178"/>
        <v/>
      </c>
      <c r="O194" s="122" t="str">
        <f t="shared" si="179"/>
        <v/>
      </c>
      <c r="P194" s="122" t="str">
        <f t="shared" si="180"/>
        <v/>
      </c>
      <c r="Q194" s="122" t="str">
        <f t="shared" si="181"/>
        <v/>
      </c>
      <c r="R194" s="122" t="str">
        <f t="shared" si="182"/>
        <v/>
      </c>
      <c r="S194" s="122" t="str">
        <f t="shared" si="183"/>
        <v/>
      </c>
      <c r="T194" s="122" t="str">
        <f t="shared" si="184"/>
        <v/>
      </c>
      <c r="U194" s="122" t="str">
        <f t="shared" si="185"/>
        <v/>
      </c>
      <c r="V194" s="122" t="str">
        <f t="shared" si="186"/>
        <v/>
      </c>
      <c r="W194" s="19" t="str">
        <f t="shared" si="187"/>
        <v/>
      </c>
      <c r="X194" s="19" t="str">
        <f t="shared" si="188"/>
        <v/>
      </c>
      <c r="Y194" s="19" t="str">
        <f t="shared" si="189"/>
        <v/>
      </c>
      <c r="Z194" s="19" t="str">
        <f t="shared" si="190"/>
        <v/>
      </c>
      <c r="AA194" s="19" t="str">
        <f t="shared" si="191"/>
        <v/>
      </c>
      <c r="AB194" s="19" t="str">
        <f t="shared" si="192"/>
        <v/>
      </c>
      <c r="AC194" s="19" t="str">
        <f t="shared" si="193"/>
        <v/>
      </c>
      <c r="AD194" s="19" t="str">
        <f t="shared" si="194"/>
        <v/>
      </c>
      <c r="AE194" s="19" t="str">
        <f t="shared" si="195"/>
        <v/>
      </c>
      <c r="AF194" s="19" t="str">
        <f t="shared" si="196"/>
        <v/>
      </c>
      <c r="AG194" s="122" t="str">
        <f t="shared" si="197"/>
        <v/>
      </c>
      <c r="AH194" s="122" t="str">
        <f t="shared" si="198"/>
        <v/>
      </c>
      <c r="AI194" s="122" t="str">
        <f t="shared" si="199"/>
        <v/>
      </c>
      <c r="AJ194" s="122" t="str">
        <f t="shared" si="200"/>
        <v/>
      </c>
      <c r="AK194" s="122" t="str">
        <f t="shared" si="201"/>
        <v/>
      </c>
      <c r="AL194" s="122" t="str">
        <f t="shared" si="202"/>
        <v/>
      </c>
      <c r="AM194" s="122" t="str">
        <f t="shared" si="203"/>
        <v/>
      </c>
      <c r="AN194" s="122" t="str">
        <f t="shared" si="204"/>
        <v/>
      </c>
      <c r="AO194" s="122" t="str">
        <f t="shared" si="205"/>
        <v/>
      </c>
      <c r="AP194" s="122" t="str">
        <f t="shared" si="206"/>
        <v/>
      </c>
      <c r="AQ194" s="130" t="str">
        <f t="shared" si="207"/>
        <v/>
      </c>
      <c r="AR194" s="122" t="str">
        <f t="shared" si="208"/>
        <v/>
      </c>
      <c r="AS194" s="1001"/>
      <c r="AT194" s="442"/>
      <c r="AU194" s="131" t="str">
        <f t="shared" si="209"/>
        <v/>
      </c>
      <c r="AV194" s="17"/>
      <c r="AW194" s="124" t="str">
        <f t="shared" si="210"/>
        <v/>
      </c>
      <c r="AX194" s="16"/>
      <c r="AY194" s="26"/>
    </row>
    <row r="195" spans="2:51">
      <c r="B195" s="508"/>
      <c r="C195" s="124"/>
      <c r="D195" s="123" t="str">
        <f t="shared" si="169"/>
        <v/>
      </c>
      <c r="E195" s="123" t="str">
        <f t="shared" si="170"/>
        <v/>
      </c>
      <c r="F195" s="124" t="str">
        <f t="shared" si="171"/>
        <v/>
      </c>
      <c r="G195" s="122" t="str">
        <f t="shared" si="172"/>
        <v/>
      </c>
      <c r="H195" s="122" t="str">
        <f t="shared" si="168"/>
        <v/>
      </c>
      <c r="I195" s="123" t="str">
        <f t="shared" si="173"/>
        <v/>
      </c>
      <c r="J195" s="123" t="str">
        <f t="shared" si="174"/>
        <v/>
      </c>
      <c r="K195" s="124" t="str">
        <f t="shared" si="175"/>
        <v/>
      </c>
      <c r="L195" s="124" t="str">
        <f t="shared" si="176"/>
        <v/>
      </c>
      <c r="M195" s="122" t="str">
        <f t="shared" si="177"/>
        <v/>
      </c>
      <c r="N195" s="122" t="str">
        <f t="shared" si="178"/>
        <v/>
      </c>
      <c r="O195" s="122" t="str">
        <f t="shared" si="179"/>
        <v/>
      </c>
      <c r="P195" s="122" t="str">
        <f t="shared" si="180"/>
        <v/>
      </c>
      <c r="Q195" s="122" t="str">
        <f t="shared" si="181"/>
        <v/>
      </c>
      <c r="R195" s="122" t="str">
        <f t="shared" si="182"/>
        <v/>
      </c>
      <c r="S195" s="122" t="str">
        <f t="shared" si="183"/>
        <v/>
      </c>
      <c r="T195" s="122" t="str">
        <f t="shared" si="184"/>
        <v/>
      </c>
      <c r="U195" s="122" t="str">
        <f t="shared" si="185"/>
        <v/>
      </c>
      <c r="V195" s="122" t="str">
        <f t="shared" si="186"/>
        <v/>
      </c>
      <c r="W195" s="19" t="str">
        <f t="shared" si="187"/>
        <v/>
      </c>
      <c r="X195" s="19" t="str">
        <f t="shared" si="188"/>
        <v/>
      </c>
      <c r="Y195" s="19" t="str">
        <f t="shared" si="189"/>
        <v/>
      </c>
      <c r="Z195" s="19" t="str">
        <f t="shared" si="190"/>
        <v/>
      </c>
      <c r="AA195" s="19" t="str">
        <f t="shared" si="191"/>
        <v/>
      </c>
      <c r="AB195" s="19" t="str">
        <f t="shared" si="192"/>
        <v/>
      </c>
      <c r="AC195" s="19" t="str">
        <f t="shared" si="193"/>
        <v/>
      </c>
      <c r="AD195" s="19" t="str">
        <f t="shared" si="194"/>
        <v/>
      </c>
      <c r="AE195" s="19" t="str">
        <f t="shared" si="195"/>
        <v/>
      </c>
      <c r="AF195" s="19" t="str">
        <f t="shared" si="196"/>
        <v/>
      </c>
      <c r="AG195" s="122" t="str">
        <f t="shared" si="197"/>
        <v/>
      </c>
      <c r="AH195" s="122" t="str">
        <f t="shared" si="198"/>
        <v/>
      </c>
      <c r="AI195" s="122" t="str">
        <f t="shared" si="199"/>
        <v/>
      </c>
      <c r="AJ195" s="122" t="str">
        <f t="shared" si="200"/>
        <v/>
      </c>
      <c r="AK195" s="122" t="str">
        <f t="shared" si="201"/>
        <v/>
      </c>
      <c r="AL195" s="122" t="str">
        <f t="shared" si="202"/>
        <v/>
      </c>
      <c r="AM195" s="122" t="str">
        <f t="shared" si="203"/>
        <v/>
      </c>
      <c r="AN195" s="122" t="str">
        <f t="shared" si="204"/>
        <v/>
      </c>
      <c r="AO195" s="122" t="str">
        <f t="shared" si="205"/>
        <v/>
      </c>
      <c r="AP195" s="122" t="str">
        <f t="shared" si="206"/>
        <v/>
      </c>
      <c r="AQ195" s="130" t="str">
        <f t="shared" si="207"/>
        <v/>
      </c>
      <c r="AR195" s="122" t="str">
        <f t="shared" si="208"/>
        <v/>
      </c>
      <c r="AS195" s="1001"/>
      <c r="AT195" s="442"/>
      <c r="AU195" s="131" t="str">
        <f t="shared" si="209"/>
        <v/>
      </c>
      <c r="AV195" s="17"/>
      <c r="AW195" s="124" t="str">
        <f t="shared" si="210"/>
        <v/>
      </c>
      <c r="AX195" s="16"/>
      <c r="AY195" s="26"/>
    </row>
    <row r="196" spans="2:51">
      <c r="B196" s="508"/>
      <c r="C196" s="124"/>
      <c r="D196" s="123" t="str">
        <f t="shared" si="169"/>
        <v/>
      </c>
      <c r="E196" s="123" t="str">
        <f t="shared" si="170"/>
        <v/>
      </c>
      <c r="F196" s="124" t="str">
        <f t="shared" si="171"/>
        <v/>
      </c>
      <c r="G196" s="122" t="str">
        <f t="shared" si="172"/>
        <v/>
      </c>
      <c r="H196" s="122" t="str">
        <f t="shared" si="168"/>
        <v/>
      </c>
      <c r="I196" s="123" t="str">
        <f t="shared" si="173"/>
        <v/>
      </c>
      <c r="J196" s="123" t="str">
        <f t="shared" si="174"/>
        <v/>
      </c>
      <c r="K196" s="124" t="str">
        <f t="shared" si="175"/>
        <v/>
      </c>
      <c r="L196" s="124" t="str">
        <f t="shared" si="176"/>
        <v/>
      </c>
      <c r="M196" s="122" t="str">
        <f t="shared" si="177"/>
        <v/>
      </c>
      <c r="N196" s="122" t="str">
        <f t="shared" si="178"/>
        <v/>
      </c>
      <c r="O196" s="122" t="str">
        <f t="shared" si="179"/>
        <v/>
      </c>
      <c r="P196" s="122" t="str">
        <f t="shared" si="180"/>
        <v/>
      </c>
      <c r="Q196" s="122" t="str">
        <f t="shared" si="181"/>
        <v/>
      </c>
      <c r="R196" s="122" t="str">
        <f t="shared" si="182"/>
        <v/>
      </c>
      <c r="S196" s="122" t="str">
        <f t="shared" si="183"/>
        <v/>
      </c>
      <c r="T196" s="122" t="str">
        <f t="shared" si="184"/>
        <v/>
      </c>
      <c r="U196" s="122" t="str">
        <f t="shared" si="185"/>
        <v/>
      </c>
      <c r="V196" s="122" t="str">
        <f t="shared" si="186"/>
        <v/>
      </c>
      <c r="W196" s="19" t="str">
        <f t="shared" si="187"/>
        <v/>
      </c>
      <c r="X196" s="19" t="str">
        <f t="shared" si="188"/>
        <v/>
      </c>
      <c r="Y196" s="19" t="str">
        <f t="shared" si="189"/>
        <v/>
      </c>
      <c r="Z196" s="19" t="str">
        <f t="shared" si="190"/>
        <v/>
      </c>
      <c r="AA196" s="19" t="str">
        <f t="shared" si="191"/>
        <v/>
      </c>
      <c r="AB196" s="19" t="str">
        <f t="shared" si="192"/>
        <v/>
      </c>
      <c r="AC196" s="19" t="str">
        <f t="shared" si="193"/>
        <v/>
      </c>
      <c r="AD196" s="19" t="str">
        <f t="shared" si="194"/>
        <v/>
      </c>
      <c r="AE196" s="19" t="str">
        <f t="shared" si="195"/>
        <v/>
      </c>
      <c r="AF196" s="19" t="str">
        <f t="shared" si="196"/>
        <v/>
      </c>
      <c r="AG196" s="122" t="str">
        <f t="shared" si="197"/>
        <v/>
      </c>
      <c r="AH196" s="122" t="str">
        <f t="shared" si="198"/>
        <v/>
      </c>
      <c r="AI196" s="122" t="str">
        <f t="shared" si="199"/>
        <v/>
      </c>
      <c r="AJ196" s="122" t="str">
        <f t="shared" si="200"/>
        <v/>
      </c>
      <c r="AK196" s="122" t="str">
        <f t="shared" si="201"/>
        <v/>
      </c>
      <c r="AL196" s="122" t="str">
        <f t="shared" si="202"/>
        <v/>
      </c>
      <c r="AM196" s="122" t="str">
        <f t="shared" si="203"/>
        <v/>
      </c>
      <c r="AN196" s="122" t="str">
        <f t="shared" si="204"/>
        <v/>
      </c>
      <c r="AO196" s="122" t="str">
        <f t="shared" si="205"/>
        <v/>
      </c>
      <c r="AP196" s="122" t="str">
        <f t="shared" si="206"/>
        <v/>
      </c>
      <c r="AQ196" s="130" t="str">
        <f t="shared" si="207"/>
        <v/>
      </c>
      <c r="AR196" s="122" t="str">
        <f t="shared" si="208"/>
        <v/>
      </c>
      <c r="AS196" s="1001"/>
      <c r="AT196" s="442"/>
      <c r="AU196" s="131" t="str">
        <f t="shared" si="209"/>
        <v/>
      </c>
      <c r="AV196" s="17"/>
      <c r="AW196" s="124" t="str">
        <f t="shared" si="210"/>
        <v/>
      </c>
      <c r="AX196" s="16"/>
      <c r="AY196" s="26"/>
    </row>
    <row r="197" spans="2:51">
      <c r="B197" s="508"/>
      <c r="C197" s="124"/>
      <c r="D197" s="123" t="str">
        <f t="shared" si="169"/>
        <v/>
      </c>
      <c r="E197" s="123" t="str">
        <f t="shared" si="170"/>
        <v/>
      </c>
      <c r="F197" s="124" t="str">
        <f t="shared" si="171"/>
        <v/>
      </c>
      <c r="G197" s="122" t="str">
        <f t="shared" si="172"/>
        <v/>
      </c>
      <c r="H197" s="122" t="str">
        <f t="shared" si="168"/>
        <v/>
      </c>
      <c r="I197" s="123" t="str">
        <f t="shared" si="173"/>
        <v/>
      </c>
      <c r="J197" s="123" t="str">
        <f t="shared" si="174"/>
        <v/>
      </c>
      <c r="K197" s="124" t="str">
        <f t="shared" si="175"/>
        <v/>
      </c>
      <c r="L197" s="124" t="str">
        <f t="shared" si="176"/>
        <v/>
      </c>
      <c r="M197" s="122" t="str">
        <f t="shared" si="177"/>
        <v/>
      </c>
      <c r="N197" s="122" t="str">
        <f t="shared" si="178"/>
        <v/>
      </c>
      <c r="O197" s="122" t="str">
        <f t="shared" si="179"/>
        <v/>
      </c>
      <c r="P197" s="122" t="str">
        <f t="shared" si="180"/>
        <v/>
      </c>
      <c r="Q197" s="122" t="str">
        <f t="shared" si="181"/>
        <v/>
      </c>
      <c r="R197" s="122" t="str">
        <f t="shared" si="182"/>
        <v/>
      </c>
      <c r="S197" s="122" t="str">
        <f t="shared" si="183"/>
        <v/>
      </c>
      <c r="T197" s="122" t="str">
        <f t="shared" si="184"/>
        <v/>
      </c>
      <c r="U197" s="122" t="str">
        <f t="shared" si="185"/>
        <v/>
      </c>
      <c r="V197" s="122" t="str">
        <f t="shared" si="186"/>
        <v/>
      </c>
      <c r="W197" s="19" t="str">
        <f t="shared" si="187"/>
        <v/>
      </c>
      <c r="X197" s="19" t="str">
        <f t="shared" si="188"/>
        <v/>
      </c>
      <c r="Y197" s="19" t="str">
        <f t="shared" si="189"/>
        <v/>
      </c>
      <c r="Z197" s="19" t="str">
        <f t="shared" si="190"/>
        <v/>
      </c>
      <c r="AA197" s="19" t="str">
        <f t="shared" si="191"/>
        <v/>
      </c>
      <c r="AB197" s="19" t="str">
        <f t="shared" si="192"/>
        <v/>
      </c>
      <c r="AC197" s="19" t="str">
        <f t="shared" si="193"/>
        <v/>
      </c>
      <c r="AD197" s="19" t="str">
        <f t="shared" si="194"/>
        <v/>
      </c>
      <c r="AE197" s="19" t="str">
        <f t="shared" si="195"/>
        <v/>
      </c>
      <c r="AF197" s="19" t="str">
        <f t="shared" si="196"/>
        <v/>
      </c>
      <c r="AG197" s="122" t="str">
        <f t="shared" si="197"/>
        <v/>
      </c>
      <c r="AH197" s="122" t="str">
        <f t="shared" si="198"/>
        <v/>
      </c>
      <c r="AI197" s="122" t="str">
        <f t="shared" si="199"/>
        <v/>
      </c>
      <c r="AJ197" s="122" t="str">
        <f t="shared" si="200"/>
        <v/>
      </c>
      <c r="AK197" s="122" t="str">
        <f t="shared" si="201"/>
        <v/>
      </c>
      <c r="AL197" s="122" t="str">
        <f t="shared" si="202"/>
        <v/>
      </c>
      <c r="AM197" s="122" t="str">
        <f t="shared" si="203"/>
        <v/>
      </c>
      <c r="AN197" s="122" t="str">
        <f t="shared" si="204"/>
        <v/>
      </c>
      <c r="AO197" s="122" t="str">
        <f t="shared" si="205"/>
        <v/>
      </c>
      <c r="AP197" s="122" t="str">
        <f t="shared" si="206"/>
        <v/>
      </c>
      <c r="AQ197" s="130" t="str">
        <f t="shared" si="207"/>
        <v/>
      </c>
      <c r="AR197" s="122" t="str">
        <f t="shared" si="208"/>
        <v/>
      </c>
      <c r="AS197" s="1001"/>
      <c r="AT197" s="442"/>
      <c r="AU197" s="131" t="str">
        <f t="shared" si="209"/>
        <v/>
      </c>
      <c r="AV197" s="17"/>
      <c r="AW197" s="124" t="str">
        <f t="shared" si="210"/>
        <v/>
      </c>
      <c r="AX197" s="16"/>
      <c r="AY197" s="26"/>
    </row>
    <row r="198" spans="2:51">
      <c r="B198" s="508"/>
      <c r="C198" s="124"/>
      <c r="D198" s="123" t="str">
        <f t="shared" si="169"/>
        <v/>
      </c>
      <c r="E198" s="123" t="str">
        <f t="shared" si="170"/>
        <v/>
      </c>
      <c r="F198" s="124" t="str">
        <f t="shared" si="171"/>
        <v/>
      </c>
      <c r="G198" s="122" t="str">
        <f t="shared" si="172"/>
        <v/>
      </c>
      <c r="H198" s="122" t="str">
        <f t="shared" si="168"/>
        <v/>
      </c>
      <c r="I198" s="123" t="str">
        <f t="shared" si="173"/>
        <v/>
      </c>
      <c r="J198" s="123" t="str">
        <f t="shared" si="174"/>
        <v/>
      </c>
      <c r="K198" s="124" t="str">
        <f t="shared" si="175"/>
        <v/>
      </c>
      <c r="L198" s="124" t="str">
        <f t="shared" si="176"/>
        <v/>
      </c>
      <c r="M198" s="122" t="str">
        <f t="shared" si="177"/>
        <v/>
      </c>
      <c r="N198" s="122" t="str">
        <f t="shared" si="178"/>
        <v/>
      </c>
      <c r="O198" s="122" t="str">
        <f t="shared" si="179"/>
        <v/>
      </c>
      <c r="P198" s="122" t="str">
        <f t="shared" si="180"/>
        <v/>
      </c>
      <c r="Q198" s="122" t="str">
        <f t="shared" si="181"/>
        <v/>
      </c>
      <c r="R198" s="122" t="str">
        <f t="shared" si="182"/>
        <v/>
      </c>
      <c r="S198" s="122" t="str">
        <f t="shared" si="183"/>
        <v/>
      </c>
      <c r="T198" s="122" t="str">
        <f t="shared" si="184"/>
        <v/>
      </c>
      <c r="U198" s="122" t="str">
        <f t="shared" si="185"/>
        <v/>
      </c>
      <c r="V198" s="122" t="str">
        <f t="shared" si="186"/>
        <v/>
      </c>
      <c r="W198" s="19" t="str">
        <f t="shared" si="187"/>
        <v/>
      </c>
      <c r="X198" s="19" t="str">
        <f t="shared" si="188"/>
        <v/>
      </c>
      <c r="Y198" s="19" t="str">
        <f t="shared" si="189"/>
        <v/>
      </c>
      <c r="Z198" s="19" t="str">
        <f t="shared" si="190"/>
        <v/>
      </c>
      <c r="AA198" s="19" t="str">
        <f t="shared" si="191"/>
        <v/>
      </c>
      <c r="AB198" s="19" t="str">
        <f t="shared" si="192"/>
        <v/>
      </c>
      <c r="AC198" s="19" t="str">
        <f t="shared" si="193"/>
        <v/>
      </c>
      <c r="AD198" s="19" t="str">
        <f t="shared" si="194"/>
        <v/>
      </c>
      <c r="AE198" s="19" t="str">
        <f t="shared" si="195"/>
        <v/>
      </c>
      <c r="AF198" s="19" t="str">
        <f t="shared" si="196"/>
        <v/>
      </c>
      <c r="AG198" s="122" t="str">
        <f t="shared" si="197"/>
        <v/>
      </c>
      <c r="AH198" s="122" t="str">
        <f t="shared" si="198"/>
        <v/>
      </c>
      <c r="AI198" s="122" t="str">
        <f t="shared" si="199"/>
        <v/>
      </c>
      <c r="AJ198" s="122" t="str">
        <f t="shared" si="200"/>
        <v/>
      </c>
      <c r="AK198" s="122" t="str">
        <f t="shared" si="201"/>
        <v/>
      </c>
      <c r="AL198" s="122" t="str">
        <f t="shared" si="202"/>
        <v/>
      </c>
      <c r="AM198" s="122" t="str">
        <f t="shared" si="203"/>
        <v/>
      </c>
      <c r="AN198" s="122" t="str">
        <f t="shared" si="204"/>
        <v/>
      </c>
      <c r="AO198" s="122" t="str">
        <f t="shared" si="205"/>
        <v/>
      </c>
      <c r="AP198" s="122" t="str">
        <f t="shared" si="206"/>
        <v/>
      </c>
      <c r="AQ198" s="130" t="str">
        <f t="shared" si="207"/>
        <v/>
      </c>
      <c r="AR198" s="122" t="str">
        <f t="shared" si="208"/>
        <v/>
      </c>
      <c r="AS198" s="1001"/>
      <c r="AT198" s="442"/>
      <c r="AU198" s="131" t="str">
        <f t="shared" si="209"/>
        <v/>
      </c>
      <c r="AV198" s="17"/>
      <c r="AW198" s="124" t="str">
        <f t="shared" si="210"/>
        <v/>
      </c>
      <c r="AX198" s="16"/>
      <c r="AY198" s="26"/>
    </row>
    <row r="199" spans="2:51">
      <c r="B199" s="508"/>
      <c r="C199" s="124"/>
      <c r="D199" s="123" t="str">
        <f t="shared" si="169"/>
        <v/>
      </c>
      <c r="E199" s="123" t="str">
        <f t="shared" si="170"/>
        <v/>
      </c>
      <c r="F199" s="124" t="str">
        <f t="shared" si="171"/>
        <v/>
      </c>
      <c r="G199" s="122" t="str">
        <f t="shared" si="172"/>
        <v/>
      </c>
      <c r="H199" s="122" t="str">
        <f t="shared" si="168"/>
        <v/>
      </c>
      <c r="I199" s="123" t="str">
        <f t="shared" si="173"/>
        <v/>
      </c>
      <c r="J199" s="123" t="str">
        <f t="shared" si="174"/>
        <v/>
      </c>
      <c r="K199" s="124" t="str">
        <f t="shared" si="175"/>
        <v/>
      </c>
      <c r="L199" s="124" t="str">
        <f t="shared" si="176"/>
        <v/>
      </c>
      <c r="M199" s="122" t="str">
        <f t="shared" si="177"/>
        <v/>
      </c>
      <c r="N199" s="122" t="str">
        <f t="shared" si="178"/>
        <v/>
      </c>
      <c r="O199" s="122" t="str">
        <f t="shared" si="179"/>
        <v/>
      </c>
      <c r="P199" s="122" t="str">
        <f t="shared" si="180"/>
        <v/>
      </c>
      <c r="Q199" s="122" t="str">
        <f t="shared" si="181"/>
        <v/>
      </c>
      <c r="R199" s="122" t="str">
        <f t="shared" si="182"/>
        <v/>
      </c>
      <c r="S199" s="122" t="str">
        <f t="shared" si="183"/>
        <v/>
      </c>
      <c r="T199" s="122" t="str">
        <f t="shared" si="184"/>
        <v/>
      </c>
      <c r="U199" s="122" t="str">
        <f t="shared" si="185"/>
        <v/>
      </c>
      <c r="V199" s="122" t="str">
        <f t="shared" si="186"/>
        <v/>
      </c>
      <c r="W199" s="19" t="str">
        <f t="shared" si="187"/>
        <v/>
      </c>
      <c r="X199" s="19" t="str">
        <f t="shared" si="188"/>
        <v/>
      </c>
      <c r="Y199" s="19" t="str">
        <f t="shared" si="189"/>
        <v/>
      </c>
      <c r="Z199" s="19" t="str">
        <f t="shared" si="190"/>
        <v/>
      </c>
      <c r="AA199" s="19" t="str">
        <f t="shared" si="191"/>
        <v/>
      </c>
      <c r="AB199" s="19" t="str">
        <f t="shared" si="192"/>
        <v/>
      </c>
      <c r="AC199" s="19" t="str">
        <f t="shared" si="193"/>
        <v/>
      </c>
      <c r="AD199" s="19" t="str">
        <f t="shared" si="194"/>
        <v/>
      </c>
      <c r="AE199" s="19" t="str">
        <f t="shared" si="195"/>
        <v/>
      </c>
      <c r="AF199" s="19" t="str">
        <f t="shared" si="196"/>
        <v/>
      </c>
      <c r="AG199" s="122" t="str">
        <f t="shared" si="197"/>
        <v/>
      </c>
      <c r="AH199" s="122" t="str">
        <f t="shared" si="198"/>
        <v/>
      </c>
      <c r="AI199" s="122" t="str">
        <f t="shared" si="199"/>
        <v/>
      </c>
      <c r="AJ199" s="122" t="str">
        <f t="shared" si="200"/>
        <v/>
      </c>
      <c r="AK199" s="122" t="str">
        <f t="shared" si="201"/>
        <v/>
      </c>
      <c r="AL199" s="122" t="str">
        <f t="shared" si="202"/>
        <v/>
      </c>
      <c r="AM199" s="122" t="str">
        <f t="shared" si="203"/>
        <v/>
      </c>
      <c r="AN199" s="122" t="str">
        <f t="shared" si="204"/>
        <v/>
      </c>
      <c r="AO199" s="122" t="str">
        <f t="shared" si="205"/>
        <v/>
      </c>
      <c r="AP199" s="122" t="str">
        <f t="shared" si="206"/>
        <v/>
      </c>
      <c r="AQ199" s="130" t="str">
        <f t="shared" si="207"/>
        <v/>
      </c>
      <c r="AR199" s="122" t="str">
        <f t="shared" si="208"/>
        <v/>
      </c>
      <c r="AS199" s="1001"/>
      <c r="AT199" s="442"/>
      <c r="AU199" s="131" t="str">
        <f t="shared" si="209"/>
        <v/>
      </c>
      <c r="AV199" s="17"/>
      <c r="AW199" s="124" t="str">
        <f t="shared" si="210"/>
        <v/>
      </c>
      <c r="AX199" s="16"/>
      <c r="AY199" s="26"/>
    </row>
    <row r="200" spans="2:51">
      <c r="B200" s="508"/>
      <c r="C200" s="124"/>
      <c r="D200" s="123" t="str">
        <f t="shared" si="169"/>
        <v/>
      </c>
      <c r="E200" s="123" t="str">
        <f t="shared" si="170"/>
        <v/>
      </c>
      <c r="F200" s="124" t="str">
        <f t="shared" si="171"/>
        <v/>
      </c>
      <c r="G200" s="122" t="str">
        <f t="shared" si="172"/>
        <v/>
      </c>
      <c r="H200" s="122" t="str">
        <f t="shared" si="168"/>
        <v/>
      </c>
      <c r="I200" s="123" t="str">
        <f t="shared" si="173"/>
        <v/>
      </c>
      <c r="J200" s="123" t="str">
        <f t="shared" si="174"/>
        <v/>
      </c>
      <c r="K200" s="124" t="str">
        <f t="shared" si="175"/>
        <v/>
      </c>
      <c r="L200" s="124" t="str">
        <f t="shared" si="176"/>
        <v/>
      </c>
      <c r="M200" s="122" t="str">
        <f t="shared" si="177"/>
        <v/>
      </c>
      <c r="N200" s="122" t="str">
        <f t="shared" si="178"/>
        <v/>
      </c>
      <c r="O200" s="122" t="str">
        <f t="shared" si="179"/>
        <v/>
      </c>
      <c r="P200" s="122" t="str">
        <f t="shared" si="180"/>
        <v/>
      </c>
      <c r="Q200" s="122" t="str">
        <f t="shared" si="181"/>
        <v/>
      </c>
      <c r="R200" s="122" t="str">
        <f t="shared" si="182"/>
        <v/>
      </c>
      <c r="S200" s="122" t="str">
        <f t="shared" si="183"/>
        <v/>
      </c>
      <c r="T200" s="122" t="str">
        <f t="shared" si="184"/>
        <v/>
      </c>
      <c r="U200" s="122" t="str">
        <f t="shared" si="185"/>
        <v/>
      </c>
      <c r="V200" s="122" t="str">
        <f t="shared" si="186"/>
        <v/>
      </c>
      <c r="W200" s="19" t="str">
        <f t="shared" si="187"/>
        <v/>
      </c>
      <c r="X200" s="19" t="str">
        <f t="shared" si="188"/>
        <v/>
      </c>
      <c r="Y200" s="19" t="str">
        <f t="shared" si="189"/>
        <v/>
      </c>
      <c r="Z200" s="19" t="str">
        <f t="shared" si="190"/>
        <v/>
      </c>
      <c r="AA200" s="19" t="str">
        <f t="shared" si="191"/>
        <v/>
      </c>
      <c r="AB200" s="19" t="str">
        <f t="shared" si="192"/>
        <v/>
      </c>
      <c r="AC200" s="19" t="str">
        <f t="shared" si="193"/>
        <v/>
      </c>
      <c r="AD200" s="19" t="str">
        <f t="shared" si="194"/>
        <v/>
      </c>
      <c r="AE200" s="19" t="str">
        <f t="shared" si="195"/>
        <v/>
      </c>
      <c r="AF200" s="19" t="str">
        <f t="shared" si="196"/>
        <v/>
      </c>
      <c r="AG200" s="122" t="str">
        <f t="shared" si="197"/>
        <v/>
      </c>
      <c r="AH200" s="122" t="str">
        <f t="shared" si="198"/>
        <v/>
      </c>
      <c r="AI200" s="122" t="str">
        <f t="shared" si="199"/>
        <v/>
      </c>
      <c r="AJ200" s="122" t="str">
        <f t="shared" si="200"/>
        <v/>
      </c>
      <c r="AK200" s="122" t="str">
        <f t="shared" si="201"/>
        <v/>
      </c>
      <c r="AL200" s="122" t="str">
        <f t="shared" si="202"/>
        <v/>
      </c>
      <c r="AM200" s="122" t="str">
        <f t="shared" si="203"/>
        <v/>
      </c>
      <c r="AN200" s="122" t="str">
        <f t="shared" si="204"/>
        <v/>
      </c>
      <c r="AO200" s="122" t="str">
        <f t="shared" si="205"/>
        <v/>
      </c>
      <c r="AP200" s="122" t="str">
        <f t="shared" si="206"/>
        <v/>
      </c>
      <c r="AQ200" s="130" t="str">
        <f t="shared" si="207"/>
        <v/>
      </c>
      <c r="AR200" s="122" t="str">
        <f t="shared" si="208"/>
        <v/>
      </c>
      <c r="AS200" s="1001"/>
      <c r="AT200" s="442"/>
      <c r="AU200" s="131" t="str">
        <f t="shared" si="209"/>
        <v/>
      </c>
      <c r="AV200" s="17"/>
      <c r="AW200" s="124" t="str">
        <f t="shared" si="210"/>
        <v/>
      </c>
      <c r="AX200" s="16"/>
      <c r="AY200" s="26"/>
    </row>
    <row r="201" spans="2:51">
      <c r="B201" s="508"/>
      <c r="C201" s="124"/>
      <c r="D201" s="123" t="str">
        <f t="shared" si="169"/>
        <v/>
      </c>
      <c r="E201" s="123" t="str">
        <f t="shared" si="170"/>
        <v/>
      </c>
      <c r="F201" s="124" t="str">
        <f t="shared" si="171"/>
        <v/>
      </c>
      <c r="G201" s="122" t="str">
        <f t="shared" si="172"/>
        <v/>
      </c>
      <c r="H201" s="122" t="str">
        <f t="shared" si="168"/>
        <v/>
      </c>
      <c r="I201" s="123" t="str">
        <f t="shared" si="173"/>
        <v/>
      </c>
      <c r="J201" s="123" t="str">
        <f t="shared" si="174"/>
        <v/>
      </c>
      <c r="K201" s="124" t="str">
        <f t="shared" si="175"/>
        <v/>
      </c>
      <c r="L201" s="124" t="str">
        <f t="shared" si="176"/>
        <v/>
      </c>
      <c r="M201" s="122" t="str">
        <f t="shared" si="177"/>
        <v/>
      </c>
      <c r="N201" s="122" t="str">
        <f t="shared" si="178"/>
        <v/>
      </c>
      <c r="O201" s="122" t="str">
        <f t="shared" si="179"/>
        <v/>
      </c>
      <c r="P201" s="122" t="str">
        <f t="shared" si="180"/>
        <v/>
      </c>
      <c r="Q201" s="122" t="str">
        <f t="shared" si="181"/>
        <v/>
      </c>
      <c r="R201" s="122" t="str">
        <f t="shared" si="182"/>
        <v/>
      </c>
      <c r="S201" s="122" t="str">
        <f t="shared" si="183"/>
        <v/>
      </c>
      <c r="T201" s="122" t="str">
        <f t="shared" si="184"/>
        <v/>
      </c>
      <c r="U201" s="122" t="str">
        <f t="shared" si="185"/>
        <v/>
      </c>
      <c r="V201" s="122" t="str">
        <f t="shared" si="186"/>
        <v/>
      </c>
      <c r="W201" s="19" t="str">
        <f t="shared" si="187"/>
        <v/>
      </c>
      <c r="X201" s="19" t="str">
        <f t="shared" si="188"/>
        <v/>
      </c>
      <c r="Y201" s="19" t="str">
        <f t="shared" si="189"/>
        <v/>
      </c>
      <c r="Z201" s="19" t="str">
        <f t="shared" si="190"/>
        <v/>
      </c>
      <c r="AA201" s="19" t="str">
        <f t="shared" si="191"/>
        <v/>
      </c>
      <c r="AB201" s="19" t="str">
        <f t="shared" si="192"/>
        <v/>
      </c>
      <c r="AC201" s="19" t="str">
        <f t="shared" si="193"/>
        <v/>
      </c>
      <c r="AD201" s="19" t="str">
        <f t="shared" si="194"/>
        <v/>
      </c>
      <c r="AE201" s="19" t="str">
        <f t="shared" si="195"/>
        <v/>
      </c>
      <c r="AF201" s="19" t="str">
        <f t="shared" si="196"/>
        <v/>
      </c>
      <c r="AG201" s="122" t="str">
        <f t="shared" si="197"/>
        <v/>
      </c>
      <c r="AH201" s="122" t="str">
        <f t="shared" si="198"/>
        <v/>
      </c>
      <c r="AI201" s="122" t="str">
        <f t="shared" si="199"/>
        <v/>
      </c>
      <c r="AJ201" s="122" t="str">
        <f t="shared" si="200"/>
        <v/>
      </c>
      <c r="AK201" s="122" t="str">
        <f t="shared" si="201"/>
        <v/>
      </c>
      <c r="AL201" s="122" t="str">
        <f t="shared" si="202"/>
        <v/>
      </c>
      <c r="AM201" s="122" t="str">
        <f t="shared" si="203"/>
        <v/>
      </c>
      <c r="AN201" s="122" t="str">
        <f t="shared" si="204"/>
        <v/>
      </c>
      <c r="AO201" s="122" t="str">
        <f t="shared" si="205"/>
        <v/>
      </c>
      <c r="AP201" s="122" t="str">
        <f t="shared" si="206"/>
        <v/>
      </c>
      <c r="AQ201" s="130" t="str">
        <f t="shared" si="207"/>
        <v/>
      </c>
      <c r="AR201" s="122" t="str">
        <f t="shared" si="208"/>
        <v/>
      </c>
      <c r="AS201" s="1001"/>
      <c r="AT201" s="442"/>
      <c r="AU201" s="131" t="str">
        <f t="shared" si="209"/>
        <v/>
      </c>
      <c r="AV201" s="17"/>
      <c r="AW201" s="124" t="str">
        <f t="shared" si="210"/>
        <v/>
      </c>
      <c r="AX201" s="16"/>
      <c r="AY201" s="26"/>
    </row>
    <row r="202" spans="2:51">
      <c r="C202" s="124"/>
      <c r="D202" s="123"/>
      <c r="E202" s="123"/>
      <c r="F202" s="124"/>
      <c r="G202" s="124"/>
      <c r="H202" s="122"/>
      <c r="I202" s="123"/>
      <c r="J202" s="123"/>
      <c r="K202" s="124"/>
      <c r="L202" s="124"/>
      <c r="M202" s="122"/>
      <c r="N202" s="122"/>
      <c r="O202" s="122"/>
      <c r="P202" s="122"/>
      <c r="Q202" s="122"/>
      <c r="R202" s="122"/>
      <c r="S202" s="122"/>
      <c r="T202" s="122"/>
      <c r="U202" s="122"/>
      <c r="V202" s="122"/>
      <c r="W202" s="19"/>
      <c r="X202" s="19"/>
      <c r="Y202" s="19"/>
      <c r="Z202" s="19"/>
      <c r="AA202" s="19"/>
      <c r="AB202" s="19"/>
      <c r="AC202" s="19"/>
      <c r="AD202" s="19"/>
      <c r="AE202" s="19"/>
      <c r="AF202" s="19"/>
      <c r="AG202" s="122"/>
      <c r="AH202" s="122"/>
      <c r="AI202" s="122"/>
      <c r="AJ202" s="122"/>
      <c r="AK202" s="122"/>
      <c r="AL202" s="122"/>
      <c r="AM202" s="122"/>
      <c r="AN202" s="122"/>
      <c r="AO202" s="122"/>
      <c r="AP202" s="122"/>
      <c r="AQ202" s="130"/>
      <c r="AR202" s="122"/>
      <c r="AS202" s="1001"/>
      <c r="AT202" s="442"/>
      <c r="AU202" s="131"/>
      <c r="AV202" s="17"/>
      <c r="AW202" s="124"/>
      <c r="AX202" s="16"/>
      <c r="AY202" s="26"/>
    </row>
  </sheetData>
  <protectedRanges>
    <protectedRange sqref="Y11" name="Intervalo4_3"/>
  </protectedRanges>
  <phoneticPr fontId="0" type="noConversion"/>
  <conditionalFormatting sqref="G41:G162">
    <cfRule type="cellIs" dxfId="1" priority="4" operator="equal">
      <formula>0</formula>
    </cfRule>
  </conditionalFormatting>
  <conditionalFormatting sqref="AW41:AW162">
    <cfRule type="colorScale" priority="3">
      <colorScale>
        <cfvo type="percentile" val="1"/>
        <cfvo type="num" val="0"/>
        <cfvo type="percentile" val="99"/>
        <color theme="5" tint="0.39997558519241921"/>
        <color rgb="FFF9FCDE"/>
        <color theme="5" tint="0.39997558519241921"/>
      </colorScale>
    </cfRule>
  </conditionalFormatting>
  <conditionalFormatting sqref="G163:G201">
    <cfRule type="cellIs" dxfId="0" priority="2" operator="equal">
      <formula>0</formula>
    </cfRule>
  </conditionalFormatting>
  <conditionalFormatting sqref="AW163:AW202">
    <cfRule type="colorScale" priority="1">
      <colorScale>
        <cfvo type="percentile" val="1"/>
        <cfvo type="num" val="0"/>
        <cfvo type="percentile" val="99"/>
        <color theme="5" tint="0.39997558519241921"/>
        <color rgb="FFF9FCDE"/>
        <color theme="5" tint="0.39997558519241921"/>
      </colorScale>
    </cfRule>
  </conditionalFormatting>
  <pageMargins left="0.78740157499999996" right="0.78740157499999996" top="0.984251969" bottom="0.984251969" header="0.49212598499999999" footer="0.49212598499999999"/>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179" r:id="rId4" name="Button 1747">
              <controlPr defaultSize="0" print="0" autoFill="0" autoPict="0" macro="[0]!Regression_Plot_Fitted_pH">
                <anchor moveWithCells="1" sizeWithCells="1">
                  <from>
                    <xdr:col>3</xdr:col>
                    <xdr:colOff>180975</xdr:colOff>
                    <xdr:row>20</xdr:row>
                    <xdr:rowOff>133350</xdr:rowOff>
                  </from>
                  <to>
                    <xdr:col>5</xdr:col>
                    <xdr:colOff>276225</xdr:colOff>
                    <xdr:row>21</xdr:row>
                    <xdr:rowOff>133350</xdr:rowOff>
                  </to>
                </anchor>
              </controlPr>
            </control>
          </mc:Choice>
        </mc:AlternateContent>
        <mc:AlternateContent xmlns:mc="http://schemas.openxmlformats.org/markup-compatibility/2006">
          <mc:Choice Requires="x14">
            <control shapeId="891826" r:id="rId5" name="Button 2994">
              <controlPr defaultSize="0" print="0" autoFill="0" autoPict="0" macro="[0]!Regression_I_zero">
                <anchor moveWithCells="1" sizeWithCells="1">
                  <from>
                    <xdr:col>0</xdr:col>
                    <xdr:colOff>66675</xdr:colOff>
                    <xdr:row>20</xdr:row>
                    <xdr:rowOff>142875</xdr:rowOff>
                  </from>
                  <to>
                    <xdr:col>1</xdr:col>
                    <xdr:colOff>466725</xdr:colOff>
                    <xdr:row>21</xdr:row>
                    <xdr:rowOff>142875</xdr:rowOff>
                  </to>
                </anchor>
              </controlPr>
            </control>
          </mc:Choice>
        </mc:AlternateContent>
        <mc:AlternateContent xmlns:mc="http://schemas.openxmlformats.org/markup-compatibility/2006">
          <mc:Choice Requires="x14">
            <control shapeId="5127777" r:id="rId6" name="Button 6753">
              <controlPr defaultSize="0" print="0" autoFill="0" autoPict="0" macro="[0]!Regression_Data_Eval">
                <anchor moveWithCells="1" sizeWithCells="1">
                  <from>
                    <xdr:col>5</xdr:col>
                    <xdr:colOff>714375</xdr:colOff>
                    <xdr:row>19</xdr:row>
                    <xdr:rowOff>95250</xdr:rowOff>
                  </from>
                  <to>
                    <xdr:col>6</xdr:col>
                    <xdr:colOff>914400</xdr:colOff>
                    <xdr:row>20</xdr:row>
                    <xdr:rowOff>76200</xdr:rowOff>
                  </to>
                </anchor>
              </controlPr>
            </control>
          </mc:Choice>
        </mc:AlternateContent>
        <mc:AlternateContent xmlns:mc="http://schemas.openxmlformats.org/markup-compatibility/2006">
          <mc:Choice Requires="x14">
            <control shapeId="20180" r:id="rId7" name="Button 1748">
              <controlPr defaultSize="0" print="0" autoFill="0" autoPict="0" macro="[0]!Regression_Remove_fitted_pH">
                <anchor moveWithCells="1" sizeWithCells="1">
                  <from>
                    <xdr:col>5</xdr:col>
                    <xdr:colOff>381000</xdr:colOff>
                    <xdr:row>20</xdr:row>
                    <xdr:rowOff>133350</xdr:rowOff>
                  </from>
                  <to>
                    <xdr:col>6</xdr:col>
                    <xdr:colOff>923925</xdr:colOff>
                    <xdr:row>21</xdr:row>
                    <xdr:rowOff>133350</xdr:rowOff>
                  </to>
                </anchor>
              </controlPr>
            </control>
          </mc:Choice>
        </mc:AlternateContent>
        <mc:AlternateContent xmlns:mc="http://schemas.openxmlformats.org/markup-compatibility/2006">
          <mc:Choice Requires="x14">
            <control shapeId="20184" r:id="rId8" name="Button 1752">
              <controlPr defaultSize="0" print="0" autoFill="0" autoPict="0" macro="[0]!Regression_Data_Sim">
                <anchor moveWithCells="1" sizeWithCells="1">
                  <from>
                    <xdr:col>2</xdr:col>
                    <xdr:colOff>428625</xdr:colOff>
                    <xdr:row>19</xdr:row>
                    <xdr:rowOff>104775</xdr:rowOff>
                  </from>
                  <to>
                    <xdr:col>3</xdr:col>
                    <xdr:colOff>542925</xdr:colOff>
                    <xdr:row>20</xdr:row>
                    <xdr:rowOff>76200</xdr:rowOff>
                  </to>
                </anchor>
              </controlPr>
            </control>
          </mc:Choice>
        </mc:AlternateContent>
        <mc:AlternateContent xmlns:mc="http://schemas.openxmlformats.org/markup-compatibility/2006">
          <mc:Choice Requires="x14">
            <control shapeId="20185" r:id="rId9" name="Button 1753">
              <controlPr defaultSize="0" print="0" autoFill="0" autoPict="0" macro="[0]!Regression_Clear_Data">
                <anchor moveWithCells="1" sizeWithCells="1">
                  <from>
                    <xdr:col>0</xdr:col>
                    <xdr:colOff>47625</xdr:colOff>
                    <xdr:row>19</xdr:row>
                    <xdr:rowOff>85725</xdr:rowOff>
                  </from>
                  <to>
                    <xdr:col>1</xdr:col>
                    <xdr:colOff>66675</xdr:colOff>
                    <xdr:row>20</xdr:row>
                    <xdr:rowOff>66675</xdr:rowOff>
                  </to>
                </anchor>
              </controlPr>
            </control>
          </mc:Choice>
        </mc:AlternateContent>
        <mc:AlternateContent xmlns:mc="http://schemas.openxmlformats.org/markup-compatibility/2006">
          <mc:Choice Requires="x14">
            <control shapeId="20186" r:id="rId10" name="Button 1754">
              <controlPr defaultSize="0" print="0" autoFill="0" autoPict="0" macro="[0]!Regression_Data_Sim_Disp">
                <anchor moveWithCells="1" sizeWithCells="1">
                  <from>
                    <xdr:col>3</xdr:col>
                    <xdr:colOff>609600</xdr:colOff>
                    <xdr:row>19</xdr:row>
                    <xdr:rowOff>95250</xdr:rowOff>
                  </from>
                  <to>
                    <xdr:col>5</xdr:col>
                    <xdr:colOff>638175</xdr:colOff>
                    <xdr:row>20</xdr:row>
                    <xdr:rowOff>76200</xdr:rowOff>
                  </to>
                </anchor>
              </controlPr>
            </control>
          </mc:Choice>
        </mc:AlternateContent>
        <mc:AlternateContent xmlns:mc="http://schemas.openxmlformats.org/markup-compatibility/2006">
          <mc:Choice Requires="x14">
            <control shapeId="891360" r:id="rId11" name="Button 2528">
              <controlPr defaultSize="0" print="0" autoFill="0" autoPict="0" macro="[0]!Regression_Copy_pKas">
                <anchor moveWithCells="1" sizeWithCells="1">
                  <from>
                    <xdr:col>9</xdr:col>
                    <xdr:colOff>38100</xdr:colOff>
                    <xdr:row>0</xdr:row>
                    <xdr:rowOff>47625</xdr:rowOff>
                  </from>
                  <to>
                    <xdr:col>9</xdr:col>
                    <xdr:colOff>1009650</xdr:colOff>
                    <xdr:row>2</xdr:row>
                    <xdr:rowOff>66675</xdr:rowOff>
                  </to>
                </anchor>
              </controlPr>
            </control>
          </mc:Choice>
        </mc:AlternateContent>
        <mc:AlternateContent xmlns:mc="http://schemas.openxmlformats.org/markup-compatibility/2006">
          <mc:Choice Requires="x14">
            <control shapeId="891624" r:id="rId12" name="Drop Down 2792">
              <controlPr defaultSize="0" autoLine="0" autoPict="0">
                <anchor moveWithCells="1">
                  <from>
                    <xdr:col>10</xdr:col>
                    <xdr:colOff>0</xdr:colOff>
                    <xdr:row>1</xdr:row>
                    <xdr:rowOff>0</xdr:rowOff>
                  </from>
                  <to>
                    <xdr:col>11</xdr:col>
                    <xdr:colOff>628650</xdr:colOff>
                    <xdr:row>2</xdr:row>
                    <xdr:rowOff>0</xdr:rowOff>
                  </to>
                </anchor>
              </controlPr>
            </control>
          </mc:Choice>
        </mc:AlternateContent>
        <mc:AlternateContent xmlns:mc="http://schemas.openxmlformats.org/markup-compatibility/2006">
          <mc:Choice Requires="x14">
            <control shapeId="891625" r:id="rId13" name="Drop Down 2793">
              <controlPr defaultSize="0" autoLine="0" autoPict="0">
                <anchor moveWithCells="1">
                  <from>
                    <xdr:col>11</xdr:col>
                    <xdr:colOff>0</xdr:colOff>
                    <xdr:row>1</xdr:row>
                    <xdr:rowOff>0</xdr:rowOff>
                  </from>
                  <to>
                    <xdr:col>12</xdr:col>
                    <xdr:colOff>838200</xdr:colOff>
                    <xdr:row>2</xdr:row>
                    <xdr:rowOff>0</xdr:rowOff>
                  </to>
                </anchor>
              </controlPr>
            </control>
          </mc:Choice>
        </mc:AlternateContent>
        <mc:AlternateContent xmlns:mc="http://schemas.openxmlformats.org/markup-compatibility/2006">
          <mc:Choice Requires="x14">
            <control shapeId="891626" r:id="rId14" name="Drop Down 2794">
              <controlPr defaultSize="0" autoLine="0" autoPict="0">
                <anchor moveWithCells="1">
                  <from>
                    <xdr:col>12</xdr:col>
                    <xdr:colOff>0</xdr:colOff>
                    <xdr:row>1</xdr:row>
                    <xdr:rowOff>0</xdr:rowOff>
                  </from>
                  <to>
                    <xdr:col>13</xdr:col>
                    <xdr:colOff>809625</xdr:colOff>
                    <xdr:row>2</xdr:row>
                    <xdr:rowOff>0</xdr:rowOff>
                  </to>
                </anchor>
              </controlPr>
            </control>
          </mc:Choice>
        </mc:AlternateContent>
        <mc:AlternateContent xmlns:mc="http://schemas.openxmlformats.org/markup-compatibility/2006">
          <mc:Choice Requires="x14">
            <control shapeId="891627" r:id="rId15" name="Drop Down 2795">
              <controlPr defaultSize="0" autoLine="0" autoPict="0">
                <anchor moveWithCells="1">
                  <from>
                    <xdr:col>13</xdr:col>
                    <xdr:colOff>0</xdr:colOff>
                    <xdr:row>1</xdr:row>
                    <xdr:rowOff>0</xdr:rowOff>
                  </from>
                  <to>
                    <xdr:col>14</xdr:col>
                    <xdr:colOff>457200</xdr:colOff>
                    <xdr:row>2</xdr:row>
                    <xdr:rowOff>0</xdr:rowOff>
                  </to>
                </anchor>
              </controlPr>
            </control>
          </mc:Choice>
        </mc:AlternateContent>
        <mc:AlternateContent xmlns:mc="http://schemas.openxmlformats.org/markup-compatibility/2006">
          <mc:Choice Requires="x14">
            <control shapeId="891628" r:id="rId16" name="Drop Down 2796">
              <controlPr defaultSize="0" autoLine="0" autoPict="0">
                <anchor moveWithCells="1">
                  <from>
                    <xdr:col>14</xdr:col>
                    <xdr:colOff>0</xdr:colOff>
                    <xdr:row>1</xdr:row>
                    <xdr:rowOff>0</xdr:rowOff>
                  </from>
                  <to>
                    <xdr:col>15</xdr:col>
                    <xdr:colOff>866775</xdr:colOff>
                    <xdr:row>2</xdr:row>
                    <xdr:rowOff>0</xdr:rowOff>
                  </to>
                </anchor>
              </controlPr>
            </control>
          </mc:Choice>
        </mc:AlternateContent>
        <mc:AlternateContent xmlns:mc="http://schemas.openxmlformats.org/markup-compatibility/2006">
          <mc:Choice Requires="x14">
            <control shapeId="891629" r:id="rId17" name="Drop Down 2797">
              <controlPr defaultSize="0" autoLine="0" autoPict="0">
                <anchor moveWithCells="1">
                  <from>
                    <xdr:col>15</xdr:col>
                    <xdr:colOff>0</xdr:colOff>
                    <xdr:row>1</xdr:row>
                    <xdr:rowOff>0</xdr:rowOff>
                  </from>
                  <to>
                    <xdr:col>16</xdr:col>
                    <xdr:colOff>457200</xdr:colOff>
                    <xdr:row>2</xdr:row>
                    <xdr:rowOff>0</xdr:rowOff>
                  </to>
                </anchor>
              </controlPr>
            </control>
          </mc:Choice>
        </mc:AlternateContent>
        <mc:AlternateContent xmlns:mc="http://schemas.openxmlformats.org/markup-compatibility/2006">
          <mc:Choice Requires="x14">
            <control shapeId="891630" r:id="rId18" name="Drop Down 2798">
              <controlPr defaultSize="0" autoLine="0" autoPict="0">
                <anchor moveWithCells="1">
                  <from>
                    <xdr:col>16</xdr:col>
                    <xdr:colOff>0</xdr:colOff>
                    <xdr:row>1</xdr:row>
                    <xdr:rowOff>0</xdr:rowOff>
                  </from>
                  <to>
                    <xdr:col>17</xdr:col>
                    <xdr:colOff>209550</xdr:colOff>
                    <xdr:row>2</xdr:row>
                    <xdr:rowOff>0</xdr:rowOff>
                  </to>
                </anchor>
              </controlPr>
            </control>
          </mc:Choice>
        </mc:AlternateContent>
        <mc:AlternateContent xmlns:mc="http://schemas.openxmlformats.org/markup-compatibility/2006">
          <mc:Choice Requires="x14">
            <control shapeId="891828" r:id="rId19" name="Button 2996">
              <controlPr defaultSize="0" print="0" autoFill="0" autoPict="0" macro="[0]!Regression_I_calc">
                <anchor moveWithCells="1" sizeWithCells="1">
                  <from>
                    <xdr:col>1</xdr:col>
                    <xdr:colOff>571500</xdr:colOff>
                    <xdr:row>20</xdr:row>
                    <xdr:rowOff>142875</xdr:rowOff>
                  </from>
                  <to>
                    <xdr:col>3</xdr:col>
                    <xdr:colOff>95250</xdr:colOff>
                    <xdr:row>21</xdr:row>
                    <xdr:rowOff>142875</xdr:rowOff>
                  </to>
                </anchor>
              </controlPr>
            </control>
          </mc:Choice>
        </mc:AlternateContent>
        <mc:AlternateContent xmlns:mc="http://schemas.openxmlformats.org/markup-compatibility/2006">
          <mc:Choice Requires="x14">
            <control shapeId="3988813" r:id="rId20" name="Button 5453">
              <controlPr defaultSize="0" print="0" autoFill="0" autoPict="0" macro="[0]!Regression_Find_titrant_pH">
                <anchor moveWithCells="1" sizeWithCells="1">
                  <from>
                    <xdr:col>5</xdr:col>
                    <xdr:colOff>885825</xdr:colOff>
                    <xdr:row>16</xdr:row>
                    <xdr:rowOff>104775</xdr:rowOff>
                  </from>
                  <to>
                    <xdr:col>6</xdr:col>
                    <xdr:colOff>847725</xdr:colOff>
                    <xdr:row>17</xdr:row>
                    <xdr:rowOff>152400</xdr:rowOff>
                  </to>
                </anchor>
              </controlPr>
            </control>
          </mc:Choice>
        </mc:AlternateContent>
        <mc:AlternateContent xmlns:mc="http://schemas.openxmlformats.org/markup-compatibility/2006">
          <mc:Choice Requires="x14">
            <control shapeId="5127770" r:id="rId21" name="Button 6746">
              <controlPr defaultSize="0" print="0" autoFill="0" autoPict="0" macro="[0]!Regression_I_zero">
                <anchor moveWithCells="1" sizeWithCells="1">
                  <from>
                    <xdr:col>16</xdr:col>
                    <xdr:colOff>133350</xdr:colOff>
                    <xdr:row>21</xdr:row>
                    <xdr:rowOff>238125</xdr:rowOff>
                  </from>
                  <to>
                    <xdr:col>16</xdr:col>
                    <xdr:colOff>866775</xdr:colOff>
                    <xdr:row>23</xdr:row>
                    <xdr:rowOff>9525</xdr:rowOff>
                  </to>
                </anchor>
              </controlPr>
            </control>
          </mc:Choice>
        </mc:AlternateContent>
        <mc:AlternateContent xmlns:mc="http://schemas.openxmlformats.org/markup-compatibility/2006">
          <mc:Choice Requires="x14">
            <control shapeId="5127771" r:id="rId22" name="Button 6747">
              <controlPr defaultSize="0" print="0" autoFill="0" autoPict="0" macro="[0]!Regression_I_calc">
                <anchor moveWithCells="1" sizeWithCells="1">
                  <from>
                    <xdr:col>16</xdr:col>
                    <xdr:colOff>123825</xdr:colOff>
                    <xdr:row>23</xdr:row>
                    <xdr:rowOff>152400</xdr:rowOff>
                  </from>
                  <to>
                    <xdr:col>16</xdr:col>
                    <xdr:colOff>866775</xdr:colOff>
                    <xdr:row>25</xdr:row>
                    <xdr:rowOff>104775</xdr:rowOff>
                  </to>
                </anchor>
              </controlPr>
            </control>
          </mc:Choice>
        </mc:AlternateContent>
        <mc:AlternateContent xmlns:mc="http://schemas.openxmlformats.org/markup-compatibility/2006">
          <mc:Choice Requires="x14">
            <control shapeId="5127776" r:id="rId23" name="Button 6752">
              <controlPr defaultSize="0" print="0" autoFill="0" autoPict="0" macro="[0]!Regression_Data_Tit">
                <anchor moveWithCells="1" sizeWithCells="1">
                  <from>
                    <xdr:col>1</xdr:col>
                    <xdr:colOff>123825</xdr:colOff>
                    <xdr:row>19</xdr:row>
                    <xdr:rowOff>104775</xdr:rowOff>
                  </from>
                  <to>
                    <xdr:col>2</xdr:col>
                    <xdr:colOff>371475</xdr:colOff>
                    <xdr:row>20</xdr:row>
                    <xdr:rowOff>76200</xdr:rowOff>
                  </to>
                </anchor>
              </controlPr>
            </control>
          </mc:Choice>
        </mc:AlternateContent>
        <mc:AlternateContent xmlns:mc="http://schemas.openxmlformats.org/markup-compatibility/2006">
          <mc:Choice Requires="x14">
            <control shapeId="5538375" r:id="rId24" name="Button 8775">
              <controlPr defaultSize="0" print="0" autoFill="0" autoPict="0" macro="[0]!Result_Regression">
                <anchor moveWithCells="1" sizeWithCells="1">
                  <from>
                    <xdr:col>7</xdr:col>
                    <xdr:colOff>19050</xdr:colOff>
                    <xdr:row>20</xdr:row>
                    <xdr:rowOff>19050</xdr:rowOff>
                  </from>
                  <to>
                    <xdr:col>7</xdr:col>
                    <xdr:colOff>1133475</xdr:colOff>
                    <xdr:row>21</xdr:row>
                    <xdr:rowOff>133350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ilha1"/>
  <dimension ref="A1:AQ4"/>
  <sheetViews>
    <sheetView zoomScale="85" zoomScaleNormal="85" workbookViewId="0"/>
  </sheetViews>
  <sheetFormatPr defaultRowHeight="12.75"/>
  <cols>
    <col min="1" max="1" width="16.7109375" customWidth="1"/>
    <col min="2" max="5" width="14.7109375" customWidth="1"/>
    <col min="6" max="7" width="15.7109375" customWidth="1"/>
    <col min="8" max="8" width="20.7109375" customWidth="1"/>
    <col min="9" max="9" width="15.7109375" customWidth="1"/>
    <col min="10" max="12" width="15.85546875" customWidth="1"/>
    <col min="13" max="13" width="16.5703125" customWidth="1"/>
    <col min="14" max="16" width="15.7109375" customWidth="1"/>
    <col min="17" max="17" width="16" customWidth="1"/>
    <col min="18" max="18" width="16.85546875" customWidth="1"/>
    <col min="19" max="19" width="14" customWidth="1"/>
    <col min="20" max="20" width="14.28515625" customWidth="1"/>
  </cols>
  <sheetData>
    <row r="1" spans="1:43" ht="24" customHeight="1">
      <c r="A1" s="1368"/>
      <c r="B1" s="1368" t="s">
        <v>547</v>
      </c>
      <c r="C1" s="1369" t="s">
        <v>1159</v>
      </c>
      <c r="D1" s="1369"/>
      <c r="E1" s="361"/>
      <c r="F1" s="361"/>
      <c r="G1" s="1370"/>
      <c r="H1" s="361"/>
      <c r="I1" s="361"/>
      <c r="J1" s="361"/>
      <c r="K1" s="361"/>
      <c r="L1" s="361"/>
      <c r="M1" s="361"/>
      <c r="N1" s="361"/>
      <c r="O1" s="361"/>
      <c r="P1" s="361"/>
      <c r="Q1" s="361"/>
      <c r="R1" s="361"/>
      <c r="S1" s="361"/>
      <c r="T1" s="361"/>
      <c r="U1" s="26"/>
      <c r="V1" s="26"/>
      <c r="W1" s="26"/>
      <c r="X1" s="26"/>
      <c r="Y1" s="26"/>
      <c r="Z1" s="26"/>
      <c r="AA1" s="26"/>
      <c r="AB1" s="26"/>
      <c r="AC1" s="26"/>
      <c r="AD1" s="26"/>
      <c r="AE1" s="26"/>
      <c r="AF1" s="26"/>
      <c r="AG1" s="26"/>
      <c r="AH1" s="26"/>
      <c r="AI1" s="26"/>
      <c r="AJ1" s="26"/>
      <c r="AK1" s="26"/>
      <c r="AL1" s="26"/>
      <c r="AM1" s="26"/>
      <c r="AN1" s="26"/>
      <c r="AO1" s="26"/>
      <c r="AP1" s="26"/>
      <c r="AQ1" s="26"/>
    </row>
    <row r="2" spans="1:43" ht="20.100000000000001" customHeight="1">
      <c r="A2" s="26"/>
      <c r="B2" s="26"/>
      <c r="C2" s="26"/>
      <c r="D2" s="26"/>
      <c r="E2" s="26"/>
      <c r="F2" s="26"/>
      <c r="G2" s="26"/>
      <c r="H2" s="26"/>
      <c r="I2" s="26"/>
      <c r="J2" s="26"/>
      <c r="K2" s="26"/>
      <c r="L2" s="26"/>
      <c r="M2" s="26"/>
      <c r="N2" s="26"/>
      <c r="O2" s="26"/>
      <c r="P2" s="26"/>
      <c r="Q2" s="26"/>
      <c r="R2" s="26"/>
      <c r="S2" s="26"/>
      <c r="T2" s="26"/>
      <c r="U2" s="26"/>
      <c r="V2" s="26"/>
      <c r="W2" s="26"/>
      <c r="X2" s="26"/>
      <c r="Y2" s="26"/>
      <c r="Z2" s="26"/>
      <c r="AA2" s="26"/>
      <c r="AB2" s="26"/>
      <c r="AC2" s="26"/>
      <c r="AD2" s="26"/>
      <c r="AE2" s="26"/>
      <c r="AF2" s="26"/>
      <c r="AG2" s="26"/>
      <c r="AH2" s="26"/>
      <c r="AI2" s="26"/>
      <c r="AJ2" s="26"/>
      <c r="AK2" s="26"/>
      <c r="AL2" s="26"/>
      <c r="AM2" s="26"/>
      <c r="AN2" s="26"/>
      <c r="AO2" s="26"/>
      <c r="AP2" s="26"/>
      <c r="AQ2" s="26"/>
    </row>
    <row r="3" spans="1:43" ht="20.100000000000001" customHeight="1">
      <c r="A3" s="26"/>
      <c r="B3" s="26"/>
      <c r="C3" s="26"/>
      <c r="D3" s="26"/>
      <c r="E3" s="26"/>
      <c r="F3" s="26"/>
      <c r="G3" s="26"/>
      <c r="H3" s="26"/>
      <c r="I3" s="26"/>
      <c r="J3" s="26"/>
      <c r="K3" s="26"/>
      <c r="L3" s="26"/>
      <c r="M3" s="26"/>
      <c r="N3" s="26"/>
      <c r="O3" s="26"/>
      <c r="P3" s="26"/>
      <c r="Q3" s="26"/>
      <c r="R3" s="26"/>
      <c r="S3" s="26"/>
      <c r="T3" s="26"/>
      <c r="U3" s="26"/>
      <c r="V3" s="26"/>
      <c r="W3" s="26"/>
      <c r="X3" s="26"/>
      <c r="Y3" s="26"/>
      <c r="Z3" s="26"/>
      <c r="AA3" s="26"/>
      <c r="AB3" s="26"/>
      <c r="AC3" s="26"/>
      <c r="AD3" s="26"/>
      <c r="AE3" s="26"/>
      <c r="AF3" s="26"/>
      <c r="AG3" s="26"/>
      <c r="AH3" s="26"/>
      <c r="AI3" s="26"/>
      <c r="AJ3" s="26"/>
      <c r="AK3" s="26"/>
      <c r="AL3" s="26"/>
      <c r="AM3" s="26"/>
      <c r="AN3" s="26"/>
      <c r="AO3" s="26"/>
      <c r="AP3" s="26"/>
      <c r="AQ3" s="26"/>
    </row>
    <row r="4" spans="1:43" ht="20.100000000000001" customHeight="1">
      <c r="A4" s="94"/>
      <c r="B4" s="1371" t="s">
        <v>1156</v>
      </c>
      <c r="C4" s="26"/>
      <c r="D4" s="26"/>
      <c r="E4" s="26"/>
      <c r="F4" s="26"/>
      <c r="G4" s="26"/>
      <c r="H4" s="26"/>
      <c r="I4" s="26"/>
      <c r="J4" s="26"/>
      <c r="K4" s="26"/>
      <c r="L4" s="26"/>
      <c r="M4" s="26"/>
      <c r="N4" s="26"/>
      <c r="O4" s="26"/>
      <c r="P4" s="26"/>
      <c r="Q4" s="26"/>
      <c r="R4" s="26"/>
      <c r="S4" s="26"/>
      <c r="T4" s="26"/>
      <c r="U4" s="26"/>
      <c r="V4" s="26"/>
      <c r="W4" s="26"/>
      <c r="X4" s="26"/>
      <c r="Y4" s="26"/>
      <c r="Z4" s="26"/>
      <c r="AA4" s="26"/>
      <c r="AB4" s="26"/>
      <c r="AC4" s="26"/>
      <c r="AD4" s="26"/>
      <c r="AE4" s="26"/>
      <c r="AF4" s="26"/>
      <c r="AG4" s="26"/>
      <c r="AH4" s="26"/>
      <c r="AI4" s="26"/>
      <c r="AJ4" s="26"/>
      <c r="AK4" s="26"/>
      <c r="AL4" s="26"/>
      <c r="AM4" s="26"/>
      <c r="AN4" s="26"/>
      <c r="AO4" s="26"/>
      <c r="AP4" s="26"/>
      <c r="AQ4" s="26"/>
    </row>
  </sheetData>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42914" r:id="rId4" name="Button 2">
              <controlPr defaultSize="0" print="0" autoFill="0" autoPict="0" macro="[0]!Result_Regression">
                <anchor moveWithCells="1" sizeWithCells="1">
                  <from>
                    <xdr:col>1</xdr:col>
                    <xdr:colOff>762000</xdr:colOff>
                    <xdr:row>1</xdr:row>
                    <xdr:rowOff>85725</xdr:rowOff>
                  </from>
                  <to>
                    <xdr:col>4</xdr:col>
                    <xdr:colOff>895350</xdr:colOff>
                    <xdr:row>2</xdr:row>
                    <xdr:rowOff>200025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4"/>
  <dimension ref="A1:AP311"/>
  <sheetViews>
    <sheetView zoomScale="85" zoomScaleNormal="85" workbookViewId="0">
      <selection activeCell="AP9" sqref="AP9"/>
    </sheetView>
  </sheetViews>
  <sheetFormatPr defaultRowHeight="12.75"/>
  <cols>
    <col min="1" max="1" width="11" customWidth="1"/>
    <col min="2" max="2" width="15.28515625" bestFit="1" customWidth="1"/>
    <col min="3" max="3" width="9.7109375" customWidth="1"/>
    <col min="4" max="4" width="13.42578125" customWidth="1"/>
    <col min="5" max="5" width="8" customWidth="1"/>
    <col min="6" max="6" width="15.140625" bestFit="1" customWidth="1"/>
    <col min="7" max="7" width="9.7109375" customWidth="1"/>
    <col min="18" max="19" width="9.42578125" bestFit="1" customWidth="1"/>
    <col min="20" max="21" width="9.28515625" bestFit="1" customWidth="1"/>
  </cols>
  <sheetData>
    <row r="1" spans="1:42" ht="24" customHeight="1">
      <c r="A1" s="361"/>
      <c r="B1" s="361"/>
      <c r="C1" s="361" t="s">
        <v>12</v>
      </c>
      <c r="D1" s="361"/>
      <c r="E1" s="361"/>
      <c r="F1" s="361"/>
      <c r="G1" s="361"/>
      <c r="H1" s="361"/>
      <c r="I1" s="361"/>
      <c r="J1" s="361"/>
      <c r="K1" s="361"/>
      <c r="L1" s="361"/>
      <c r="M1" s="361"/>
      <c r="N1" s="361"/>
      <c r="O1" s="361"/>
      <c r="P1" s="361"/>
      <c r="Q1" s="361"/>
      <c r="R1" s="361"/>
      <c r="S1" s="361"/>
      <c r="T1" s="361"/>
      <c r="U1" s="361"/>
      <c r="V1" s="361"/>
      <c r="W1" s="361"/>
      <c r="X1" s="361"/>
      <c r="Y1" s="361"/>
      <c r="Z1" s="361"/>
      <c r="AA1" s="361"/>
      <c r="AB1" s="361"/>
      <c r="AC1" s="361"/>
      <c r="AD1" s="361"/>
      <c r="AE1" s="361"/>
      <c r="AF1" s="361"/>
      <c r="AG1" s="361"/>
      <c r="AH1" s="361"/>
      <c r="AI1" s="361"/>
      <c r="AJ1" s="361"/>
      <c r="AK1" s="361"/>
      <c r="AL1" s="361"/>
      <c r="AM1" s="361"/>
      <c r="AN1" s="361"/>
      <c r="AO1" s="361"/>
      <c r="AP1" s="361"/>
    </row>
    <row r="2" spans="1:42" ht="18" customHeight="1">
      <c r="A2" s="274" t="s">
        <v>5</v>
      </c>
      <c r="B2" s="275"/>
      <c r="C2" s="275"/>
      <c r="D2" s="275"/>
      <c r="E2" s="276"/>
      <c r="F2" s="275"/>
      <c r="G2" s="275"/>
      <c r="H2" s="156"/>
      <c r="I2" s="156"/>
      <c r="J2" s="156"/>
      <c r="K2" s="156"/>
      <c r="L2" s="156"/>
      <c r="M2" s="156"/>
      <c r="N2" s="156"/>
      <c r="O2" s="156"/>
      <c r="P2" s="168"/>
      <c r="Q2" s="26"/>
      <c r="R2" s="26"/>
      <c r="S2" s="26"/>
      <c r="T2" s="26"/>
      <c r="U2" s="26"/>
      <c r="V2" s="26"/>
      <c r="W2" s="26"/>
      <c r="X2" s="26"/>
      <c r="Y2" s="26"/>
      <c r="Z2" s="26"/>
      <c r="AA2" s="26"/>
      <c r="AB2" s="26"/>
      <c r="AC2" s="26"/>
      <c r="AD2" s="26"/>
      <c r="AE2" s="26"/>
      <c r="AF2" s="26"/>
      <c r="AG2" s="26"/>
      <c r="AH2" s="26"/>
      <c r="AI2" s="26"/>
      <c r="AJ2" s="26"/>
      <c r="AK2" s="26"/>
      <c r="AL2" s="26"/>
      <c r="AM2" s="26"/>
      <c r="AN2" s="26"/>
      <c r="AO2" s="26"/>
      <c r="AP2" s="26"/>
    </row>
    <row r="3" spans="1:42" s="8" customFormat="1" ht="18" customHeight="1">
      <c r="A3" s="169" t="b">
        <v>1</v>
      </c>
      <c r="B3" s="170" t="b">
        <v>0</v>
      </c>
      <c r="C3" s="1119" t="str">
        <f>IF(Simulation!B41="","No Data","")</f>
        <v/>
      </c>
      <c r="D3" s="171" t="b">
        <v>0</v>
      </c>
      <c r="E3" s="171"/>
      <c r="F3" s="171" t="b">
        <v>0</v>
      </c>
      <c r="G3" s="1119" t="str">
        <f>IF(Simulation!D41="","No Data","")</f>
        <v>No Data</v>
      </c>
      <c r="H3" s="156"/>
      <c r="I3" s="172" t="s">
        <v>749</v>
      </c>
      <c r="J3" s="156"/>
      <c r="K3" s="156"/>
      <c r="L3" s="156"/>
      <c r="M3" s="156"/>
      <c r="N3" s="156"/>
      <c r="O3" s="156"/>
      <c r="P3" s="168"/>
      <c r="Q3" s="26"/>
      <c r="R3" s="26"/>
      <c r="S3" s="26"/>
      <c r="T3" s="26"/>
      <c r="U3" s="26"/>
      <c r="V3" s="26"/>
      <c r="W3" s="26"/>
      <c r="X3" s="26"/>
      <c r="Y3" s="26"/>
      <c r="Z3" s="26"/>
      <c r="AA3" s="26"/>
      <c r="AB3" s="26"/>
      <c r="AC3" s="26"/>
      <c r="AD3" s="26"/>
      <c r="AE3" s="26"/>
      <c r="AF3" s="26"/>
      <c r="AG3" s="26"/>
      <c r="AH3" s="26"/>
      <c r="AI3" s="26"/>
      <c r="AJ3" s="26"/>
      <c r="AK3" s="26"/>
      <c r="AL3" s="26"/>
      <c r="AM3" s="26"/>
      <c r="AN3" s="26"/>
      <c r="AO3" s="26"/>
      <c r="AP3" s="26"/>
    </row>
    <row r="4" spans="1:42" s="8" customFormat="1" ht="18" customHeight="1">
      <c r="A4" s="173" t="b">
        <v>1</v>
      </c>
      <c r="B4" s="170" t="b">
        <v>0</v>
      </c>
      <c r="C4" s="1119" t="str">
        <f>IF(Evaluation!B41="","No Data","")</f>
        <v/>
      </c>
      <c r="D4" s="171" t="b">
        <v>0</v>
      </c>
      <c r="E4" s="171"/>
      <c r="F4" s="171" t="b">
        <v>1</v>
      </c>
      <c r="G4" s="1119" t="str">
        <f>IF(Evaluation!C41="","No Data","")</f>
        <v/>
      </c>
      <c r="H4" s="156"/>
      <c r="I4" s="156" t="s">
        <v>2</v>
      </c>
      <c r="J4" s="156"/>
      <c r="K4" s="156"/>
      <c r="L4" s="156"/>
      <c r="M4" s="156"/>
      <c r="N4" s="156" t="s">
        <v>3</v>
      </c>
      <c r="O4" s="156"/>
      <c r="P4" s="168"/>
      <c r="Q4" s="26"/>
      <c r="R4" s="26"/>
      <c r="S4" s="26"/>
      <c r="T4" s="26"/>
      <c r="U4" s="26"/>
      <c r="V4" s="26"/>
      <c r="W4" s="26"/>
      <c r="X4" s="26"/>
      <c r="Y4" s="26"/>
      <c r="Z4" s="26"/>
      <c r="AA4" s="26"/>
      <c r="AB4" s="26"/>
      <c r="AC4" s="26"/>
      <c r="AD4" s="26"/>
      <c r="AE4" s="26"/>
      <c r="AF4" s="26"/>
      <c r="AG4" s="26"/>
      <c r="AH4" s="26"/>
      <c r="AI4" s="26"/>
      <c r="AJ4" s="26"/>
      <c r="AK4" s="26"/>
      <c r="AL4" s="26"/>
      <c r="AM4" s="26"/>
      <c r="AN4" s="26"/>
      <c r="AO4" s="26"/>
      <c r="AP4" s="26"/>
    </row>
    <row r="5" spans="1:42" s="8" customFormat="1" ht="18" customHeight="1">
      <c r="A5" s="173" t="b">
        <v>1</v>
      </c>
      <c r="B5" s="170" t="b">
        <v>0</v>
      </c>
      <c r="C5" s="1119" t="str">
        <f>IF(Regression!B41="","No Data","")</f>
        <v/>
      </c>
      <c r="D5" s="171" t="b">
        <v>0</v>
      </c>
      <c r="E5" s="171"/>
      <c r="F5" s="171" t="b">
        <v>0</v>
      </c>
      <c r="G5" s="1119" t="str">
        <f>IF(Regression!C41="","No Data","")</f>
        <v/>
      </c>
      <c r="H5" s="156"/>
      <c r="I5" s="156" t="s">
        <v>4</v>
      </c>
      <c r="J5" s="156"/>
      <c r="K5" s="156"/>
      <c r="L5" s="156"/>
      <c r="M5" s="156"/>
      <c r="N5" s="156"/>
      <c r="O5" s="156"/>
      <c r="P5" s="168"/>
      <c r="Q5" s="26"/>
      <c r="R5" s="26"/>
      <c r="S5" s="26"/>
      <c r="T5" s="26"/>
      <c r="U5" s="26"/>
      <c r="V5" s="26"/>
      <c r="W5" s="26"/>
      <c r="X5" s="26"/>
      <c r="Y5" s="26"/>
      <c r="Z5" s="26"/>
      <c r="AA5" s="26"/>
      <c r="AB5" s="26"/>
      <c r="AC5" s="26"/>
      <c r="AD5" s="26"/>
      <c r="AE5" s="26"/>
      <c r="AF5" s="26"/>
      <c r="AG5" s="26"/>
      <c r="AH5" s="26"/>
      <c r="AI5" s="26"/>
      <c r="AJ5" s="26"/>
      <c r="AK5" s="26"/>
      <c r="AL5" s="26"/>
      <c r="AM5" s="26"/>
      <c r="AN5" s="26"/>
      <c r="AO5" s="26"/>
      <c r="AP5" s="26"/>
    </row>
    <row r="6" spans="1:42" s="8" customFormat="1" ht="13.5" customHeight="1" thickBot="1">
      <c r="A6" s="174"/>
      <c r="B6" s="175"/>
      <c r="C6" s="175"/>
      <c r="D6" s="175"/>
      <c r="E6" s="175"/>
      <c r="F6" s="175"/>
      <c r="G6" s="175"/>
      <c r="H6" s="176"/>
      <c r="I6" s="176"/>
      <c r="J6" s="176"/>
      <c r="K6" s="176"/>
      <c r="L6" s="176"/>
      <c r="M6" s="176"/>
      <c r="N6" s="176"/>
      <c r="O6" s="176"/>
      <c r="P6" s="177"/>
      <c r="Q6" s="26"/>
      <c r="R6" s="26"/>
      <c r="S6" s="26"/>
      <c r="T6" s="26"/>
      <c r="U6" s="26"/>
      <c r="V6" s="26"/>
      <c r="W6" s="26"/>
      <c r="X6" s="26"/>
      <c r="Y6" s="26"/>
      <c r="Z6" s="26"/>
      <c r="AA6" s="26"/>
      <c r="AB6" s="26"/>
      <c r="AC6" s="26"/>
      <c r="AD6" s="26"/>
      <c r="AE6" s="26"/>
      <c r="AF6" s="26"/>
      <c r="AG6" s="26"/>
      <c r="AH6" s="26"/>
      <c r="AI6" s="26"/>
      <c r="AJ6" s="26"/>
      <c r="AK6" s="26"/>
      <c r="AL6" s="26"/>
      <c r="AM6" s="26"/>
      <c r="AN6" s="26"/>
      <c r="AO6" s="26"/>
      <c r="AP6" s="26"/>
    </row>
    <row r="7" spans="1:42" s="8" customFormat="1" ht="13.5" thickTop="1">
      <c r="A7" s="26"/>
      <c r="B7" s="26"/>
      <c r="C7" s="26"/>
      <c r="D7" s="26"/>
      <c r="E7" s="26"/>
      <c r="F7" s="26"/>
      <c r="G7" s="26"/>
      <c r="H7" s="156"/>
      <c r="I7" s="26"/>
      <c r="J7" s="26"/>
      <c r="K7" s="26"/>
      <c r="L7" s="26"/>
      <c r="M7" s="26"/>
      <c r="N7" s="26"/>
      <c r="O7" s="26"/>
      <c r="P7" s="26"/>
      <c r="Q7" s="26"/>
      <c r="R7" s="26"/>
      <c r="S7" s="26"/>
      <c r="T7" s="26"/>
      <c r="U7" s="26"/>
      <c r="V7" s="26"/>
      <c r="W7" s="26"/>
      <c r="X7" s="26"/>
      <c r="Y7" s="26"/>
      <c r="Z7" s="26"/>
      <c r="AA7" s="26"/>
      <c r="AB7" s="26"/>
      <c r="AC7" s="26"/>
      <c r="AD7" s="26"/>
      <c r="AE7" s="26"/>
      <c r="AF7" s="26"/>
      <c r="AG7" s="26"/>
      <c r="AH7" s="26"/>
      <c r="AI7" s="26"/>
      <c r="AJ7" s="26"/>
      <c r="AK7" s="26"/>
      <c r="AL7" s="26"/>
      <c r="AM7" s="26"/>
      <c r="AN7" s="26"/>
      <c r="AO7" s="26"/>
      <c r="AP7" s="26"/>
    </row>
    <row r="8" spans="1:42">
      <c r="A8" s="26"/>
      <c r="B8" s="26"/>
      <c r="C8" s="26"/>
      <c r="D8" s="26"/>
      <c r="E8" s="26"/>
      <c r="F8" s="26"/>
      <c r="G8" s="26"/>
      <c r="H8" s="26"/>
      <c r="I8" s="26"/>
      <c r="J8" s="26"/>
      <c r="K8" s="26"/>
      <c r="L8" s="26"/>
      <c r="M8" s="26"/>
      <c r="N8" s="26"/>
      <c r="O8" s="26"/>
      <c r="P8" s="26"/>
      <c r="Q8" s="26"/>
      <c r="R8" s="26"/>
      <c r="S8" s="26"/>
      <c r="T8" s="26"/>
      <c r="U8" s="26"/>
      <c r="V8" s="26"/>
      <c r="W8" s="26"/>
      <c r="X8" s="26"/>
      <c r="Y8" s="26"/>
      <c r="Z8" s="26"/>
      <c r="AA8" s="26"/>
      <c r="AB8" s="26"/>
      <c r="AC8" s="26"/>
      <c r="AD8" s="26"/>
      <c r="AE8" s="26"/>
      <c r="AF8" s="26"/>
      <c r="AG8" s="26"/>
      <c r="AH8" s="26"/>
      <c r="AI8" s="26"/>
      <c r="AJ8" s="26"/>
      <c r="AK8" s="26"/>
      <c r="AL8" s="26"/>
      <c r="AM8" s="26"/>
      <c r="AN8" s="26"/>
      <c r="AO8" s="26"/>
      <c r="AP8" s="26"/>
    </row>
    <row r="9" spans="1:42">
      <c r="A9" s="26"/>
      <c r="B9" s="26"/>
      <c r="C9" s="26"/>
      <c r="D9" s="26"/>
      <c r="E9" s="26"/>
      <c r="F9" s="26"/>
      <c r="G9" s="26"/>
      <c r="H9" s="26"/>
      <c r="I9" s="26"/>
      <c r="J9" s="26"/>
      <c r="K9" s="26"/>
      <c r="L9" s="26"/>
      <c r="M9" s="26"/>
      <c r="N9" s="26"/>
      <c r="O9" s="26"/>
      <c r="P9" s="26"/>
      <c r="Q9" s="26"/>
      <c r="R9" s="357"/>
      <c r="S9" s="158" t="s">
        <v>6</v>
      </c>
      <c r="T9" s="158"/>
      <c r="U9" s="158"/>
      <c r="V9" s="158" t="s">
        <v>7</v>
      </c>
      <c r="W9" s="158"/>
      <c r="X9" s="158"/>
      <c r="Y9" s="158"/>
      <c r="Z9" s="158"/>
      <c r="AA9" s="158" t="s">
        <v>8</v>
      </c>
      <c r="AB9" s="158"/>
      <c r="AC9" s="158"/>
      <c r="AD9" s="358" t="s">
        <v>9</v>
      </c>
      <c r="AE9" s="158"/>
      <c r="AF9" s="158"/>
      <c r="AG9" s="158"/>
      <c r="AH9" s="158"/>
      <c r="AI9" s="158" t="s">
        <v>10</v>
      </c>
      <c r="AJ9" s="158"/>
      <c r="AK9" s="158"/>
      <c r="AL9" s="158"/>
      <c r="AM9" s="158" t="s">
        <v>11</v>
      </c>
      <c r="AN9" s="158"/>
      <c r="AO9" s="358"/>
      <c r="AP9" s="26"/>
    </row>
    <row r="10" spans="1:42">
      <c r="A10" s="26"/>
      <c r="B10" s="26"/>
      <c r="C10" s="26"/>
      <c r="D10" s="26"/>
      <c r="E10" s="26"/>
      <c r="F10" s="26"/>
      <c r="G10" s="26"/>
      <c r="H10" s="26"/>
      <c r="I10" s="26"/>
      <c r="J10" s="26"/>
      <c r="K10" s="26"/>
      <c r="L10" s="26"/>
      <c r="M10" s="26"/>
      <c r="N10" s="26"/>
      <c r="O10" s="26"/>
      <c r="P10" s="26"/>
      <c r="Q10" s="26"/>
      <c r="R10" s="359" t="s">
        <v>439</v>
      </c>
      <c r="S10" s="20" t="s">
        <v>331</v>
      </c>
      <c r="T10" s="20" t="s">
        <v>439</v>
      </c>
      <c r="U10" s="20" t="s">
        <v>305</v>
      </c>
      <c r="V10" s="359" t="s">
        <v>439</v>
      </c>
      <c r="W10" s="20" t="s">
        <v>331</v>
      </c>
      <c r="X10" s="20" t="s">
        <v>439</v>
      </c>
      <c r="Y10" s="20" t="s">
        <v>305</v>
      </c>
      <c r="Z10" s="359" t="s">
        <v>439</v>
      </c>
      <c r="AA10" s="20" t="s">
        <v>331</v>
      </c>
      <c r="AB10" s="20" t="s">
        <v>439</v>
      </c>
      <c r="AC10" s="20" t="s">
        <v>305</v>
      </c>
      <c r="AD10" s="359" t="s">
        <v>439</v>
      </c>
      <c r="AE10" s="20" t="s">
        <v>331</v>
      </c>
      <c r="AF10" s="20" t="s">
        <v>439</v>
      </c>
      <c r="AG10" s="20" t="s">
        <v>305</v>
      </c>
      <c r="AH10" s="359" t="s">
        <v>439</v>
      </c>
      <c r="AI10" s="20" t="s">
        <v>331</v>
      </c>
      <c r="AJ10" s="20" t="s">
        <v>439</v>
      </c>
      <c r="AK10" s="20" t="s">
        <v>305</v>
      </c>
      <c r="AL10" s="359" t="s">
        <v>439</v>
      </c>
      <c r="AM10" s="20" t="s">
        <v>331</v>
      </c>
      <c r="AN10" s="20" t="s">
        <v>439</v>
      </c>
      <c r="AO10" s="360" t="s">
        <v>305</v>
      </c>
      <c r="AP10" s="26"/>
    </row>
    <row r="11" spans="1:42">
      <c r="A11" s="26"/>
      <c r="B11" s="26"/>
      <c r="C11" s="26"/>
      <c r="D11" s="26"/>
      <c r="E11" s="26"/>
      <c r="F11" s="26"/>
      <c r="G11" s="26"/>
      <c r="H11" s="26"/>
      <c r="I11" s="26"/>
      <c r="J11" s="26"/>
      <c r="K11" s="26"/>
      <c r="L11" s="26"/>
      <c r="M11" s="26"/>
      <c r="N11" s="26"/>
      <c r="O11" s="26"/>
      <c r="P11" s="26"/>
      <c r="Q11" s="26"/>
      <c r="R11" s="17">
        <v>0</v>
      </c>
      <c r="S11" s="17">
        <v>1.8059327094815671</v>
      </c>
      <c r="T11" s="17"/>
      <c r="U11" s="17"/>
      <c r="V11" s="17"/>
      <c r="W11" s="17"/>
      <c r="X11" s="17"/>
      <c r="Y11" s="17"/>
      <c r="Z11" s="17">
        <v>0</v>
      </c>
      <c r="AA11" s="17">
        <v>2.2653477877937256</v>
      </c>
      <c r="AB11" s="17"/>
      <c r="AC11" s="17"/>
      <c r="AD11" s="17"/>
      <c r="AE11" s="17"/>
      <c r="AF11" s="17"/>
      <c r="AG11" s="17"/>
      <c r="AH11" s="17">
        <v>0</v>
      </c>
      <c r="AI11" s="17">
        <v>2.2808282657451926</v>
      </c>
      <c r="AJ11" s="17"/>
      <c r="AK11" s="17"/>
      <c r="AL11" s="17"/>
      <c r="AM11" s="17"/>
      <c r="AN11" s="17"/>
      <c r="AO11" s="17"/>
      <c r="AP11" s="26"/>
    </row>
    <row r="12" spans="1:42">
      <c r="A12" s="26"/>
      <c r="B12" s="26"/>
      <c r="C12" s="26"/>
      <c r="D12" s="26"/>
      <c r="E12" s="26"/>
      <c r="F12" s="26"/>
      <c r="G12" s="26"/>
      <c r="H12" s="26"/>
      <c r="I12" s="26"/>
      <c r="J12" s="26"/>
      <c r="K12" s="26"/>
      <c r="L12" s="26"/>
      <c r="M12" s="26"/>
      <c r="N12" s="26"/>
      <c r="O12" s="26"/>
      <c r="P12" s="26"/>
      <c r="Q12" s="26"/>
      <c r="R12" s="17">
        <v>2.1570917087956332</v>
      </c>
      <c r="S12" s="17">
        <v>2.0204353218153117</v>
      </c>
      <c r="T12" s="17"/>
      <c r="U12" s="17"/>
      <c r="V12" s="17"/>
      <c r="W12" s="17"/>
      <c r="X12" s="17"/>
      <c r="Y12" s="17"/>
      <c r="Z12" s="17">
        <v>2.498869968985673</v>
      </c>
      <c r="AA12" s="17">
        <v>2.3861369323544204</v>
      </c>
      <c r="AB12" s="17"/>
      <c r="AC12" s="17"/>
      <c r="AD12" s="17"/>
      <c r="AE12" s="17"/>
      <c r="AF12" s="17">
        <v>8.3333333326057371E-2</v>
      </c>
      <c r="AG12" s="17">
        <v>1.7520986416828761E-2</v>
      </c>
      <c r="AH12" s="17">
        <v>0.89688894076971337</v>
      </c>
      <c r="AI12" s="17">
        <v>2.4714166043065489</v>
      </c>
      <c r="AJ12" s="17"/>
      <c r="AK12" s="17"/>
      <c r="AL12" s="17"/>
      <c r="AM12" s="17"/>
      <c r="AN12" s="17"/>
      <c r="AO12" s="17"/>
      <c r="AP12" s="26"/>
    </row>
    <row r="13" spans="1:42">
      <c r="A13" s="26"/>
      <c r="B13" s="26"/>
      <c r="C13" s="26"/>
      <c r="D13" s="26"/>
      <c r="E13" s="26"/>
      <c r="F13" s="26"/>
      <c r="G13" s="26"/>
      <c r="H13" s="26"/>
      <c r="I13" s="26"/>
      <c r="J13" s="26"/>
      <c r="K13" s="26"/>
      <c r="L13" s="26"/>
      <c r="M13" s="26"/>
      <c r="N13" s="26"/>
      <c r="O13" s="26"/>
      <c r="P13" s="26"/>
      <c r="Q13" s="26"/>
      <c r="R13" s="17">
        <v>4.0960384285426699</v>
      </c>
      <c r="S13" s="17">
        <v>2.2349379341490567</v>
      </c>
      <c r="T13" s="17"/>
      <c r="U13" s="17"/>
      <c r="V13" s="17"/>
      <c r="W13" s="17"/>
      <c r="X13" s="17"/>
      <c r="Y13" s="17"/>
      <c r="Z13" s="17">
        <v>4.6176066432963125</v>
      </c>
      <c r="AA13" s="17">
        <v>2.6641118475981056</v>
      </c>
      <c r="AB13" s="17"/>
      <c r="AC13" s="17"/>
      <c r="AD13" s="17"/>
      <c r="AE13" s="17"/>
      <c r="AF13" s="17">
        <v>0.24999999997817213</v>
      </c>
      <c r="AG13" s="17">
        <v>1.8362835528923274E-2</v>
      </c>
      <c r="AH13" s="17">
        <v>1.8641394926817156</v>
      </c>
      <c r="AI13" s="17">
        <v>2.662466105993837</v>
      </c>
      <c r="AJ13" s="17"/>
      <c r="AK13" s="17"/>
      <c r="AL13" s="17"/>
      <c r="AM13" s="17"/>
      <c r="AN13" s="17"/>
      <c r="AO13" s="17"/>
      <c r="AP13" s="26"/>
    </row>
    <row r="14" spans="1:42">
      <c r="A14" s="26"/>
      <c r="B14" s="26"/>
      <c r="C14" s="26"/>
      <c r="D14" s="26"/>
      <c r="E14" s="26"/>
      <c r="F14" s="26"/>
      <c r="G14" s="26"/>
      <c r="H14" s="26"/>
      <c r="I14" s="26"/>
      <c r="J14" s="26"/>
      <c r="K14" s="26"/>
      <c r="L14" s="26"/>
      <c r="M14" s="26"/>
      <c r="N14" s="26"/>
      <c r="O14" s="26"/>
      <c r="P14" s="26"/>
      <c r="Q14" s="26"/>
      <c r="R14" s="17">
        <v>5.7539623652701266</v>
      </c>
      <c r="S14" s="17">
        <v>2.4494405464828013</v>
      </c>
      <c r="T14" s="17"/>
      <c r="U14" s="17"/>
      <c r="V14" s="17"/>
      <c r="W14" s="17"/>
      <c r="X14" s="17"/>
      <c r="Y14" s="17"/>
      <c r="Z14" s="17">
        <v>6.2783207700704224</v>
      </c>
      <c r="AA14" s="17">
        <v>2.7841898506693541</v>
      </c>
      <c r="AB14" s="17"/>
      <c r="AC14" s="17"/>
      <c r="AD14" s="17"/>
      <c r="AE14" s="17"/>
      <c r="AF14" s="17">
        <v>0.41666666663028684</v>
      </c>
      <c r="AG14" s="17">
        <v>2.0046533753117626E-2</v>
      </c>
      <c r="AH14" s="17">
        <v>2.9605798234115355</v>
      </c>
      <c r="AI14" s="17">
        <v>2.8605852687023581</v>
      </c>
      <c r="AJ14" s="17"/>
      <c r="AK14" s="17"/>
      <c r="AL14" s="17"/>
      <c r="AM14" s="17"/>
      <c r="AN14" s="17"/>
      <c r="AO14" s="17"/>
      <c r="AP14" s="26"/>
    </row>
    <row r="15" spans="1:42">
      <c r="A15" s="26"/>
      <c r="B15" s="26"/>
      <c r="C15" s="26"/>
      <c r="D15" s="26"/>
      <c r="E15" s="26"/>
      <c r="F15" s="26"/>
      <c r="G15" s="26"/>
      <c r="H15" s="26"/>
      <c r="I15" s="26"/>
      <c r="J15" s="26"/>
      <c r="K15" s="26"/>
      <c r="L15" s="26"/>
      <c r="M15" s="26"/>
      <c r="N15" s="26"/>
      <c r="O15" s="26"/>
      <c r="P15" s="26"/>
      <c r="Q15" s="26"/>
      <c r="R15" s="17">
        <v>7.0770850390545093</v>
      </c>
      <c r="S15" s="17">
        <v>2.6639431588165463</v>
      </c>
      <c r="T15" s="17"/>
      <c r="U15" s="17"/>
      <c r="V15" s="17"/>
      <c r="W15" s="17"/>
      <c r="X15" s="17"/>
      <c r="Y15" s="17"/>
      <c r="Z15" s="17">
        <v>7.4992138441302814</v>
      </c>
      <c r="AA15" s="17">
        <v>3.0585092287696898</v>
      </c>
      <c r="AB15" s="17"/>
      <c r="AC15" s="17"/>
      <c r="AD15" s="17"/>
      <c r="AE15" s="17"/>
      <c r="AF15" s="17">
        <v>0.58333333328240156</v>
      </c>
      <c r="AG15" s="17">
        <v>2.2572081089406497E-2</v>
      </c>
      <c r="AH15" s="17">
        <v>4.1980953348684125</v>
      </c>
      <c r="AI15" s="17">
        <v>3.0949879734255372</v>
      </c>
      <c r="AJ15" s="17"/>
      <c r="AK15" s="17"/>
      <c r="AL15" s="17"/>
      <c r="AM15" s="17"/>
      <c r="AN15" s="17"/>
      <c r="AO15" s="17"/>
      <c r="AP15" s="26"/>
    </row>
    <row r="16" spans="1:42">
      <c r="A16" s="26"/>
      <c r="B16" s="26"/>
      <c r="C16" s="26"/>
      <c r="D16" s="26"/>
      <c r="E16" s="26"/>
      <c r="F16" s="26"/>
      <c r="G16" s="26"/>
      <c r="H16" s="26"/>
      <c r="I16" s="26"/>
      <c r="J16" s="26"/>
      <c r="K16" s="26"/>
      <c r="L16" s="26"/>
      <c r="M16" s="26"/>
      <c r="N16" s="26"/>
      <c r="O16" s="26"/>
      <c r="P16" s="26"/>
      <c r="Q16" s="26"/>
      <c r="R16" s="17">
        <v>8.060804101114627</v>
      </c>
      <c r="S16" s="17">
        <v>2.8784457711502909</v>
      </c>
      <c r="T16" s="17"/>
      <c r="U16" s="17"/>
      <c r="V16" s="17"/>
      <c r="W16" s="17"/>
      <c r="X16" s="17"/>
      <c r="Y16" s="17"/>
      <c r="Z16" s="17">
        <v>8.3545435321866535</v>
      </c>
      <c r="AA16" s="17">
        <v>3.3024845674820242</v>
      </c>
      <c r="AB16" s="17"/>
      <c r="AC16" s="17"/>
      <c r="AD16" s="17"/>
      <c r="AE16" s="17"/>
      <c r="AF16" s="17">
        <v>0.74999999993451638</v>
      </c>
      <c r="AG16" s="17">
        <v>2.5939477537792542E-2</v>
      </c>
      <c r="AH16" s="17">
        <v>5.5483564428868704</v>
      </c>
      <c r="AI16" s="17">
        <v>3.2735308732353152</v>
      </c>
      <c r="AJ16" s="17"/>
      <c r="AK16" s="17"/>
      <c r="AL16" s="17"/>
      <c r="AM16" s="17"/>
      <c r="AN16" s="17"/>
      <c r="AO16" s="17"/>
      <c r="AP16" s="26"/>
    </row>
    <row r="17" spans="1:42">
      <c r="A17" s="26"/>
      <c r="B17" s="26"/>
      <c r="C17" s="26"/>
      <c r="D17" s="26"/>
      <c r="E17" s="26"/>
      <c r="F17" s="26"/>
      <c r="G17" s="26"/>
      <c r="H17" s="26"/>
      <c r="I17" s="26"/>
      <c r="J17" s="26"/>
      <c r="K17" s="26"/>
      <c r="L17" s="26"/>
      <c r="M17" s="26"/>
      <c r="N17" s="26"/>
      <c r="O17" s="26"/>
      <c r="P17" s="26"/>
      <c r="Q17" s="26"/>
      <c r="R17" s="17">
        <v>8.7492475504404865</v>
      </c>
      <c r="S17" s="17">
        <v>3.0929483834840354</v>
      </c>
      <c r="T17" s="17"/>
      <c r="U17" s="17"/>
      <c r="V17" s="17"/>
      <c r="W17" s="17"/>
      <c r="X17" s="17"/>
      <c r="Y17" s="17"/>
      <c r="Z17" s="17">
        <v>8.933838079974521</v>
      </c>
      <c r="AA17" s="17">
        <v>3.43747849104926</v>
      </c>
      <c r="AB17" s="17"/>
      <c r="AC17" s="17"/>
      <c r="AD17" s="17"/>
      <c r="AE17" s="17"/>
      <c r="AF17" s="17">
        <v>0.9166666665866311</v>
      </c>
      <c r="AG17" s="17">
        <v>3.0148723098275744E-2</v>
      </c>
      <c r="AH17" s="17">
        <v>6.9703873581602238</v>
      </c>
      <c r="AI17" s="17">
        <v>3.4831263395957648</v>
      </c>
      <c r="AJ17" s="17"/>
      <c r="AK17" s="17"/>
      <c r="AL17" s="17"/>
      <c r="AM17" s="17"/>
      <c r="AN17" s="17"/>
      <c r="AO17" s="17"/>
      <c r="AP17" s="26"/>
    </row>
    <row r="18" spans="1:42">
      <c r="A18" s="26"/>
      <c r="B18" s="26"/>
      <c r="C18" s="26"/>
      <c r="D18" s="26"/>
      <c r="E18" s="26"/>
      <c r="F18" s="26"/>
      <c r="G18" s="26"/>
      <c r="H18" s="26"/>
      <c r="I18" s="26"/>
      <c r="J18" s="26"/>
      <c r="K18" s="26"/>
      <c r="L18" s="26"/>
      <c r="M18" s="26"/>
      <c r="N18" s="26"/>
      <c r="O18" s="26"/>
      <c r="P18" s="26"/>
      <c r="Q18" s="26"/>
      <c r="R18" s="17">
        <v>9.2095433516078629</v>
      </c>
      <c r="S18" s="17">
        <v>3.3074509958177805</v>
      </c>
      <c r="T18" s="17"/>
      <c r="U18" s="17"/>
      <c r="V18" s="17"/>
      <c r="W18" s="17"/>
      <c r="X18" s="17"/>
      <c r="Y18" s="17"/>
      <c r="Z18" s="17">
        <v>9.3177054906846024</v>
      </c>
      <c r="AA18" s="17">
        <v>3.552244313005358</v>
      </c>
      <c r="AB18" s="17"/>
      <c r="AC18" s="17"/>
      <c r="AD18" s="17"/>
      <c r="AE18" s="17"/>
      <c r="AF18" s="17">
        <v>1.0833333332387458</v>
      </c>
      <c r="AG18" s="17">
        <v>3.5199817770856186E-2</v>
      </c>
      <c r="AH18" s="17">
        <v>8.4402233464061283</v>
      </c>
      <c r="AI18" s="17">
        <v>3.6744159386791289</v>
      </c>
      <c r="AJ18" s="17"/>
      <c r="AK18" s="17"/>
      <c r="AL18" s="17"/>
      <c r="AM18" s="17"/>
      <c r="AN18" s="17"/>
      <c r="AO18" s="17"/>
      <c r="AP18" s="26"/>
    </row>
    <row r="19" spans="1:42">
      <c r="A19" s="26"/>
      <c r="B19" s="26"/>
      <c r="C19" s="26"/>
      <c r="D19" s="26"/>
      <c r="E19" s="26"/>
      <c r="F19" s="26"/>
      <c r="G19" s="26"/>
      <c r="H19" s="26"/>
      <c r="I19" s="26"/>
      <c r="J19" s="26"/>
      <c r="K19" s="26"/>
      <c r="L19" s="26"/>
      <c r="M19" s="26"/>
      <c r="N19" s="26"/>
      <c r="O19" s="26"/>
      <c r="P19" s="26"/>
      <c r="Q19" s="26"/>
      <c r="R19" s="17">
        <v>9.5078176775132306</v>
      </c>
      <c r="S19" s="17">
        <v>3.5219536081515255</v>
      </c>
      <c r="T19" s="17"/>
      <c r="U19" s="17"/>
      <c r="V19" s="17"/>
      <c r="W19" s="17"/>
      <c r="X19" s="17"/>
      <c r="Y19" s="17"/>
      <c r="Z19" s="17">
        <v>9.5692240152857266</v>
      </c>
      <c r="AA19" s="17">
        <v>3.823462932128459</v>
      </c>
      <c r="AB19" s="17"/>
      <c r="AC19" s="17"/>
      <c r="AD19" s="17"/>
      <c r="AE19" s="17"/>
      <c r="AF19" s="17">
        <v>1.2499999998908606</v>
      </c>
      <c r="AG19" s="17">
        <v>4.1092761555531043E-2</v>
      </c>
      <c r="AH19" s="17">
        <v>9.9575227286550216</v>
      </c>
      <c r="AI19" s="17">
        <v>3.8778446124009789</v>
      </c>
      <c r="AJ19" s="17"/>
      <c r="AK19" s="17"/>
      <c r="AL19" s="17"/>
      <c r="AM19" s="17"/>
      <c r="AN19" s="17"/>
      <c r="AO19" s="17"/>
      <c r="AP19" s="26"/>
    </row>
    <row r="20" spans="1:42">
      <c r="A20" s="26"/>
      <c r="B20" s="26"/>
      <c r="C20" s="26"/>
      <c r="D20" s="26"/>
      <c r="E20" s="26"/>
      <c r="F20" s="26"/>
      <c r="G20" s="26"/>
      <c r="H20" s="26"/>
      <c r="I20" s="26"/>
      <c r="J20" s="26"/>
      <c r="K20" s="26"/>
      <c r="L20" s="26"/>
      <c r="M20" s="26"/>
      <c r="N20" s="26"/>
      <c r="O20" s="26"/>
      <c r="P20" s="26"/>
      <c r="Q20" s="26"/>
      <c r="R20" s="17">
        <v>9.6974923231755383</v>
      </c>
      <c r="S20" s="17">
        <v>3.73645622048527</v>
      </c>
      <c r="T20" s="17"/>
      <c r="U20" s="17"/>
      <c r="V20" s="17"/>
      <c r="W20" s="17"/>
      <c r="X20" s="17"/>
      <c r="Y20" s="17"/>
      <c r="Z20" s="17">
        <v>9.7341329892515205</v>
      </c>
      <c r="AA20" s="17">
        <v>3.8905521011166275</v>
      </c>
      <c r="AB20" s="17"/>
      <c r="AC20" s="17"/>
      <c r="AD20" s="17"/>
      <c r="AE20" s="17"/>
      <c r="AF20" s="17">
        <v>1.4166666665429752</v>
      </c>
      <c r="AG20" s="17">
        <v>4.7827554452303127E-2</v>
      </c>
      <c r="AH20" s="17">
        <v>11.527829080296215</v>
      </c>
      <c r="AI20" s="17">
        <v>4.0878315094076099</v>
      </c>
      <c r="AJ20" s="17"/>
      <c r="AK20" s="17"/>
      <c r="AL20" s="17"/>
      <c r="AM20" s="17"/>
      <c r="AN20" s="17"/>
      <c r="AO20" s="17"/>
      <c r="AP20" s="26"/>
    </row>
    <row r="21" spans="1:42">
      <c r="A21" s="26"/>
      <c r="B21" s="26"/>
      <c r="C21" s="26"/>
      <c r="D21" s="26"/>
      <c r="E21" s="26"/>
      <c r="F21" s="26"/>
      <c r="G21" s="26"/>
      <c r="H21" s="26"/>
      <c r="I21" s="26"/>
      <c r="J21" s="26"/>
      <c r="K21" s="26"/>
      <c r="L21" s="26"/>
      <c r="M21" s="26"/>
      <c r="N21" s="26"/>
      <c r="O21" s="26"/>
      <c r="P21" s="26"/>
      <c r="Q21" s="26"/>
      <c r="R21" s="17">
        <v>9.8172888814588077</v>
      </c>
      <c r="S21" s="17">
        <v>3.9509588328190146</v>
      </c>
      <c r="T21" s="17"/>
      <c r="U21" s="17"/>
      <c r="V21" s="17"/>
      <c r="W21" s="17"/>
      <c r="X21" s="17"/>
      <c r="Y21" s="17"/>
      <c r="Z21" s="17">
        <v>9.8443795563071035</v>
      </c>
      <c r="AA21" s="17">
        <v>4.3014524261839684</v>
      </c>
      <c r="AB21" s="17"/>
      <c r="AC21" s="17"/>
      <c r="AD21" s="17"/>
      <c r="AE21" s="17"/>
      <c r="AF21" s="17">
        <v>1.5833333331950901</v>
      </c>
      <c r="AG21" s="17">
        <v>5.5404196461172457E-2</v>
      </c>
      <c r="AH21" s="17">
        <v>13.142040256934706</v>
      </c>
      <c r="AI21" s="17">
        <v>4.2595044983066614</v>
      </c>
      <c r="AJ21" s="17"/>
      <c r="AK21" s="17"/>
      <c r="AL21" s="17"/>
      <c r="AM21" s="17"/>
      <c r="AN21" s="17"/>
      <c r="AO21" s="17"/>
      <c r="AP21" s="26"/>
    </row>
    <row r="22" spans="1:42">
      <c r="A22" s="26"/>
      <c r="B22" s="26"/>
      <c r="C22" s="26"/>
      <c r="D22" s="26"/>
      <c r="E22" s="26"/>
      <c r="F22" s="26"/>
      <c r="G22" s="26"/>
      <c r="H22" s="26"/>
      <c r="I22" s="26"/>
      <c r="J22" s="26"/>
      <c r="K22" s="26"/>
      <c r="L22" s="26"/>
      <c r="M22" s="26"/>
      <c r="N22" s="26"/>
      <c r="O22" s="26"/>
      <c r="P22" s="26"/>
      <c r="Q22" s="26"/>
      <c r="R22" s="17">
        <v>9.8936794631299563</v>
      </c>
      <c r="S22" s="17">
        <v>4.1654614451527596</v>
      </c>
      <c r="T22" s="17"/>
      <c r="U22" s="17"/>
      <c r="V22" s="17"/>
      <c r="W22" s="17"/>
      <c r="X22" s="17"/>
      <c r="Y22" s="17"/>
      <c r="Z22" s="17">
        <v>9.9221950062201358</v>
      </c>
      <c r="AA22" s="17">
        <v>4.1180299079231917</v>
      </c>
      <c r="AB22" s="17"/>
      <c r="AC22" s="17"/>
      <c r="AD22" s="17"/>
      <c r="AE22" s="17"/>
      <c r="AF22" s="17">
        <v>1.7499999998472049</v>
      </c>
      <c r="AG22" s="17">
        <v>6.3822687582138826E-2</v>
      </c>
      <c r="AH22" s="17">
        <v>14.768722133885603</v>
      </c>
      <c r="AI22" s="17">
        <v>4.4838214059062302</v>
      </c>
      <c r="AJ22" s="17"/>
      <c r="AK22" s="17"/>
      <c r="AL22" s="17"/>
      <c r="AM22" s="17"/>
      <c r="AN22" s="17"/>
      <c r="AO22" s="17"/>
      <c r="AP22" s="26"/>
    </row>
    <row r="23" spans="1:42">
      <c r="A23" s="26"/>
      <c r="B23" s="26"/>
      <c r="C23" s="26"/>
      <c r="D23" s="26"/>
      <c r="E23" s="26"/>
      <c r="F23" s="26"/>
      <c r="G23" s="26"/>
      <c r="H23" s="26"/>
      <c r="I23" s="26"/>
      <c r="J23" s="26"/>
      <c r="K23" s="26"/>
      <c r="L23" s="26"/>
      <c r="M23" s="26"/>
      <c r="N23" s="26"/>
      <c r="O23" s="26"/>
      <c r="P23" s="26"/>
      <c r="Q23" s="26"/>
      <c r="R23" s="17">
        <v>9.9443849801900797</v>
      </c>
      <c r="S23" s="17">
        <v>4.3799640574865037</v>
      </c>
      <c r="T23" s="17"/>
      <c r="U23" s="17"/>
      <c r="V23" s="17"/>
      <c r="W23" s="17"/>
      <c r="X23" s="17"/>
      <c r="Y23" s="17"/>
      <c r="Z23" s="17">
        <v>9.9836717694415711</v>
      </c>
      <c r="AA23" s="17">
        <v>4.4222375270910561</v>
      </c>
      <c r="AB23" s="17"/>
      <c r="AC23" s="17"/>
      <c r="AD23" s="17"/>
      <c r="AE23" s="17"/>
      <c r="AF23" s="17">
        <v>1.9166666664993195</v>
      </c>
      <c r="AG23" s="17">
        <v>7.3083027815199764E-2</v>
      </c>
      <c r="AH23" s="17">
        <v>16.356732237909455</v>
      </c>
      <c r="AI23" s="17">
        <v>4.6824077536202964</v>
      </c>
      <c r="AJ23" s="17"/>
      <c r="AK23" s="17"/>
      <c r="AL23" s="17"/>
      <c r="AM23" s="17"/>
      <c r="AN23" s="17"/>
      <c r="AO23" s="17"/>
      <c r="AP23" s="26"/>
    </row>
    <row r="24" spans="1:42">
      <c r="A24" s="26"/>
      <c r="B24" s="26"/>
      <c r="C24" s="26"/>
      <c r="D24" s="26"/>
      <c r="E24" s="26"/>
      <c r="F24" s="26"/>
      <c r="G24" s="26"/>
      <c r="H24" s="26"/>
      <c r="I24" s="26"/>
      <c r="J24" s="26"/>
      <c r="K24" s="26"/>
      <c r="L24" s="26"/>
      <c r="M24" s="26"/>
      <c r="N24" s="26"/>
      <c r="O24" s="26"/>
      <c r="P24" s="26"/>
      <c r="Q24" s="26"/>
      <c r="R24" s="17">
        <v>9.9815251436666586</v>
      </c>
      <c r="S24" s="17">
        <v>4.5944666698202496</v>
      </c>
      <c r="T24" s="17"/>
      <c r="U24" s="17"/>
      <c r="V24" s="17"/>
      <c r="W24" s="17"/>
      <c r="X24" s="17"/>
      <c r="Y24" s="17"/>
      <c r="Z24" s="17">
        <v>10.041700130386744</v>
      </c>
      <c r="AA24" s="17">
        <v>4.8408818402700122</v>
      </c>
      <c r="AB24" s="17"/>
      <c r="AC24" s="17"/>
      <c r="AD24" s="17"/>
      <c r="AE24" s="17"/>
      <c r="AF24" s="17">
        <v>2.0833333331514341</v>
      </c>
      <c r="AG24" s="17">
        <v>8.3185217160357997E-2</v>
      </c>
      <c r="AH24" s="17">
        <v>17.844781892199535</v>
      </c>
      <c r="AI24" s="17">
        <v>4.8893591124005615</v>
      </c>
      <c r="AJ24" s="17"/>
      <c r="AK24" s="17"/>
      <c r="AL24" s="17"/>
      <c r="AM24" s="17"/>
      <c r="AN24" s="17"/>
      <c r="AO24" s="17"/>
      <c r="AP24" s="26"/>
    </row>
    <row r="25" spans="1:42">
      <c r="A25" s="26"/>
      <c r="B25" s="26"/>
      <c r="C25" s="26"/>
      <c r="D25" s="26"/>
      <c r="E25" s="26"/>
      <c r="F25" s="26"/>
      <c r="G25" s="26"/>
      <c r="H25" s="26"/>
      <c r="I25" s="26"/>
      <c r="J25" s="26"/>
      <c r="K25" s="26"/>
      <c r="L25" s="26"/>
      <c r="M25" s="26"/>
      <c r="N25" s="26"/>
      <c r="O25" s="26"/>
      <c r="P25" s="26"/>
      <c r="Q25" s="26"/>
      <c r="R25" s="17">
        <v>10.014129265618976</v>
      </c>
      <c r="S25" s="17">
        <v>4.8089692821539938</v>
      </c>
      <c r="T25" s="17"/>
      <c r="U25" s="17"/>
      <c r="V25" s="17"/>
      <c r="W25" s="17"/>
      <c r="X25" s="17"/>
      <c r="Y25" s="17"/>
      <c r="Z25" s="17">
        <v>10.108475277957041</v>
      </c>
      <c r="AA25" s="17">
        <v>5.18642603373155</v>
      </c>
      <c r="AB25" s="17"/>
      <c r="AC25" s="17"/>
      <c r="AD25" s="17"/>
      <c r="AE25" s="17"/>
      <c r="AF25" s="17">
        <v>2.2499999998035491</v>
      </c>
      <c r="AG25" s="17">
        <v>9.4129255617615981E-2</v>
      </c>
      <c r="AH25" s="17">
        <v>19.181782512168866</v>
      </c>
      <c r="AI25" s="17">
        <v>5.0960081052444872</v>
      </c>
      <c r="AJ25" s="17"/>
      <c r="AK25" s="17"/>
      <c r="AL25" s="17"/>
      <c r="AM25" s="17"/>
      <c r="AN25" s="17"/>
      <c r="AO25" s="17"/>
      <c r="AP25" s="26"/>
    </row>
    <row r="26" spans="1:42">
      <c r="A26" s="26"/>
      <c r="B26" s="26"/>
      <c r="C26" s="26"/>
      <c r="D26" s="26"/>
      <c r="E26" s="26"/>
      <c r="F26" s="26"/>
      <c r="G26" s="26"/>
      <c r="H26" s="26"/>
      <c r="I26" s="26"/>
      <c r="J26" s="26"/>
      <c r="K26" s="26"/>
      <c r="L26" s="26"/>
      <c r="M26" s="26"/>
      <c r="N26" s="26"/>
      <c r="O26" s="26"/>
      <c r="P26" s="26"/>
      <c r="Q26" s="26"/>
      <c r="R26" s="17">
        <v>10.050161390972789</v>
      </c>
      <c r="S26" s="17">
        <v>5.0234718944877388</v>
      </c>
      <c r="T26" s="17"/>
      <c r="U26" s="17"/>
      <c r="V26" s="17"/>
      <c r="W26" s="17"/>
      <c r="X26" s="17"/>
      <c r="Y26" s="17"/>
      <c r="Z26" s="17">
        <v>10.197893586882856</v>
      </c>
      <c r="AA26" s="17">
        <v>5.1923094727657739</v>
      </c>
      <c r="AB26" s="17"/>
      <c r="AC26" s="17"/>
      <c r="AD26" s="17"/>
      <c r="AE26" s="17"/>
      <c r="AF26" s="17">
        <v>2.4166666664556637</v>
      </c>
      <c r="AG26" s="17">
        <v>0.10591514302217735</v>
      </c>
      <c r="AH26" s="17">
        <v>20.351667587237898</v>
      </c>
      <c r="AI26" s="17">
        <v>5.295324570912868</v>
      </c>
      <c r="AJ26" s="17"/>
      <c r="AK26" s="17"/>
      <c r="AL26" s="17"/>
      <c r="AM26" s="17"/>
      <c r="AN26" s="17"/>
      <c r="AO26" s="17"/>
      <c r="AP26" s="26"/>
    </row>
    <row r="27" spans="1:42">
      <c r="A27" s="26"/>
      <c r="B27" s="26"/>
      <c r="C27" s="26"/>
      <c r="D27" s="26"/>
      <c r="E27" s="26"/>
      <c r="F27" s="26"/>
      <c r="G27" s="26"/>
      <c r="H27" s="26"/>
      <c r="I27" s="26"/>
      <c r="J27" s="26"/>
      <c r="K27" s="26"/>
      <c r="L27" s="26"/>
      <c r="M27" s="26"/>
      <c r="N27" s="26"/>
      <c r="O27" s="26"/>
      <c r="P27" s="26"/>
      <c r="Q27" s="26"/>
      <c r="R27" s="17">
        <v>10.09834472934017</v>
      </c>
      <c r="S27" s="17">
        <v>5.2379745068214838</v>
      </c>
      <c r="T27" s="17"/>
      <c r="U27" s="17"/>
      <c r="V27" s="17"/>
      <c r="W27" s="17"/>
      <c r="X27" s="17"/>
      <c r="Y27" s="17"/>
      <c r="Z27" s="17">
        <v>10.328164369275328</v>
      </c>
      <c r="AA27" s="17">
        <v>5.3796424258686599</v>
      </c>
      <c r="AB27" s="17"/>
      <c r="AC27" s="17"/>
      <c r="AD27" s="17"/>
      <c r="AE27" s="17"/>
      <c r="AF27" s="17">
        <v>2.5833333331077784</v>
      </c>
      <c r="AG27" s="17">
        <v>0.11800336451524747</v>
      </c>
      <c r="AH27" s="17">
        <v>21.384160743036773</v>
      </c>
      <c r="AI27" s="17">
        <v>5.5011578789688649</v>
      </c>
      <c r="AJ27" s="17"/>
      <c r="AK27" s="17"/>
      <c r="AL27" s="17"/>
      <c r="AM27" s="17"/>
      <c r="AN27" s="17"/>
      <c r="AO27" s="17"/>
      <c r="AP27" s="26"/>
    </row>
    <row r="28" spans="1:42">
      <c r="A28" s="26"/>
      <c r="B28" s="26"/>
      <c r="C28" s="26"/>
      <c r="D28" s="26"/>
      <c r="E28" s="26"/>
      <c r="F28" s="26"/>
      <c r="G28" s="26"/>
      <c r="H28" s="26"/>
      <c r="I28" s="26"/>
      <c r="J28" s="26"/>
      <c r="K28" s="26"/>
      <c r="L28" s="26"/>
      <c r="M28" s="26"/>
      <c r="N28" s="26"/>
      <c r="O28" s="26"/>
      <c r="P28" s="26"/>
      <c r="Q28" s="26"/>
      <c r="R28" s="17">
        <v>10.170080677198712</v>
      </c>
      <c r="S28" s="17">
        <v>5.4524771191552279</v>
      </c>
      <c r="T28" s="17"/>
      <c r="U28" s="17"/>
      <c r="V28" s="17"/>
      <c r="W28" s="17"/>
      <c r="X28" s="17"/>
      <c r="Y28" s="17"/>
      <c r="Z28" s="17">
        <v>10.524891586101148</v>
      </c>
      <c r="AA28" s="17">
        <v>5.5674684633873399</v>
      </c>
      <c r="AB28" s="17"/>
      <c r="AC28" s="17"/>
      <c r="AD28" s="17"/>
      <c r="AE28" s="17"/>
      <c r="AF28" s="17">
        <v>2.7499999997598934</v>
      </c>
      <c r="AG28" s="17">
        <v>0.1282793109455409</v>
      </c>
      <c r="AH28" s="17">
        <v>22.342685637704562</v>
      </c>
      <c r="AI28" s="17">
        <v>5.6875888803489509</v>
      </c>
      <c r="AJ28" s="17"/>
      <c r="AK28" s="17"/>
      <c r="AL28" s="17"/>
      <c r="AM28" s="17"/>
      <c r="AN28" s="17"/>
      <c r="AO28" s="17"/>
      <c r="AP28" s="26"/>
    </row>
    <row r="29" spans="1:42">
      <c r="A29" s="26"/>
      <c r="B29" s="26"/>
      <c r="C29" s="26"/>
      <c r="D29" s="26"/>
      <c r="E29" s="26"/>
      <c r="F29" s="26"/>
      <c r="G29" s="26"/>
      <c r="H29" s="26"/>
      <c r="I29" s="26"/>
      <c r="J29" s="26"/>
      <c r="K29" s="26"/>
      <c r="L29" s="26"/>
      <c r="M29" s="26"/>
      <c r="N29" s="26"/>
      <c r="O29" s="26"/>
      <c r="P29" s="26"/>
      <c r="Q29" s="26"/>
      <c r="R29" s="17">
        <v>10.281694422883447</v>
      </c>
      <c r="S29" s="17">
        <v>5.6669797314889729</v>
      </c>
      <c r="T29" s="17"/>
      <c r="U29" s="17"/>
      <c r="V29" s="17"/>
      <c r="W29" s="17"/>
      <c r="X29" s="17"/>
      <c r="Y29" s="17"/>
      <c r="Z29" s="17">
        <v>10.824641671206336</v>
      </c>
      <c r="AA29" s="17">
        <v>5.7681651949696242</v>
      </c>
      <c r="AB29" s="17"/>
      <c r="AC29" s="17"/>
      <c r="AD29" s="17"/>
      <c r="AE29" s="17"/>
      <c r="AF29" s="17">
        <v>2.916666666412008</v>
      </c>
      <c r="AG29" s="17">
        <v>0.13622497476391454</v>
      </c>
      <c r="AH29" s="17">
        <v>23.297000558522996</v>
      </c>
      <c r="AI29" s="17">
        <v>5.8781362815611065</v>
      </c>
      <c r="AJ29" s="17"/>
      <c r="AK29" s="17"/>
      <c r="AL29" s="17"/>
      <c r="AM29" s="17"/>
      <c r="AN29" s="17"/>
      <c r="AO29" s="17"/>
      <c r="AP29" s="26"/>
    </row>
    <row r="30" spans="1:42">
      <c r="A30" s="26"/>
      <c r="B30" s="26"/>
      <c r="C30" s="26"/>
      <c r="D30" s="26"/>
      <c r="E30" s="26"/>
      <c r="F30" s="26"/>
      <c r="G30" s="26"/>
      <c r="H30" s="26"/>
      <c r="I30" s="26"/>
      <c r="J30" s="26"/>
      <c r="K30" s="26"/>
      <c r="L30" s="26"/>
      <c r="M30" s="26"/>
      <c r="N30" s="26"/>
      <c r="O30" s="26"/>
      <c r="P30" s="26"/>
      <c r="Q30" s="26"/>
      <c r="R30" s="17">
        <v>10.45702534756856</v>
      </c>
      <c r="S30" s="17">
        <v>5.881482343822718</v>
      </c>
      <c r="T30" s="17"/>
      <c r="U30" s="17"/>
      <c r="V30" s="17"/>
      <c r="W30" s="17"/>
      <c r="X30" s="17"/>
      <c r="Y30" s="17"/>
      <c r="Z30" s="17">
        <v>11.278386386402417</v>
      </c>
      <c r="AA30" s="17">
        <v>6.0832747816853221</v>
      </c>
      <c r="AB30" s="17"/>
      <c r="AC30" s="17"/>
      <c r="AD30" s="17"/>
      <c r="AE30" s="17"/>
      <c r="AF30" s="17">
        <v>3.0833333330641226</v>
      </c>
      <c r="AG30" s="17">
        <v>0.14184035597035616</v>
      </c>
      <c r="AH30" s="17">
        <v>24.292349834286142</v>
      </c>
      <c r="AI30" s="17">
        <v>6.0934056529216472</v>
      </c>
      <c r="AJ30" s="17"/>
      <c r="AK30" s="17"/>
      <c r="AL30" s="17"/>
      <c r="AM30" s="17"/>
      <c r="AN30" s="17"/>
      <c r="AO30" s="17"/>
      <c r="AP30" s="26"/>
    </row>
    <row r="31" spans="1:42">
      <c r="A31" s="26"/>
      <c r="B31" s="26"/>
      <c r="C31" s="26"/>
      <c r="D31" s="26"/>
      <c r="E31" s="26"/>
      <c r="F31" s="26"/>
      <c r="G31" s="26"/>
      <c r="H31" s="26"/>
      <c r="I31" s="26"/>
      <c r="J31" s="26"/>
      <c r="K31" s="26"/>
      <c r="L31" s="26"/>
      <c r="M31" s="26"/>
      <c r="N31" s="26"/>
      <c r="O31" s="26"/>
      <c r="P31" s="26"/>
      <c r="Q31" s="26"/>
      <c r="R31" s="17">
        <v>10.729793940845411</v>
      </c>
      <c r="S31" s="17">
        <v>6.0959849561564621</v>
      </c>
      <c r="T31" s="17"/>
      <c r="U31" s="17"/>
      <c r="V31" s="17"/>
      <c r="W31" s="17"/>
      <c r="X31" s="17"/>
      <c r="Y31" s="17"/>
      <c r="Z31" s="17">
        <v>11.952848396322224</v>
      </c>
      <c r="AA31" s="17">
        <v>6.2216419441439212</v>
      </c>
      <c r="AB31" s="17"/>
      <c r="AC31" s="17"/>
      <c r="AD31" s="17"/>
      <c r="AE31" s="17"/>
      <c r="AF31" s="17">
        <v>3.2499999997162377</v>
      </c>
      <c r="AG31" s="17">
        <v>0.1451254545648753</v>
      </c>
      <c r="AH31" s="17">
        <v>25.326453409797978</v>
      </c>
      <c r="AI31" s="17">
        <v>6.3068681297414004</v>
      </c>
      <c r="AJ31" s="17"/>
      <c r="AK31" s="17"/>
      <c r="AL31" s="17"/>
      <c r="AM31" s="17"/>
      <c r="AN31" s="17"/>
      <c r="AO31" s="17"/>
      <c r="AP31" s="26"/>
    </row>
    <row r="32" spans="1:42">
      <c r="A32" s="26"/>
      <c r="B32" s="26"/>
      <c r="C32" s="26"/>
      <c r="D32" s="26"/>
      <c r="E32" s="26"/>
      <c r="F32" s="26"/>
      <c r="G32" s="26"/>
      <c r="H32" s="26"/>
      <c r="I32" s="26"/>
      <c r="J32" s="26"/>
      <c r="K32" s="26"/>
      <c r="L32" s="26"/>
      <c r="M32" s="26"/>
      <c r="N32" s="26"/>
      <c r="O32" s="26"/>
      <c r="P32" s="26"/>
      <c r="Q32" s="26"/>
      <c r="R32" s="17">
        <v>11.143875245761592</v>
      </c>
      <c r="S32" s="17">
        <v>6.3104875684902071</v>
      </c>
      <c r="T32" s="17"/>
      <c r="U32" s="17"/>
      <c r="V32" s="17"/>
      <c r="W32" s="17"/>
      <c r="X32" s="17"/>
      <c r="Y32" s="17"/>
      <c r="Z32" s="17">
        <v>12.925509912020061</v>
      </c>
      <c r="AA32" s="17">
        <v>6.4441657189466062</v>
      </c>
      <c r="AB32" s="17"/>
      <c r="AC32" s="17"/>
      <c r="AD32" s="17"/>
      <c r="AE32" s="17"/>
      <c r="AF32" s="17">
        <v>3.4166666663683523</v>
      </c>
      <c r="AG32" s="17">
        <v>0.14608027054746395</v>
      </c>
      <c r="AH32" s="17">
        <v>26.347641290340107</v>
      </c>
      <c r="AI32" s="17">
        <v>6.4901526380963626</v>
      </c>
      <c r="AJ32" s="17"/>
      <c r="AK32" s="17"/>
      <c r="AL32" s="17"/>
      <c r="AM32" s="17"/>
      <c r="AN32" s="17"/>
      <c r="AO32" s="17"/>
      <c r="AP32" s="26"/>
    </row>
    <row r="33" spans="1:42">
      <c r="A33" s="26"/>
      <c r="B33" s="26"/>
      <c r="C33" s="26"/>
      <c r="D33" s="26"/>
      <c r="E33" s="26"/>
      <c r="F33" s="26"/>
      <c r="G33" s="26"/>
      <c r="H33" s="26"/>
      <c r="I33" s="26"/>
      <c r="J33" s="26"/>
      <c r="K33" s="26"/>
      <c r="L33" s="26"/>
      <c r="M33" s="26"/>
      <c r="N33" s="26"/>
      <c r="O33" s="26"/>
      <c r="P33" s="26"/>
      <c r="Q33" s="26"/>
      <c r="R33" s="17">
        <v>11.747540258511435</v>
      </c>
      <c r="S33" s="17">
        <v>6.5249901808239521</v>
      </c>
      <c r="T33" s="17"/>
      <c r="U33" s="17"/>
      <c r="V33" s="17"/>
      <c r="W33" s="17"/>
      <c r="X33" s="17"/>
      <c r="Y33" s="17"/>
      <c r="Z33" s="17">
        <v>14.266958106600214</v>
      </c>
      <c r="AA33" s="17">
        <v>6.6170152428187432</v>
      </c>
      <c r="AB33" s="17"/>
      <c r="AC33" s="17"/>
      <c r="AD33" s="17"/>
      <c r="AE33" s="17"/>
      <c r="AF33" s="17">
        <v>3.5833333330204669</v>
      </c>
      <c r="AG33" s="17">
        <v>0.14470480391813131</v>
      </c>
      <c r="AH33" s="17">
        <v>27.280329070345033</v>
      </c>
      <c r="AI33" s="17">
        <v>6.6984786649681629</v>
      </c>
      <c r="AJ33" s="17"/>
      <c r="AK33" s="17"/>
      <c r="AL33" s="17"/>
      <c r="AM33" s="17"/>
      <c r="AN33" s="17"/>
      <c r="AO33" s="17"/>
      <c r="AP33" s="26"/>
    </row>
    <row r="34" spans="1:42">
      <c r="A34" s="26"/>
      <c r="B34" s="26"/>
      <c r="C34" s="26"/>
      <c r="D34" s="26"/>
      <c r="E34" s="26"/>
      <c r="F34" s="26"/>
      <c r="G34" s="26"/>
      <c r="H34" s="26"/>
      <c r="I34" s="26"/>
      <c r="J34" s="26"/>
      <c r="K34" s="26"/>
      <c r="L34" s="26"/>
      <c r="M34" s="26"/>
      <c r="N34" s="26"/>
      <c r="O34" s="26"/>
      <c r="P34" s="26"/>
      <c r="Q34" s="26"/>
      <c r="R34" s="17">
        <v>12.576544815965462</v>
      </c>
      <c r="S34" s="17">
        <v>6.7394927931576971</v>
      </c>
      <c r="T34" s="17"/>
      <c r="U34" s="17"/>
      <c r="V34" s="17"/>
      <c r="W34" s="17"/>
      <c r="X34" s="17"/>
      <c r="Y34" s="17"/>
      <c r="Z34" s="17">
        <v>16.006536425265949</v>
      </c>
      <c r="AA34" s="17">
        <v>6.8276927663199602</v>
      </c>
      <c r="AB34" s="17"/>
      <c r="AC34" s="17"/>
      <c r="AD34" s="17"/>
      <c r="AE34" s="17"/>
      <c r="AF34" s="17">
        <v>3.7499999996725819</v>
      </c>
      <c r="AG34" s="17">
        <v>0.14099905467686816</v>
      </c>
      <c r="AH34" s="17">
        <v>28.062663164746482</v>
      </c>
      <c r="AI34" s="17">
        <v>6.8921215216629204</v>
      </c>
      <c r="AJ34" s="17"/>
      <c r="AK34" s="17"/>
      <c r="AL34" s="17"/>
      <c r="AM34" s="17"/>
      <c r="AN34" s="17"/>
      <c r="AO34" s="17"/>
      <c r="AP34" s="26"/>
    </row>
    <row r="35" spans="1:42">
      <c r="A35" s="26"/>
      <c r="B35" s="26"/>
      <c r="C35" s="26"/>
      <c r="D35" s="26"/>
      <c r="E35" s="26"/>
      <c r="F35" s="26"/>
      <c r="G35" s="26"/>
      <c r="H35" s="26"/>
      <c r="I35" s="26"/>
      <c r="J35" s="26"/>
      <c r="K35" s="26"/>
      <c r="L35" s="26"/>
      <c r="M35" s="26"/>
      <c r="N35" s="26"/>
      <c r="O35" s="26"/>
      <c r="P35" s="26"/>
      <c r="Q35" s="26"/>
      <c r="R35" s="17">
        <v>13.625772965315264</v>
      </c>
      <c r="S35" s="17">
        <v>6.9539954054914412</v>
      </c>
      <c r="T35" s="17"/>
      <c r="U35" s="17"/>
      <c r="V35" s="17"/>
      <c r="W35" s="17"/>
      <c r="X35" s="17"/>
      <c r="Y35" s="17"/>
      <c r="Z35" s="17">
        <v>18.090350537386257</v>
      </c>
      <c r="AA35" s="17">
        <v>6.9951606211625039</v>
      </c>
      <c r="AB35" s="17"/>
      <c r="AC35" s="17"/>
      <c r="AD35" s="17"/>
      <c r="AE35" s="17"/>
      <c r="AF35" s="17">
        <v>3.9166666663246965</v>
      </c>
      <c r="AG35" s="17">
        <v>0.13496302282368255</v>
      </c>
      <c r="AH35" s="17">
        <v>28.669746332161594</v>
      </c>
      <c r="AI35" s="17">
        <v>7.0865812115333977</v>
      </c>
      <c r="AJ35" s="17"/>
      <c r="AK35" s="17"/>
      <c r="AL35" s="17"/>
      <c r="AM35" s="17"/>
      <c r="AN35" s="17"/>
      <c r="AO35" s="17"/>
      <c r="AP35" s="26"/>
    </row>
    <row r="36" spans="1:42">
      <c r="A36" s="26"/>
      <c r="B36" s="26"/>
      <c r="C36" s="26"/>
      <c r="D36" s="26"/>
      <c r="E36" s="26"/>
      <c r="F36" s="26"/>
      <c r="G36" s="26"/>
      <c r="H36" s="26"/>
      <c r="I36" s="26"/>
      <c r="J36" s="26"/>
      <c r="K36" s="26"/>
      <c r="L36" s="26"/>
      <c r="M36" s="26"/>
      <c r="N36" s="26"/>
      <c r="O36" s="26"/>
      <c r="P36" s="26"/>
      <c r="Q36" s="26"/>
      <c r="R36" s="17">
        <v>14.824491734907497</v>
      </c>
      <c r="S36" s="17">
        <v>7.1684980178251863</v>
      </c>
      <c r="T36" s="17"/>
      <c r="U36" s="17"/>
      <c r="V36" s="17"/>
      <c r="W36" s="17"/>
      <c r="X36" s="17"/>
      <c r="Y36" s="17"/>
      <c r="Z36" s="17">
        <v>20.361693068116438</v>
      </c>
      <c r="AA36" s="17">
        <v>7.2242915053851906</v>
      </c>
      <c r="AB36" s="17"/>
      <c r="AC36" s="17"/>
      <c r="AD36" s="17"/>
      <c r="AE36" s="17"/>
      <c r="AF36" s="17">
        <v>4.0833333329768111</v>
      </c>
      <c r="AG36" s="17">
        <v>0.12659670835856526</v>
      </c>
      <c r="AH36" s="17">
        <v>29.111924824246671</v>
      </c>
      <c r="AI36" s="17">
        <v>7.3027161829434339</v>
      </c>
      <c r="AJ36" s="17"/>
      <c r="AK36" s="17"/>
      <c r="AL36" s="17"/>
      <c r="AM36" s="17"/>
      <c r="AN36" s="17"/>
      <c r="AO36" s="17"/>
      <c r="AP36" s="26"/>
    </row>
    <row r="37" spans="1:42">
      <c r="A37" s="26"/>
      <c r="B37" s="26"/>
      <c r="C37" s="26"/>
      <c r="D37" s="26"/>
      <c r="E37" s="26"/>
      <c r="F37" s="26"/>
      <c r="G37" s="26"/>
      <c r="H37" s="26"/>
      <c r="I37" s="26"/>
      <c r="J37" s="26"/>
      <c r="K37" s="26"/>
      <c r="L37" s="26"/>
      <c r="M37" s="26"/>
      <c r="N37" s="26"/>
      <c r="O37" s="26"/>
      <c r="P37" s="26"/>
      <c r="Q37" s="26"/>
      <c r="R37" s="17">
        <v>16.043755009013694</v>
      </c>
      <c r="S37" s="17">
        <v>7.3830006301589313</v>
      </c>
      <c r="T37" s="17"/>
      <c r="U37" s="17"/>
      <c r="V37" s="17"/>
      <c r="W37" s="17"/>
      <c r="X37" s="17"/>
      <c r="Y37" s="17"/>
      <c r="Z37" s="17">
        <v>22.596293150854763</v>
      </c>
      <c r="AA37" s="17">
        <v>7.5369926953129474</v>
      </c>
      <c r="AB37" s="17"/>
      <c r="AC37" s="17"/>
      <c r="AD37" s="17"/>
      <c r="AE37" s="17"/>
      <c r="AF37" s="17">
        <v>4.2499999996289262</v>
      </c>
      <c r="AG37" s="17">
        <v>0.11590011128152719</v>
      </c>
      <c r="AH37" s="17">
        <v>29.419084104301874</v>
      </c>
      <c r="AI37" s="17">
        <v>7.5183351617865268</v>
      </c>
      <c r="AJ37" s="17"/>
      <c r="AK37" s="17"/>
      <c r="AL37" s="17"/>
      <c r="AM37" s="17"/>
      <c r="AN37" s="17"/>
      <c r="AO37" s="17"/>
      <c r="AP37" s="26"/>
    </row>
    <row r="38" spans="1:42">
      <c r="A38" s="26"/>
      <c r="B38" s="26"/>
      <c r="C38" s="26"/>
      <c r="D38" s="26"/>
      <c r="E38" s="26"/>
      <c r="F38" s="26"/>
      <c r="G38" s="26"/>
      <c r="H38" s="26"/>
      <c r="I38" s="26"/>
      <c r="J38" s="26"/>
      <c r="K38" s="26"/>
      <c r="L38" s="26"/>
      <c r="M38" s="26"/>
      <c r="N38" s="26"/>
      <c r="O38" s="26"/>
      <c r="P38" s="26"/>
      <c r="Q38" s="26"/>
      <c r="R38" s="17">
        <v>17.145786933542695</v>
      </c>
      <c r="S38" s="17">
        <v>7.5975032424926754</v>
      </c>
      <c r="T38" s="17"/>
      <c r="U38" s="17"/>
      <c r="V38" s="17"/>
      <c r="W38" s="17"/>
      <c r="X38" s="17"/>
      <c r="Y38" s="17"/>
      <c r="Z38" s="17">
        <v>24.583749643352348</v>
      </c>
      <c r="AA38" s="17">
        <v>7.6312835094146427</v>
      </c>
      <c r="AB38" s="17"/>
      <c r="AC38" s="17"/>
      <c r="AD38" s="17"/>
      <c r="AE38" s="17"/>
      <c r="AF38" s="17">
        <v>4.4166666662810403</v>
      </c>
      <c r="AG38" s="17">
        <v>0.10287323159255969</v>
      </c>
      <c r="AH38" s="17">
        <v>29.625479625246953</v>
      </c>
      <c r="AI38" s="17">
        <v>7.7038716139905157</v>
      </c>
      <c r="AJ38" s="17"/>
      <c r="AK38" s="17"/>
      <c r="AL38" s="17"/>
      <c r="AM38" s="17"/>
      <c r="AN38" s="17"/>
      <c r="AO38" s="17"/>
      <c r="AP38" s="26"/>
    </row>
    <row r="39" spans="1:42">
      <c r="A39" s="26"/>
      <c r="B39" s="26"/>
      <c r="C39" s="26"/>
      <c r="D39" s="26"/>
      <c r="E39" s="26"/>
      <c r="F39" s="26"/>
      <c r="G39" s="26"/>
      <c r="H39" s="26"/>
      <c r="I39" s="26"/>
      <c r="J39" s="26"/>
      <c r="K39" s="26"/>
      <c r="L39" s="26"/>
      <c r="M39" s="26"/>
      <c r="N39" s="26"/>
      <c r="O39" s="26"/>
      <c r="P39" s="26"/>
      <c r="Q39" s="26"/>
      <c r="R39" s="17">
        <v>18.040535067848396</v>
      </c>
      <c r="S39" s="17">
        <v>7.8120058548264204</v>
      </c>
      <c r="T39" s="17"/>
      <c r="U39" s="17"/>
      <c r="V39" s="17"/>
      <c r="W39" s="17"/>
      <c r="X39" s="17"/>
      <c r="Y39" s="17"/>
      <c r="Z39" s="17">
        <v>26.198946092335973</v>
      </c>
      <c r="AA39" s="17">
        <v>7.78317475317046</v>
      </c>
      <c r="AB39" s="17"/>
      <c r="AC39" s="17"/>
      <c r="AD39" s="17"/>
      <c r="AE39" s="17"/>
      <c r="AF39" s="17">
        <v>4.5833333329331554</v>
      </c>
      <c r="AG39" s="17">
        <v>8.7545481368905539E-2</v>
      </c>
      <c r="AH39" s="17">
        <v>29.761181406502146</v>
      </c>
      <c r="AI39" s="17">
        <v>7.9083233626820144</v>
      </c>
      <c r="AJ39" s="17"/>
      <c r="AK39" s="17"/>
      <c r="AL39" s="17"/>
      <c r="AM39" s="17"/>
      <c r="AN39" s="17"/>
      <c r="AO39" s="17"/>
      <c r="AP39" s="26"/>
    </row>
    <row r="40" spans="1:42">
      <c r="A40" s="26"/>
      <c r="B40" s="26"/>
      <c r="C40" s="26"/>
      <c r="D40" s="26"/>
      <c r="E40" s="26"/>
      <c r="F40" s="26"/>
      <c r="G40" s="26"/>
      <c r="H40" s="26"/>
      <c r="I40" s="26"/>
      <c r="J40" s="26"/>
      <c r="K40" s="26"/>
      <c r="L40" s="26"/>
      <c r="M40" s="26"/>
      <c r="N40" s="26"/>
      <c r="O40" s="26"/>
      <c r="P40" s="26"/>
      <c r="Q40" s="26"/>
      <c r="R40" s="17">
        <v>18.705899156339001</v>
      </c>
      <c r="S40" s="17">
        <v>8.0265084671601663</v>
      </c>
      <c r="T40" s="17"/>
      <c r="U40" s="17"/>
      <c r="V40" s="17"/>
      <c r="W40" s="17"/>
      <c r="X40" s="17"/>
      <c r="Y40" s="17"/>
      <c r="Z40" s="17">
        <v>27.418202777334955</v>
      </c>
      <c r="AA40" s="17">
        <v>7.9825341033004227</v>
      </c>
      <c r="AB40" s="17"/>
      <c r="AC40" s="17"/>
      <c r="AD40" s="17"/>
      <c r="AE40" s="17"/>
      <c r="AF40" s="17">
        <v>4.7499999995852704</v>
      </c>
      <c r="AG40" s="17">
        <v>7.2299869115006049E-2</v>
      </c>
      <c r="AH40" s="17">
        <v>29.849311058933381</v>
      </c>
      <c r="AI40" s="17">
        <v>8.1149909251295025</v>
      </c>
      <c r="AJ40" s="17"/>
      <c r="AK40" s="17"/>
      <c r="AL40" s="17"/>
      <c r="AM40" s="17"/>
      <c r="AN40" s="17"/>
      <c r="AO40" s="17"/>
      <c r="AP40" s="26"/>
    </row>
    <row r="41" spans="1:42">
      <c r="A41" s="26"/>
      <c r="B41" s="26"/>
      <c r="C41" s="26"/>
      <c r="D41" s="26"/>
      <c r="E41" s="26"/>
      <c r="F41" s="26"/>
      <c r="G41" s="26"/>
      <c r="H41" s="26"/>
      <c r="I41" s="26"/>
      <c r="J41" s="26"/>
      <c r="K41" s="26"/>
      <c r="L41" s="26"/>
      <c r="M41" s="26"/>
      <c r="N41" s="26"/>
      <c r="O41" s="26"/>
      <c r="P41" s="26"/>
      <c r="Q41" s="26"/>
      <c r="R41" s="17">
        <v>19.169210402469616</v>
      </c>
      <c r="S41" s="17">
        <v>8.2410110794939104</v>
      </c>
      <c r="T41" s="17"/>
      <c r="U41" s="17"/>
      <c r="V41" s="17"/>
      <c r="W41" s="17"/>
      <c r="X41" s="17"/>
      <c r="Y41" s="17"/>
      <c r="Z41" s="17">
        <v>28.288458079623524</v>
      </c>
      <c r="AA41" s="17">
        <v>8.2847767613641921</v>
      </c>
      <c r="AB41" s="17"/>
      <c r="AC41" s="17"/>
      <c r="AD41" s="17"/>
      <c r="AE41" s="17"/>
      <c r="AF41" s="17">
        <v>4.9166666662373846</v>
      </c>
      <c r="AG41" s="17">
        <v>6.1237749785455084E-2</v>
      </c>
      <c r="AH41" s="17">
        <v>29.90638507908443</v>
      </c>
      <c r="AI41" s="17">
        <v>8.2506355920545751</v>
      </c>
      <c r="AJ41" s="17"/>
      <c r="AK41" s="17"/>
      <c r="AL41" s="17"/>
      <c r="AM41" s="17"/>
      <c r="AN41" s="17"/>
      <c r="AO41" s="17"/>
      <c r="AP41" s="26"/>
    </row>
    <row r="42" spans="1:42">
      <c r="A42" s="26"/>
      <c r="B42" s="26"/>
      <c r="C42" s="26"/>
      <c r="D42" s="26"/>
      <c r="E42" s="26"/>
      <c r="F42" s="26"/>
      <c r="G42" s="26"/>
      <c r="H42" s="26"/>
      <c r="I42" s="26"/>
      <c r="J42" s="26"/>
      <c r="K42" s="26"/>
      <c r="L42" s="26"/>
      <c r="M42" s="26"/>
      <c r="N42" s="26"/>
      <c r="O42" s="26"/>
      <c r="P42" s="26"/>
      <c r="Q42" s="26"/>
      <c r="R42" s="17">
        <v>19.477512511366513</v>
      </c>
      <c r="S42" s="17">
        <v>8.4555136918276546</v>
      </c>
      <c r="T42" s="17"/>
      <c r="U42" s="17"/>
      <c r="V42" s="17"/>
      <c r="W42" s="17"/>
      <c r="X42" s="17"/>
      <c r="Y42" s="17"/>
      <c r="Z42" s="17">
        <v>28.885414720571134</v>
      </c>
      <c r="AA42" s="17">
        <v>8.4060754944570366</v>
      </c>
      <c r="AB42" s="17"/>
      <c r="AC42" s="17"/>
      <c r="AD42" s="17"/>
      <c r="AE42" s="17"/>
      <c r="AF42" s="17">
        <v>5.0833333328894996</v>
      </c>
      <c r="AG42" s="17">
        <v>5.476429407357998E-2</v>
      </c>
      <c r="AH42" s="17">
        <v>29.94375132402638</v>
      </c>
      <c r="AI42" s="17">
        <v>8.5722924061678345</v>
      </c>
      <c r="AJ42" s="17"/>
      <c r="AK42" s="17"/>
      <c r="AL42" s="17"/>
      <c r="AM42" s="17"/>
      <c r="AN42" s="17"/>
      <c r="AO42" s="17"/>
      <c r="AP42" s="26"/>
    </row>
    <row r="43" spans="1:42" ht="15">
      <c r="A43" s="26"/>
      <c r="B43" s="167"/>
      <c r="C43" s="26"/>
      <c r="D43" s="26"/>
      <c r="E43" s="26"/>
      <c r="F43" s="26"/>
      <c r="G43" s="26"/>
      <c r="H43" s="26"/>
      <c r="I43" s="26"/>
      <c r="J43" s="26"/>
      <c r="K43" s="26"/>
      <c r="L43" s="26"/>
      <c r="M43" s="26"/>
      <c r="N43" s="26"/>
      <c r="O43" s="26"/>
      <c r="P43" s="26"/>
      <c r="Q43" s="26"/>
      <c r="R43" s="17">
        <v>19.67695818602806</v>
      </c>
      <c r="S43" s="17">
        <v>8.6700163041614005</v>
      </c>
      <c r="T43" s="17"/>
      <c r="U43" s="17"/>
      <c r="V43" s="17"/>
      <c r="W43" s="17"/>
      <c r="X43" s="17"/>
      <c r="Y43" s="17"/>
      <c r="Z43" s="17">
        <v>29.284366952197161</v>
      </c>
      <c r="AA43" s="17">
        <v>8.6294696083106093</v>
      </c>
      <c r="AB43" s="17"/>
      <c r="AC43" s="17"/>
      <c r="AD43" s="17"/>
      <c r="AE43" s="17"/>
      <c r="AF43" s="17">
        <v>5.2499999995416147</v>
      </c>
      <c r="AG43" s="17">
        <v>5.2879501979374556E-2</v>
      </c>
      <c r="AH43" s="17">
        <v>29.969121598696802</v>
      </c>
      <c r="AI43" s="17">
        <v>8.6735323605053125</v>
      </c>
      <c r="AJ43" s="17"/>
      <c r="AK43" s="17"/>
      <c r="AL43" s="17"/>
      <c r="AM43" s="17"/>
      <c r="AN43" s="17"/>
      <c r="AO43" s="17"/>
      <c r="AP43" s="26"/>
    </row>
    <row r="44" spans="1:42" ht="15">
      <c r="A44" s="26"/>
      <c r="B44" s="167"/>
      <c r="C44" s="26"/>
      <c r="D44" s="26"/>
      <c r="E44" s="26"/>
      <c r="F44" s="26"/>
      <c r="G44" s="26"/>
      <c r="H44" s="26"/>
      <c r="I44" s="26"/>
      <c r="J44" s="26"/>
      <c r="K44" s="26"/>
      <c r="L44" s="26"/>
      <c r="M44" s="26"/>
      <c r="N44" s="26"/>
      <c r="O44" s="26"/>
      <c r="P44" s="26"/>
      <c r="Q44" s="26"/>
      <c r="R44" s="17">
        <v>19.804373894294258</v>
      </c>
      <c r="S44" s="17">
        <v>8.8845189164951446</v>
      </c>
      <c r="T44" s="17"/>
      <c r="U44" s="17"/>
      <c r="V44" s="17"/>
      <c r="W44" s="17"/>
      <c r="X44" s="17"/>
      <c r="Y44" s="17"/>
      <c r="Z44" s="17">
        <v>29.547248141898308</v>
      </c>
      <c r="AA44" s="17">
        <v>8.7976750612445169</v>
      </c>
      <c r="AB44" s="17"/>
      <c r="AC44" s="17"/>
      <c r="AD44" s="17"/>
      <c r="AE44" s="17"/>
      <c r="AF44" s="17">
        <v>5.4166666661937288</v>
      </c>
      <c r="AG44" s="17">
        <v>5.5583373502847658E-2</v>
      </c>
      <c r="AH44" s="17">
        <v>29.987858388631139</v>
      </c>
      <c r="AI44" s="17">
        <v>8.949234131556004</v>
      </c>
      <c r="AJ44" s="17"/>
      <c r="AK44" s="17"/>
      <c r="AL44" s="17"/>
      <c r="AM44" s="17"/>
      <c r="AN44" s="17"/>
      <c r="AO44" s="17"/>
      <c r="AP44" s="26"/>
    </row>
    <row r="45" spans="1:42">
      <c r="A45" s="26"/>
      <c r="B45" s="26"/>
      <c r="C45" s="26"/>
      <c r="D45" s="26"/>
      <c r="E45" s="26"/>
      <c r="F45" s="26"/>
      <c r="G45" s="26"/>
      <c r="H45" s="26"/>
      <c r="I45" s="26"/>
      <c r="J45" s="26"/>
      <c r="K45" s="26"/>
      <c r="L45" s="26"/>
      <c r="M45" s="26"/>
      <c r="N45" s="26"/>
      <c r="O45" s="26"/>
      <c r="P45" s="26"/>
      <c r="Q45" s="26"/>
      <c r="R45" s="17">
        <v>19.886334486363921</v>
      </c>
      <c r="S45" s="17">
        <v>9.0990215288288887</v>
      </c>
      <c r="T45" s="17"/>
      <c r="U45" s="17"/>
      <c r="V45" s="17"/>
      <c r="W45" s="17"/>
      <c r="X45" s="17"/>
      <c r="Y45" s="17"/>
      <c r="Z45" s="17">
        <v>29.720264744537417</v>
      </c>
      <c r="AA45" s="17">
        <v>9.0960117106325917</v>
      </c>
      <c r="AB45" s="17"/>
      <c r="AC45" s="17"/>
      <c r="AD45" s="17"/>
      <c r="AE45" s="17"/>
      <c r="AF45" s="17">
        <v>5.5833333328458439</v>
      </c>
      <c r="AG45" s="17">
        <v>6.2875908643991354E-2</v>
      </c>
      <c r="AH45" s="17">
        <v>30.003981960180681</v>
      </c>
      <c r="AI45" s="17">
        <v>9.1845845668949195</v>
      </c>
      <c r="AJ45" s="17"/>
      <c r="AK45" s="17"/>
      <c r="AL45" s="17"/>
      <c r="AM45" s="17"/>
      <c r="AN45" s="17"/>
      <c r="AO45" s="17"/>
      <c r="AP45" s="26"/>
    </row>
    <row r="46" spans="1:42">
      <c r="A46" s="26"/>
      <c r="B46" s="26"/>
      <c r="C46" s="26"/>
      <c r="D46" s="26"/>
      <c r="E46" s="26"/>
      <c r="F46" s="26"/>
      <c r="G46" s="26"/>
      <c r="H46" s="26"/>
      <c r="I46" s="26"/>
      <c r="J46" s="26"/>
      <c r="K46" s="26"/>
      <c r="L46" s="26"/>
      <c r="M46" s="26"/>
      <c r="N46" s="26"/>
      <c r="O46" s="26"/>
      <c r="P46" s="26"/>
      <c r="Q46" s="26"/>
      <c r="R46" s="17">
        <v>19.94123642652994</v>
      </c>
      <c r="S46" s="17">
        <v>9.3135241411626346</v>
      </c>
      <c r="T46" s="17"/>
      <c r="U46" s="17"/>
      <c r="V46" s="17"/>
      <c r="W46" s="17"/>
      <c r="X46" s="17"/>
      <c r="Y46" s="17"/>
      <c r="Z46" s="17">
        <v>29.83625626511639</v>
      </c>
      <c r="AA46" s="17">
        <v>9.0847907523252065</v>
      </c>
      <c r="AB46" s="17"/>
      <c r="AC46" s="17"/>
      <c r="AD46" s="17"/>
      <c r="AE46" s="17"/>
      <c r="AF46" s="17">
        <v>5.7499999994979589</v>
      </c>
      <c r="AG46" s="17">
        <v>7.4757107402807291E-2</v>
      </c>
      <c r="AH46" s="17">
        <v>30.020979327673558</v>
      </c>
      <c r="AI46" s="17">
        <v>9.2019186423607167</v>
      </c>
      <c r="AJ46" s="17"/>
      <c r="AK46" s="17"/>
      <c r="AL46" s="17"/>
      <c r="AM46" s="17"/>
      <c r="AN46" s="17"/>
      <c r="AO46" s="17"/>
      <c r="AP46" s="26"/>
    </row>
    <row r="47" spans="1:42">
      <c r="A47" s="26"/>
      <c r="B47" s="26"/>
      <c r="C47" s="26"/>
      <c r="D47" s="26"/>
      <c r="E47" s="26"/>
      <c r="F47" s="26"/>
      <c r="G47" s="26"/>
      <c r="H47" s="26"/>
      <c r="I47" s="26"/>
      <c r="J47" s="26"/>
      <c r="K47" s="26"/>
      <c r="L47" s="26"/>
      <c r="M47" s="26"/>
      <c r="N47" s="26"/>
      <c r="O47" s="26"/>
      <c r="P47" s="26"/>
      <c r="Q47" s="26"/>
      <c r="R47" s="17">
        <v>19.981976119743194</v>
      </c>
      <c r="S47" s="17">
        <v>9.5280267534963787</v>
      </c>
      <c r="T47" s="17"/>
      <c r="U47" s="17"/>
      <c r="V47" s="17"/>
      <c r="W47" s="17"/>
      <c r="X47" s="17"/>
      <c r="Y47" s="17"/>
      <c r="Z47" s="17">
        <v>29.918337061826605</v>
      </c>
      <c r="AA47" s="17">
        <v>9.400064428430051</v>
      </c>
      <c r="AB47" s="17"/>
      <c r="AC47" s="17"/>
      <c r="AD47" s="17"/>
      <c r="AE47" s="17"/>
      <c r="AF47" s="17">
        <v>5.9166666661500731</v>
      </c>
      <c r="AG47" s="17">
        <v>9.1226969779299158E-2</v>
      </c>
      <c r="AH47" s="17">
        <v>30.042530830542091</v>
      </c>
      <c r="AI47" s="17">
        <v>9.5545939252935348</v>
      </c>
      <c r="AJ47" s="17"/>
      <c r="AK47" s="17"/>
      <c r="AL47" s="17"/>
      <c r="AM47" s="17"/>
      <c r="AN47" s="17"/>
      <c r="AO47" s="17"/>
      <c r="AP47" s="26"/>
    </row>
    <row r="48" spans="1:42">
      <c r="A48" s="26"/>
      <c r="B48" s="26"/>
      <c r="C48" s="26"/>
      <c r="D48" s="26"/>
      <c r="E48" s="26"/>
      <c r="F48" s="26"/>
      <c r="G48" s="26"/>
      <c r="H48" s="26"/>
      <c r="I48" s="26"/>
      <c r="J48" s="26"/>
      <c r="K48" s="26"/>
      <c r="L48" s="26"/>
      <c r="M48" s="26"/>
      <c r="N48" s="26"/>
      <c r="O48" s="26"/>
      <c r="P48" s="26"/>
      <c r="Q48" s="26"/>
      <c r="R48" s="17">
        <v>20.018397706735414</v>
      </c>
      <c r="S48" s="17">
        <v>9.7425293658301229</v>
      </c>
      <c r="T48" s="17"/>
      <c r="U48" s="17"/>
      <c r="V48" s="17"/>
      <c r="W48" s="17"/>
      <c r="X48" s="17"/>
      <c r="Y48" s="17"/>
      <c r="Z48" s="17">
        <v>29.98338512115879</v>
      </c>
      <c r="AA48" s="17">
        <v>9.4506547726504504</v>
      </c>
      <c r="AB48" s="17"/>
      <c r="AC48" s="17"/>
      <c r="AD48" s="17"/>
      <c r="AE48" s="17"/>
      <c r="AF48" s="17">
        <v>6.0833333328021881</v>
      </c>
      <c r="AG48" s="17">
        <v>0.11228549577346186</v>
      </c>
      <c r="AH48" s="17">
        <v>30.073280991928186</v>
      </c>
      <c r="AI48" s="17">
        <v>9.7397145399264993</v>
      </c>
      <c r="AJ48" s="17"/>
      <c r="AK48" s="17"/>
      <c r="AL48" s="17"/>
      <c r="AM48" s="17"/>
      <c r="AN48" s="17"/>
      <c r="AO48" s="17"/>
      <c r="AP48" s="26"/>
    </row>
    <row r="49" spans="1:42">
      <c r="A49" s="26"/>
      <c r="B49" s="26"/>
      <c r="C49" s="26"/>
      <c r="D49" s="26"/>
      <c r="E49" s="26"/>
      <c r="F49" s="26"/>
      <c r="G49" s="26"/>
      <c r="H49" s="26"/>
      <c r="I49" s="26"/>
      <c r="J49" s="26"/>
      <c r="K49" s="26"/>
      <c r="L49" s="26"/>
      <c r="M49" s="26"/>
      <c r="N49" s="26"/>
      <c r="O49" s="26"/>
      <c r="P49" s="26"/>
      <c r="Q49" s="26"/>
      <c r="R49" s="17">
        <v>20.059441142075229</v>
      </c>
      <c r="S49" s="17">
        <v>9.9570319781638688</v>
      </c>
      <c r="T49" s="17"/>
      <c r="U49" s="17"/>
      <c r="V49" s="17"/>
      <c r="W49" s="17"/>
      <c r="X49" s="17"/>
      <c r="Y49" s="17"/>
      <c r="Z49" s="17">
        <v>30.045040389813948</v>
      </c>
      <c r="AA49" s="17">
        <v>9.8117745951004327</v>
      </c>
      <c r="AB49" s="17"/>
      <c r="AC49" s="17"/>
      <c r="AD49" s="17"/>
      <c r="AE49" s="17"/>
      <c r="AF49" s="17">
        <v>6.2499999994543032</v>
      </c>
      <c r="AG49" s="17">
        <v>0.13788956154991522</v>
      </c>
      <c r="AH49" s="17">
        <v>30.119792056211736</v>
      </c>
      <c r="AI49" s="17">
        <v>9.921328281220049</v>
      </c>
      <c r="AJ49" s="17"/>
      <c r="AK49" s="17"/>
      <c r="AL49" s="17"/>
      <c r="AM49" s="17"/>
      <c r="AN49" s="17"/>
      <c r="AO49" s="17"/>
      <c r="AP49" s="26"/>
    </row>
    <row r="50" spans="1:42">
      <c r="A50" s="26"/>
      <c r="B50" s="26"/>
      <c r="C50" s="26"/>
      <c r="D50" s="26"/>
      <c r="E50" s="26"/>
      <c r="F50" s="26"/>
      <c r="G50" s="26"/>
      <c r="H50" s="26"/>
      <c r="I50" s="26"/>
      <c r="J50" s="26"/>
      <c r="K50" s="26"/>
      <c r="L50" s="26"/>
      <c r="M50" s="26"/>
      <c r="N50" s="26"/>
      <c r="O50" s="26"/>
      <c r="P50" s="26"/>
      <c r="Q50" s="26"/>
      <c r="R50" s="17">
        <v>20.115236625133548</v>
      </c>
      <c r="S50" s="17">
        <v>10.171534590497613</v>
      </c>
      <c r="T50" s="17"/>
      <c r="U50" s="17"/>
      <c r="V50" s="17"/>
      <c r="W50" s="17"/>
      <c r="X50" s="17"/>
      <c r="Y50" s="17"/>
      <c r="Z50" s="17">
        <v>30.116360024840105</v>
      </c>
      <c r="AA50" s="17">
        <v>10.284517781157046</v>
      </c>
      <c r="AB50" s="17"/>
      <c r="AC50" s="17"/>
      <c r="AD50" s="17"/>
      <c r="AE50" s="17"/>
      <c r="AF50" s="17">
        <v>6.4166666661064173</v>
      </c>
      <c r="AG50" s="17">
        <v>0.16538998895541748</v>
      </c>
      <c r="AH50" s="17">
        <v>30.191834959259722</v>
      </c>
      <c r="AI50" s="17">
        <v>10.118093901764601</v>
      </c>
      <c r="AJ50" s="17"/>
      <c r="AK50" s="17"/>
      <c r="AL50" s="17"/>
      <c r="AM50" s="17"/>
      <c r="AN50" s="17"/>
      <c r="AO50" s="17"/>
      <c r="AP50" s="26"/>
    </row>
    <row r="51" spans="1:42">
      <c r="A51" s="26"/>
      <c r="B51" s="26"/>
      <c r="C51" s="26"/>
      <c r="D51" s="26"/>
      <c r="E51" s="26"/>
      <c r="F51" s="26"/>
      <c r="G51" s="26"/>
      <c r="H51" s="26"/>
      <c r="I51" s="26"/>
      <c r="J51" s="26"/>
      <c r="K51" s="26"/>
      <c r="L51" s="26"/>
      <c r="M51" s="26"/>
      <c r="N51" s="26"/>
      <c r="O51" s="26"/>
      <c r="P51" s="26"/>
      <c r="Q51" s="26"/>
      <c r="R51" s="17">
        <v>20.199536230938975</v>
      </c>
      <c r="S51" s="17">
        <v>10.386037202831357</v>
      </c>
      <c r="T51" s="17"/>
      <c r="U51" s="17"/>
      <c r="V51" s="17"/>
      <c r="W51" s="17"/>
      <c r="X51" s="17"/>
      <c r="Y51" s="17"/>
      <c r="Z51" s="17">
        <v>30.212474045401905</v>
      </c>
      <c r="AA51" s="17">
        <v>10.294536398407072</v>
      </c>
      <c r="AB51" s="17"/>
      <c r="AC51" s="17"/>
      <c r="AD51" s="17"/>
      <c r="AE51" s="17"/>
      <c r="AF51" s="17">
        <v>6.5833333327585324</v>
      </c>
      <c r="AG51" s="17">
        <v>0.19064464761456792</v>
      </c>
      <c r="AH51" s="17">
        <v>30.304181580140721</v>
      </c>
      <c r="AI51" s="17">
        <v>10.340274881910533</v>
      </c>
      <c r="AJ51" s="17"/>
      <c r="AK51" s="17"/>
      <c r="AL51" s="17"/>
      <c r="AM51" s="17"/>
      <c r="AN51" s="17"/>
      <c r="AO51" s="17"/>
      <c r="AP51" s="26"/>
    </row>
    <row r="52" spans="1:42">
      <c r="A52" s="26"/>
      <c r="B52" s="26"/>
      <c r="C52" s="26"/>
      <c r="D52" s="26"/>
      <c r="E52" s="26"/>
      <c r="F52" s="26"/>
      <c r="G52" s="26"/>
      <c r="H52" s="26"/>
      <c r="I52" s="26"/>
      <c r="J52" s="26"/>
      <c r="K52" s="26"/>
      <c r="L52" s="26"/>
      <c r="M52" s="26"/>
      <c r="N52" s="26"/>
      <c r="O52" s="26"/>
      <c r="P52" s="26"/>
      <c r="Q52" s="26"/>
      <c r="R52" s="17">
        <v>20.332998641242739</v>
      </c>
      <c r="S52" s="17">
        <v>10.600539815165103</v>
      </c>
      <c r="T52" s="17"/>
      <c r="U52" s="17"/>
      <c r="V52" s="17"/>
      <c r="W52" s="17"/>
      <c r="X52" s="17"/>
      <c r="Y52" s="17"/>
      <c r="Z52" s="17">
        <v>30.353687058959622</v>
      </c>
      <c r="AA52" s="17">
        <v>10.521781745608896</v>
      </c>
      <c r="AB52" s="17"/>
      <c r="AC52" s="17"/>
      <c r="AD52" s="17"/>
      <c r="AE52" s="17"/>
      <c r="AF52" s="17">
        <v>6.7499999994106474</v>
      </c>
      <c r="AG52" s="17">
        <v>0.21329299556238734</v>
      </c>
      <c r="AH52" s="17">
        <v>30.479027204273734</v>
      </c>
      <c r="AI52" s="17">
        <v>10.526514122683555</v>
      </c>
      <c r="AJ52" s="17"/>
      <c r="AK52" s="17"/>
      <c r="AL52" s="17"/>
      <c r="AM52" s="17"/>
      <c r="AN52" s="17"/>
      <c r="AO52" s="17"/>
      <c r="AP52" s="26"/>
    </row>
    <row r="53" spans="1:42">
      <c r="A53" s="26"/>
      <c r="B53" s="26"/>
      <c r="C53" s="26"/>
      <c r="D53" s="26"/>
      <c r="E53" s="26"/>
      <c r="F53" s="26"/>
      <c r="G53" s="26"/>
      <c r="H53" s="26"/>
      <c r="I53" s="26"/>
      <c r="J53" s="26"/>
      <c r="K53" s="26"/>
      <c r="L53" s="26"/>
      <c r="M53" s="26"/>
      <c r="N53" s="26"/>
      <c r="O53" s="26"/>
      <c r="P53" s="26"/>
      <c r="Q53" s="26"/>
      <c r="R53" s="17">
        <v>20.548015915846918</v>
      </c>
      <c r="S53" s="17">
        <v>10.815042427498847</v>
      </c>
      <c r="T53" s="17"/>
      <c r="U53" s="17"/>
      <c r="V53" s="17"/>
      <c r="W53" s="17"/>
      <c r="X53" s="17"/>
      <c r="Y53" s="17"/>
      <c r="Z53" s="17">
        <v>30.569570830266457</v>
      </c>
      <c r="AA53" s="17">
        <v>10.627726228442043</v>
      </c>
      <c r="AB53" s="17"/>
      <c r="AC53" s="17"/>
      <c r="AD53" s="17"/>
      <c r="AE53" s="17"/>
      <c r="AF53" s="17">
        <v>6.9166666660627616</v>
      </c>
      <c r="AG53" s="17">
        <v>0.23333503279887352</v>
      </c>
      <c r="AH53" s="17">
        <v>30.749027973797638</v>
      </c>
      <c r="AI53" s="17">
        <v>10.716714065384119</v>
      </c>
      <c r="AJ53" s="17"/>
      <c r="AK53" s="17"/>
      <c r="AL53" s="17"/>
      <c r="AM53" s="17"/>
      <c r="AN53" s="17"/>
      <c r="AO53" s="17"/>
      <c r="AP53" s="26"/>
    </row>
    <row r="54" spans="1:42">
      <c r="A54" s="26"/>
      <c r="B54" s="26"/>
      <c r="C54" s="26"/>
      <c r="D54" s="26"/>
      <c r="E54" s="26"/>
      <c r="F54" s="26"/>
      <c r="G54" s="26"/>
      <c r="H54" s="26"/>
      <c r="I54" s="26"/>
      <c r="J54" s="26"/>
      <c r="K54" s="26"/>
      <c r="L54" s="26"/>
      <c r="M54" s="26"/>
      <c r="N54" s="26"/>
      <c r="O54" s="26"/>
      <c r="P54" s="26"/>
      <c r="Q54" s="26"/>
      <c r="R54" s="17">
        <v>20.896024066314567</v>
      </c>
      <c r="S54" s="17">
        <v>11.029545039832591</v>
      </c>
      <c r="T54" s="17"/>
      <c r="U54" s="17"/>
      <c r="V54" s="17"/>
      <c r="W54" s="17"/>
      <c r="X54" s="17"/>
      <c r="Y54" s="17"/>
      <c r="Z54" s="17">
        <v>30.904717471275944</v>
      </c>
      <c r="AA54" s="17">
        <v>10.915235111545771</v>
      </c>
      <c r="AB54" s="17"/>
      <c r="AC54" s="17"/>
      <c r="AD54" s="17"/>
      <c r="AE54" s="17"/>
      <c r="AF54" s="17">
        <v>7.0833333327148766</v>
      </c>
      <c r="AG54" s="17">
        <v>0.25077075932402937</v>
      </c>
      <c r="AH54" s="17">
        <v>31.160632845421787</v>
      </c>
      <c r="AI54" s="17">
        <v>10.92176637821272</v>
      </c>
      <c r="AJ54" s="17"/>
      <c r="AK54" s="17"/>
      <c r="AL54" s="17"/>
      <c r="AM54" s="17"/>
      <c r="AN54" s="17"/>
      <c r="AO54" s="17"/>
      <c r="AP54" s="26"/>
    </row>
    <row r="55" spans="1:42">
      <c r="A55" s="26"/>
      <c r="B55" s="26"/>
      <c r="C55" s="26"/>
      <c r="D55" s="26"/>
      <c r="E55" s="26"/>
      <c r="F55" s="26"/>
      <c r="G55" s="26"/>
      <c r="H55" s="26"/>
      <c r="I55" s="26"/>
      <c r="J55" s="26"/>
      <c r="K55" s="26"/>
      <c r="L55" s="26"/>
      <c r="M55" s="26"/>
      <c r="N55" s="26"/>
      <c r="O55" s="26"/>
      <c r="P55" s="26"/>
      <c r="Q55" s="26"/>
      <c r="R55" s="17">
        <v>21.458622148202267</v>
      </c>
      <c r="S55" s="17">
        <v>11.244047652166337</v>
      </c>
      <c r="T55" s="17"/>
      <c r="U55" s="17"/>
      <c r="V55" s="17"/>
      <c r="W55" s="17"/>
      <c r="X55" s="17"/>
      <c r="Y55" s="17"/>
      <c r="Z55" s="17">
        <v>31.426960798853543</v>
      </c>
      <c r="AA55" s="17">
        <v>11.084914463479072</v>
      </c>
      <c r="AB55" s="17"/>
      <c r="AC55" s="17"/>
      <c r="AD55" s="17"/>
      <c r="AE55" s="17"/>
      <c r="AF55" s="17">
        <v>7.2499999993669917</v>
      </c>
      <c r="AG55" s="17">
        <v>0.2656001751378616</v>
      </c>
      <c r="AH55" s="17">
        <v>31.777109763061162</v>
      </c>
      <c r="AI55" s="17">
        <v>11.123641830880194</v>
      </c>
      <c r="AJ55" s="17"/>
      <c r="AK55" s="17"/>
      <c r="AL55" s="17"/>
      <c r="AM55" s="17"/>
      <c r="AN55" s="17"/>
      <c r="AO55" s="17"/>
      <c r="AP55" s="26"/>
    </row>
    <row r="56" spans="1:42">
      <c r="A56" s="26"/>
      <c r="B56" s="26"/>
      <c r="C56" s="26"/>
      <c r="D56" s="26"/>
      <c r="E56" s="26"/>
      <c r="F56" s="26"/>
      <c r="G56" s="26"/>
      <c r="H56" s="26"/>
      <c r="I56" s="26"/>
      <c r="J56" s="26"/>
      <c r="K56" s="26"/>
      <c r="L56" s="26"/>
      <c r="M56" s="26"/>
      <c r="N56" s="26"/>
      <c r="O56" s="26"/>
      <c r="P56" s="26"/>
      <c r="Q56" s="26"/>
      <c r="R56" s="17">
        <v>22.364652594842482</v>
      </c>
      <c r="S56" s="17">
        <v>11.458550264500081</v>
      </c>
      <c r="T56" s="17"/>
      <c r="U56" s="17"/>
      <c r="V56" s="17"/>
      <c r="W56" s="17"/>
      <c r="X56" s="17"/>
      <c r="Y56" s="17"/>
      <c r="Z56" s="17">
        <v>32.239001510606613</v>
      </c>
      <c r="AA56" s="17">
        <v>11.226372458133847</v>
      </c>
      <c r="AB56" s="17"/>
      <c r="AC56" s="17"/>
      <c r="AD56" s="17"/>
      <c r="AE56" s="17"/>
      <c r="AF56" s="17">
        <v>7.4166666660191058</v>
      </c>
      <c r="AG56" s="17">
        <v>0.27782328012886875</v>
      </c>
      <c r="AH56" s="17">
        <v>32.681422297901008</v>
      </c>
      <c r="AI56" s="17">
        <v>11.335130838844925</v>
      </c>
      <c r="AJ56" s="17"/>
      <c r="AK56" s="17"/>
      <c r="AL56" s="17"/>
      <c r="AM56" s="17"/>
      <c r="AN56" s="17"/>
      <c r="AO56" s="17"/>
      <c r="AP56" s="26"/>
    </row>
    <row r="57" spans="1:42">
      <c r="A57" s="26"/>
      <c r="B57" s="26"/>
      <c r="C57" s="26"/>
      <c r="D57" s="26"/>
      <c r="E57" s="26"/>
      <c r="F57" s="26"/>
      <c r="G57" s="26"/>
      <c r="H57" s="26"/>
      <c r="I57" s="26"/>
      <c r="J57" s="26"/>
      <c r="K57" s="26"/>
      <c r="L57" s="26"/>
      <c r="M57" s="26"/>
      <c r="N57" s="26"/>
      <c r="O57" s="26"/>
      <c r="P57" s="26"/>
      <c r="Q57" s="26"/>
      <c r="R57" s="17">
        <v>23.818284484150354</v>
      </c>
      <c r="S57" s="17">
        <v>11.673052876833827</v>
      </c>
      <c r="T57" s="17"/>
      <c r="U57" s="17"/>
      <c r="V57" s="17"/>
      <c r="W57" s="17"/>
      <c r="X57" s="17"/>
      <c r="Y57" s="17"/>
      <c r="Z57" s="17">
        <v>33.494635509850923</v>
      </c>
      <c r="AA57" s="17">
        <v>11.385016548875718</v>
      </c>
      <c r="AB57" s="17"/>
      <c r="AC57" s="17"/>
      <c r="AD57" s="17"/>
      <c r="AE57" s="17"/>
      <c r="AF57" s="17">
        <v>7.5833333326712209</v>
      </c>
      <c r="AG57" s="17">
        <v>0.28636268375169016</v>
      </c>
      <c r="AH57" s="17">
        <v>33.983392054506112</v>
      </c>
      <c r="AI57" s="17">
        <v>11.515661543425173</v>
      </c>
      <c r="AJ57" s="17"/>
      <c r="AK57" s="17"/>
      <c r="AL57" s="17"/>
      <c r="AM57" s="17"/>
      <c r="AN57" s="17"/>
      <c r="AO57" s="17"/>
      <c r="AP57" s="26"/>
    </row>
    <row r="58" spans="1:42">
      <c r="A58" s="26"/>
      <c r="B58" s="26"/>
      <c r="C58" s="26"/>
      <c r="D58" s="26"/>
      <c r="E58" s="26"/>
      <c r="F58" s="26"/>
      <c r="G58" s="26"/>
      <c r="H58" s="26"/>
      <c r="I58" s="26"/>
      <c r="J58" s="26"/>
      <c r="K58" s="26"/>
      <c r="L58" s="26"/>
      <c r="M58" s="26"/>
      <c r="N58" s="26"/>
      <c r="O58" s="26"/>
      <c r="P58" s="26"/>
      <c r="Q58" s="26"/>
      <c r="R58" s="17">
        <v>26.154666273214389</v>
      </c>
      <c r="S58" s="17">
        <v>11.887555489167571</v>
      </c>
      <c r="T58" s="17"/>
      <c r="U58" s="17"/>
      <c r="V58" s="17"/>
      <c r="W58" s="17"/>
      <c r="X58" s="17"/>
      <c r="Y58" s="17"/>
      <c r="Z58" s="17">
        <v>35.422255621233489</v>
      </c>
      <c r="AA58" s="17">
        <v>11.676670697722583</v>
      </c>
      <c r="AB58" s="17"/>
      <c r="AC58" s="17"/>
      <c r="AD58" s="17"/>
      <c r="AE58" s="17"/>
      <c r="AF58" s="17">
        <v>7.7499999993233359</v>
      </c>
      <c r="AG58" s="17">
        <v>0.28696937644847303</v>
      </c>
      <c r="AH58" s="17">
        <v>35.846407026110683</v>
      </c>
      <c r="AI58" s="17">
        <v>11.742123357553035</v>
      </c>
      <c r="AJ58" s="17"/>
      <c r="AK58" s="17"/>
      <c r="AL58" s="17"/>
      <c r="AM58" s="17"/>
      <c r="AN58" s="17"/>
      <c r="AO58" s="17"/>
      <c r="AP58" s="26"/>
    </row>
    <row r="59" spans="1:42">
      <c r="A59" s="26"/>
      <c r="B59" s="26"/>
      <c r="C59" s="26"/>
      <c r="D59" s="26"/>
      <c r="E59" s="26"/>
      <c r="F59" s="26"/>
      <c r="G59" s="26"/>
      <c r="H59" s="26"/>
      <c r="I59" s="26"/>
      <c r="J59" s="26"/>
      <c r="K59" s="26"/>
      <c r="L59" s="26"/>
      <c r="M59" s="26"/>
      <c r="N59" s="26"/>
      <c r="O59" s="26"/>
      <c r="P59" s="26"/>
      <c r="Q59" s="26"/>
      <c r="R59" s="17">
        <v>29.98321672930615</v>
      </c>
      <c r="S59" s="17">
        <v>12.102058101501315</v>
      </c>
      <c r="T59" s="17"/>
      <c r="U59" s="17"/>
      <c r="V59" s="17"/>
      <c r="W59" s="17"/>
      <c r="X59" s="17"/>
      <c r="Y59" s="17"/>
      <c r="Z59" s="17">
        <v>38.365417947352398</v>
      </c>
      <c r="AA59" s="17">
        <v>11.805349126476795</v>
      </c>
      <c r="AB59" s="17"/>
      <c r="AC59" s="17"/>
      <c r="AD59" s="17"/>
      <c r="AE59" s="17"/>
      <c r="AF59" s="17">
        <v>7.9166666659754501</v>
      </c>
      <c r="AG59" s="17">
        <v>0.27859603188108878</v>
      </c>
      <c r="AH59" s="17">
        <v>38.567444209184032</v>
      </c>
      <c r="AI59" s="17">
        <v>11.919127186704428</v>
      </c>
      <c r="AJ59" s="17"/>
      <c r="AK59" s="17"/>
      <c r="AL59" s="17"/>
      <c r="AM59" s="17"/>
      <c r="AN59" s="17"/>
      <c r="AO59" s="17"/>
      <c r="AP59" s="26"/>
    </row>
    <row r="60" spans="1:42">
      <c r="A60" s="26"/>
      <c r="B60" s="26"/>
      <c r="C60" s="26"/>
      <c r="D60" s="26"/>
      <c r="E60" s="26"/>
      <c r="F60" s="26"/>
      <c r="G60" s="26"/>
      <c r="H60" s="26"/>
      <c r="I60" s="26"/>
      <c r="J60" s="26"/>
      <c r="K60" s="26"/>
      <c r="L60" s="26"/>
      <c r="M60" s="26"/>
      <c r="N60" s="26"/>
      <c r="O60" s="26"/>
      <c r="P60" s="26"/>
      <c r="Q60" s="26"/>
      <c r="R60" s="17">
        <v>36.643806887150276</v>
      </c>
      <c r="S60" s="17">
        <v>12.316560713835061</v>
      </c>
      <c r="T60" s="17"/>
      <c r="U60" s="17"/>
      <c r="V60" s="17"/>
      <c r="W60" s="17"/>
      <c r="X60" s="17"/>
      <c r="Y60" s="17"/>
      <c r="Z60" s="17">
        <v>42.877503424824681</v>
      </c>
      <c r="AA60" s="17">
        <v>12.00734264222905</v>
      </c>
      <c r="AB60" s="17"/>
      <c r="AC60" s="17"/>
      <c r="AD60" s="17"/>
      <c r="AE60" s="17"/>
      <c r="AF60" s="17">
        <v>8.0833333326275643</v>
      </c>
      <c r="AG60" s="17">
        <v>0.26124265004952396</v>
      </c>
      <c r="AH60" s="17">
        <v>42.780707859492395</v>
      </c>
      <c r="AI60" s="17">
        <v>12.134579030226917</v>
      </c>
      <c r="AJ60" s="17"/>
      <c r="AK60" s="17"/>
      <c r="AL60" s="17"/>
      <c r="AM60" s="17"/>
      <c r="AN60" s="17"/>
      <c r="AO60" s="17"/>
      <c r="AP60" s="26"/>
    </row>
    <row r="61" spans="1:42">
      <c r="A61" s="26"/>
      <c r="B61" s="26"/>
      <c r="C61" s="26"/>
      <c r="D61" s="26"/>
      <c r="E61" s="26"/>
      <c r="F61" s="26"/>
      <c r="G61" s="26"/>
      <c r="H61" s="26"/>
      <c r="I61" s="26"/>
      <c r="J61" s="26"/>
      <c r="K61" s="26"/>
      <c r="L61" s="26"/>
      <c r="M61" s="26"/>
      <c r="N61" s="26"/>
      <c r="O61" s="26"/>
      <c r="P61" s="26"/>
      <c r="Q61" s="26"/>
      <c r="R61" s="17">
        <v>49.999999998544808</v>
      </c>
      <c r="S61" s="17">
        <v>12.531063326168805</v>
      </c>
      <c r="T61" s="17"/>
      <c r="U61" s="17"/>
      <c r="V61" s="17"/>
      <c r="W61" s="17"/>
      <c r="X61" s="17"/>
      <c r="Y61" s="17"/>
      <c r="Z61" s="17">
        <v>49.999999995634425</v>
      </c>
      <c r="AA61" s="17">
        <v>12.223539364431053</v>
      </c>
      <c r="AB61" s="17"/>
      <c r="AC61" s="17"/>
      <c r="AD61" s="17"/>
      <c r="AE61" s="17"/>
      <c r="AF61" s="17">
        <v>8.2499999992796802</v>
      </c>
      <c r="AG61" s="17">
        <v>0.23490923095379432</v>
      </c>
      <c r="AH61" s="17">
        <v>49.999999983992893</v>
      </c>
      <c r="AI61" s="17">
        <v>12.329984020184726</v>
      </c>
      <c r="AJ61" s="17"/>
      <c r="AK61" s="17"/>
      <c r="AL61" s="17"/>
      <c r="AM61" s="17"/>
      <c r="AN61" s="17"/>
      <c r="AO61" s="17"/>
      <c r="AP61" s="26"/>
    </row>
    <row r="62" spans="1:42">
      <c r="A62" s="26"/>
      <c r="B62" s="26"/>
      <c r="C62" s="26"/>
      <c r="D62" s="26"/>
      <c r="E62" s="26"/>
      <c r="F62" s="26"/>
      <c r="G62" s="26"/>
      <c r="H62" s="26"/>
      <c r="I62" s="26"/>
      <c r="J62" s="26"/>
      <c r="K62" s="26"/>
      <c r="L62" s="26"/>
      <c r="M62" s="26"/>
      <c r="N62" s="26"/>
      <c r="O62" s="26"/>
      <c r="P62" s="26"/>
      <c r="Q62" s="26"/>
      <c r="R62" s="17"/>
      <c r="S62" s="17"/>
      <c r="T62" s="17"/>
      <c r="U62" s="17"/>
      <c r="V62" s="17"/>
      <c r="W62" s="17"/>
      <c r="X62" s="17"/>
      <c r="Y62" s="17"/>
      <c r="Z62" s="17"/>
      <c r="AA62" s="17"/>
      <c r="AB62" s="17"/>
      <c r="AC62" s="17"/>
      <c r="AD62" s="17"/>
      <c r="AE62" s="17"/>
      <c r="AF62" s="17">
        <v>8.4166666659317944</v>
      </c>
      <c r="AG62" s="17">
        <v>0.20330271463889535</v>
      </c>
      <c r="AH62" s="17"/>
      <c r="AI62" s="17"/>
      <c r="AJ62" s="17"/>
      <c r="AK62" s="17"/>
      <c r="AL62" s="17"/>
      <c r="AM62" s="17"/>
      <c r="AN62" s="17"/>
      <c r="AO62" s="17"/>
      <c r="AP62" s="26"/>
    </row>
    <row r="63" spans="1:42">
      <c r="A63" s="26"/>
      <c r="B63" s="26"/>
      <c r="C63" s="26"/>
      <c r="D63" s="26"/>
      <c r="E63" s="26"/>
      <c r="F63" s="26"/>
      <c r="G63" s="26"/>
      <c r="H63" s="26"/>
      <c r="I63" s="26"/>
      <c r="J63" s="26"/>
      <c r="K63" s="26"/>
      <c r="L63" s="26"/>
      <c r="M63" s="26"/>
      <c r="N63" s="26"/>
      <c r="O63" s="26"/>
      <c r="P63" s="26"/>
      <c r="Q63" s="26"/>
      <c r="R63" s="17"/>
      <c r="S63" s="17"/>
      <c r="T63" s="17"/>
      <c r="U63" s="17"/>
      <c r="V63" s="17"/>
      <c r="W63" s="17"/>
      <c r="X63" s="17"/>
      <c r="Y63" s="17"/>
      <c r="Z63" s="17"/>
      <c r="AA63" s="17"/>
      <c r="AB63" s="17"/>
      <c r="AC63" s="17"/>
      <c r="AD63" s="17"/>
      <c r="AE63" s="17"/>
      <c r="AF63" s="17">
        <v>8.5833333325839085</v>
      </c>
      <c r="AG63" s="17">
        <v>0.18822174925058086</v>
      </c>
      <c r="AH63" s="17"/>
      <c r="AI63" s="17"/>
      <c r="AJ63" s="17"/>
      <c r="AK63" s="17"/>
      <c r="AL63" s="17"/>
      <c r="AM63" s="17"/>
      <c r="AN63" s="17"/>
      <c r="AO63" s="17"/>
      <c r="AP63" s="26"/>
    </row>
    <row r="64" spans="1:42">
      <c r="A64" s="26"/>
      <c r="B64" s="26"/>
      <c r="C64" s="26"/>
      <c r="D64" s="26"/>
      <c r="E64" s="26"/>
      <c r="F64" s="26"/>
      <c r="G64" s="26"/>
      <c r="H64" s="26"/>
      <c r="I64" s="26"/>
      <c r="J64" s="26"/>
      <c r="K64" s="26"/>
      <c r="L64" s="26"/>
      <c r="M64" s="26"/>
      <c r="N64" s="26"/>
      <c r="O64" s="26"/>
      <c r="P64" s="26"/>
      <c r="Q64" s="26"/>
      <c r="R64" s="17"/>
      <c r="S64" s="17"/>
      <c r="T64" s="17"/>
      <c r="U64" s="17"/>
      <c r="V64" s="17"/>
      <c r="W64" s="17"/>
      <c r="X64" s="17"/>
      <c r="Y64" s="17"/>
      <c r="Z64" s="17"/>
      <c r="AA64" s="17"/>
      <c r="AB64" s="17"/>
      <c r="AC64" s="17"/>
      <c r="AD64" s="17"/>
      <c r="AE64" s="17"/>
      <c r="AF64" s="17">
        <v>8.7499999992360245</v>
      </c>
      <c r="AG64" s="17">
        <v>0.19760833012114573</v>
      </c>
      <c r="AH64" s="17"/>
      <c r="AI64" s="17"/>
      <c r="AJ64" s="17"/>
      <c r="AK64" s="17"/>
      <c r="AL64" s="17"/>
      <c r="AM64" s="17"/>
      <c r="AN64" s="17"/>
      <c r="AO64" s="17"/>
      <c r="AP64" s="26"/>
    </row>
    <row r="65" spans="1:42">
      <c r="A65" s="26"/>
      <c r="B65" s="26"/>
      <c r="C65" s="26"/>
      <c r="D65" s="26"/>
      <c r="E65" s="26"/>
      <c r="F65" s="26"/>
      <c r="G65" s="26"/>
      <c r="H65" s="26"/>
      <c r="I65" s="26"/>
      <c r="J65" s="26"/>
      <c r="K65" s="26"/>
      <c r="L65" s="26"/>
      <c r="M65" s="26"/>
      <c r="N65" s="26"/>
      <c r="O65" s="26"/>
      <c r="P65" s="26"/>
      <c r="Q65" s="26"/>
      <c r="R65" s="17"/>
      <c r="S65" s="17"/>
      <c r="T65" s="17"/>
      <c r="U65" s="17"/>
      <c r="V65" s="17"/>
      <c r="W65" s="17"/>
      <c r="X65" s="17"/>
      <c r="Y65" s="17"/>
      <c r="Z65" s="17"/>
      <c r="AA65" s="17"/>
      <c r="AB65" s="17"/>
      <c r="AC65" s="17"/>
      <c r="AD65" s="17"/>
      <c r="AE65" s="17"/>
      <c r="AF65" s="17">
        <v>8.9166666658881386</v>
      </c>
      <c r="AG65" s="17">
        <v>0.23236967615874882</v>
      </c>
      <c r="AH65" s="17"/>
      <c r="AI65" s="17"/>
      <c r="AJ65" s="17"/>
      <c r="AK65" s="17"/>
      <c r="AL65" s="17"/>
      <c r="AM65" s="17"/>
      <c r="AN65" s="17"/>
      <c r="AO65" s="17"/>
      <c r="AP65" s="26"/>
    </row>
    <row r="66" spans="1:42">
      <c r="A66" s="26"/>
      <c r="B66" s="26"/>
      <c r="C66" s="26"/>
      <c r="D66" s="26"/>
      <c r="E66" s="26"/>
      <c r="F66" s="26"/>
      <c r="G66" s="26"/>
      <c r="H66" s="26"/>
      <c r="I66" s="26"/>
      <c r="J66" s="26"/>
      <c r="K66" s="26"/>
      <c r="L66" s="26"/>
      <c r="M66" s="26"/>
      <c r="N66" s="26"/>
      <c r="O66" s="26"/>
      <c r="P66" s="26"/>
      <c r="Q66" s="26"/>
      <c r="R66" s="17"/>
      <c r="S66" s="17"/>
      <c r="T66" s="17"/>
      <c r="U66" s="17"/>
      <c r="V66" s="17"/>
      <c r="W66" s="17"/>
      <c r="X66" s="17"/>
      <c r="Y66" s="17"/>
      <c r="Z66" s="17"/>
      <c r="AA66" s="17"/>
      <c r="AB66" s="17"/>
      <c r="AC66" s="17"/>
      <c r="AD66" s="17"/>
      <c r="AE66" s="17"/>
      <c r="AF66" s="17">
        <v>9.0833333325402528</v>
      </c>
      <c r="AG66" s="17">
        <v>0.32795836615556778</v>
      </c>
      <c r="AH66" s="17"/>
      <c r="AI66" s="17"/>
      <c r="AJ66" s="17"/>
      <c r="AK66" s="17"/>
      <c r="AL66" s="17"/>
      <c r="AM66" s="17"/>
      <c r="AN66" s="17"/>
      <c r="AO66" s="17"/>
      <c r="AP66" s="26"/>
    </row>
    <row r="67" spans="1:42">
      <c r="A67" s="26"/>
      <c r="B67" s="26"/>
      <c r="C67" s="26"/>
      <c r="D67" s="26"/>
      <c r="E67" s="26"/>
      <c r="F67" s="26"/>
      <c r="G67" s="26"/>
      <c r="H67" s="26"/>
      <c r="I67" s="26"/>
      <c r="J67" s="26"/>
      <c r="K67" s="26"/>
      <c r="L67" s="26"/>
      <c r="M67" s="26"/>
      <c r="N67" s="26"/>
      <c r="O67" s="26"/>
      <c r="P67" s="26"/>
      <c r="Q67" s="26"/>
      <c r="R67" s="17"/>
      <c r="S67" s="17"/>
      <c r="T67" s="17"/>
      <c r="U67" s="17"/>
      <c r="V67" s="17"/>
      <c r="W67" s="17"/>
      <c r="X67" s="17"/>
      <c r="Y67" s="17"/>
      <c r="Z67" s="17"/>
      <c r="AA67" s="17"/>
      <c r="AB67" s="17"/>
      <c r="AC67" s="17"/>
      <c r="AD67" s="17"/>
      <c r="AE67" s="17"/>
      <c r="AF67" s="17">
        <v>9.2499999991923687</v>
      </c>
      <c r="AG67" s="17">
        <v>0.53079586060204731</v>
      </c>
      <c r="AH67" s="17"/>
      <c r="AI67" s="17"/>
      <c r="AJ67" s="17"/>
      <c r="AK67" s="17"/>
      <c r="AL67" s="17"/>
      <c r="AM67" s="17"/>
      <c r="AN67" s="17"/>
      <c r="AO67" s="17"/>
      <c r="AP67" s="26"/>
    </row>
    <row r="68" spans="1:42">
      <c r="A68" s="26"/>
      <c r="B68" s="26"/>
      <c r="C68" s="26"/>
      <c r="D68" s="26"/>
      <c r="E68" s="26"/>
      <c r="F68" s="26"/>
      <c r="G68" s="26"/>
      <c r="H68" s="26"/>
      <c r="I68" s="26"/>
      <c r="J68" s="26"/>
      <c r="K68" s="26"/>
      <c r="L68" s="26"/>
      <c r="M68" s="26"/>
      <c r="N68" s="26"/>
      <c r="O68" s="26"/>
      <c r="P68" s="26"/>
      <c r="Q68" s="26"/>
      <c r="R68" s="17"/>
      <c r="S68" s="17"/>
      <c r="T68" s="17"/>
      <c r="U68" s="17"/>
      <c r="V68" s="17"/>
      <c r="W68" s="17"/>
      <c r="X68" s="17"/>
      <c r="Y68" s="17"/>
      <c r="Z68" s="17"/>
      <c r="AA68" s="17"/>
      <c r="AB68" s="17"/>
      <c r="AC68" s="17"/>
      <c r="AD68" s="17"/>
      <c r="AE68" s="17"/>
      <c r="AF68" s="17">
        <v>9.4166666658444829</v>
      </c>
      <c r="AG68" s="17">
        <v>0.8420478352269879</v>
      </c>
      <c r="AH68" s="17"/>
      <c r="AI68" s="17"/>
      <c r="AJ68" s="17"/>
      <c r="AK68" s="17"/>
      <c r="AL68" s="17"/>
      <c r="AM68" s="17"/>
      <c r="AN68" s="17"/>
      <c r="AO68" s="17"/>
      <c r="AP68" s="26"/>
    </row>
    <row r="69" spans="1:42">
      <c r="A69" s="26"/>
      <c r="B69" s="26"/>
      <c r="C69" s="26"/>
      <c r="D69" s="26"/>
      <c r="E69" s="26"/>
      <c r="F69" s="26"/>
      <c r="G69" s="26"/>
      <c r="H69" s="26"/>
      <c r="I69" s="26"/>
      <c r="J69" s="26"/>
      <c r="K69" s="26"/>
      <c r="L69" s="26"/>
      <c r="M69" s="26"/>
      <c r="N69" s="26"/>
      <c r="O69" s="26"/>
      <c r="P69" s="26"/>
      <c r="Q69" s="26"/>
      <c r="R69" s="17"/>
      <c r="S69" s="17"/>
      <c r="T69" s="17"/>
      <c r="U69" s="17"/>
      <c r="V69" s="17"/>
      <c r="W69" s="17"/>
      <c r="X69" s="17"/>
      <c r="Y69" s="17"/>
      <c r="Z69" s="17"/>
      <c r="AA69" s="17"/>
      <c r="AB69" s="17"/>
      <c r="AC69" s="17"/>
      <c r="AD69" s="17"/>
      <c r="AE69" s="17"/>
      <c r="AF69" s="17">
        <v>9.583333332496597</v>
      </c>
      <c r="AG69" s="17">
        <v>1.2593830244773367</v>
      </c>
      <c r="AH69" s="17"/>
      <c r="AI69" s="17"/>
      <c r="AJ69" s="17"/>
      <c r="AK69" s="17"/>
      <c r="AL69" s="17"/>
      <c r="AM69" s="17"/>
      <c r="AN69" s="17"/>
      <c r="AO69" s="17"/>
      <c r="AP69" s="26"/>
    </row>
    <row r="70" spans="1:42">
      <c r="A70" s="26"/>
      <c r="B70" s="26"/>
      <c r="C70" s="26"/>
      <c r="D70" s="26"/>
      <c r="E70" s="26"/>
      <c r="F70" s="26"/>
      <c r="G70" s="26"/>
      <c r="H70" s="26"/>
      <c r="I70" s="26"/>
      <c r="J70" s="26"/>
      <c r="K70" s="26"/>
      <c r="L70" s="26"/>
      <c r="M70" s="26"/>
      <c r="N70" s="26"/>
      <c r="O70" s="26"/>
      <c r="P70" s="26"/>
      <c r="Q70" s="26"/>
      <c r="R70" s="17"/>
      <c r="S70" s="17"/>
      <c r="T70" s="17"/>
      <c r="U70" s="17"/>
      <c r="V70" s="17"/>
      <c r="W70" s="17"/>
      <c r="X70" s="17"/>
      <c r="Y70" s="17"/>
      <c r="Z70" s="17"/>
      <c r="AA70" s="17"/>
      <c r="AB70" s="17"/>
      <c r="AC70" s="17"/>
      <c r="AD70" s="17"/>
      <c r="AE70" s="17"/>
      <c r="AF70" s="17">
        <v>9.749999999148713</v>
      </c>
      <c r="AG70" s="17">
        <v>1.826495888656358</v>
      </c>
      <c r="AH70" s="17"/>
      <c r="AI70" s="17"/>
      <c r="AJ70" s="17"/>
      <c r="AK70" s="17"/>
      <c r="AL70" s="17"/>
      <c r="AM70" s="17"/>
      <c r="AN70" s="17"/>
      <c r="AO70" s="17"/>
      <c r="AP70" s="26"/>
    </row>
    <row r="71" spans="1:42">
      <c r="A71" s="26"/>
      <c r="B71" s="26"/>
      <c r="C71" s="26"/>
      <c r="D71" s="26"/>
      <c r="E71" s="26"/>
      <c r="F71" s="26"/>
      <c r="G71" s="26"/>
      <c r="H71" s="26"/>
      <c r="I71" s="26"/>
      <c r="J71" s="26"/>
      <c r="K71" s="26"/>
      <c r="L71" s="26"/>
      <c r="M71" s="26"/>
      <c r="N71" s="26"/>
      <c r="O71" s="26"/>
      <c r="P71" s="26"/>
      <c r="Q71" s="26"/>
      <c r="R71" s="17"/>
      <c r="S71" s="17"/>
      <c r="T71" s="17"/>
      <c r="U71" s="17"/>
      <c r="V71" s="17"/>
      <c r="W71" s="17"/>
      <c r="X71" s="17"/>
      <c r="Y71" s="17"/>
      <c r="Z71" s="17"/>
      <c r="AA71" s="17"/>
      <c r="AB71" s="17"/>
      <c r="AC71" s="17"/>
      <c r="AD71" s="17"/>
      <c r="AE71" s="17"/>
      <c r="AF71" s="17">
        <v>9.9166666658008271</v>
      </c>
      <c r="AG71" s="17">
        <v>2.3964619072744928</v>
      </c>
      <c r="AH71" s="17"/>
      <c r="AI71" s="17"/>
      <c r="AJ71" s="17"/>
      <c r="AK71" s="17"/>
      <c r="AL71" s="17"/>
      <c r="AM71" s="17"/>
      <c r="AN71" s="17"/>
      <c r="AO71" s="17"/>
      <c r="AP71" s="26"/>
    </row>
    <row r="72" spans="1:42">
      <c r="A72" s="26"/>
      <c r="B72" s="26"/>
      <c r="C72" s="26"/>
      <c r="D72" s="26"/>
      <c r="E72" s="26"/>
      <c r="F72" s="26"/>
      <c r="G72" s="26"/>
      <c r="H72" s="26"/>
      <c r="I72" s="26"/>
      <c r="J72" s="26"/>
      <c r="K72" s="26"/>
      <c r="L72" s="26"/>
      <c r="M72" s="26"/>
      <c r="N72" s="26"/>
      <c r="O72" s="26"/>
      <c r="P72" s="26"/>
      <c r="Q72" s="26"/>
      <c r="R72" s="17"/>
      <c r="S72" s="17"/>
      <c r="T72" s="17"/>
      <c r="U72" s="17"/>
      <c r="V72" s="17"/>
      <c r="W72" s="17"/>
      <c r="X72" s="17"/>
      <c r="Y72" s="17"/>
      <c r="Z72" s="17"/>
      <c r="AA72" s="17"/>
      <c r="AB72" s="17"/>
      <c r="AC72" s="17"/>
      <c r="AD72" s="17"/>
      <c r="AE72" s="17"/>
      <c r="AF72" s="17">
        <v>10.083333332452941</v>
      </c>
      <c r="AG72" s="17">
        <v>2.4675417395465375</v>
      </c>
      <c r="AH72" s="17"/>
      <c r="AI72" s="17"/>
      <c r="AJ72" s="17"/>
      <c r="AK72" s="17"/>
      <c r="AL72" s="17"/>
      <c r="AM72" s="17"/>
      <c r="AN72" s="17"/>
      <c r="AO72" s="17"/>
      <c r="AP72" s="26"/>
    </row>
    <row r="73" spans="1:42">
      <c r="A73" s="26"/>
      <c r="B73" s="26"/>
      <c r="C73" s="26"/>
      <c r="D73" s="26"/>
      <c r="E73" s="26"/>
      <c r="F73" s="26"/>
      <c r="G73" s="26"/>
      <c r="H73" s="26"/>
      <c r="I73" s="26"/>
      <c r="J73" s="26"/>
      <c r="K73" s="26"/>
      <c r="L73" s="26"/>
      <c r="M73" s="26"/>
      <c r="N73" s="26"/>
      <c r="O73" s="26"/>
      <c r="P73" s="26"/>
      <c r="Q73" s="26"/>
      <c r="R73" s="17"/>
      <c r="S73" s="17"/>
      <c r="T73" s="17"/>
      <c r="U73" s="17"/>
      <c r="V73" s="17"/>
      <c r="W73" s="17"/>
      <c r="X73" s="17"/>
      <c r="Y73" s="17"/>
      <c r="Z73" s="17"/>
      <c r="AA73" s="17"/>
      <c r="AB73" s="17"/>
      <c r="AC73" s="17"/>
      <c r="AD73" s="17"/>
      <c r="AE73" s="17"/>
      <c r="AF73" s="17">
        <v>10.249999999105057</v>
      </c>
      <c r="AG73" s="17">
        <v>1.8842722453797238</v>
      </c>
      <c r="AH73" s="17"/>
      <c r="AI73" s="17"/>
      <c r="AJ73" s="17"/>
      <c r="AK73" s="17"/>
      <c r="AL73" s="17"/>
      <c r="AM73" s="17"/>
      <c r="AN73" s="17"/>
      <c r="AO73" s="17"/>
      <c r="AP73" s="26"/>
    </row>
    <row r="74" spans="1:42">
      <c r="A74" s="26"/>
      <c r="B74" s="26"/>
      <c r="C74" s="26"/>
      <c r="D74" s="26"/>
      <c r="E74" s="26"/>
      <c r="F74" s="26"/>
      <c r="G74" s="26"/>
      <c r="H74" s="26"/>
      <c r="I74" s="26"/>
      <c r="J74" s="26"/>
      <c r="K74" s="26"/>
      <c r="L74" s="26"/>
      <c r="M74" s="26"/>
      <c r="N74" s="26"/>
      <c r="O74" s="26"/>
      <c r="P74" s="26"/>
      <c r="Q74" s="26"/>
      <c r="R74" s="17"/>
      <c r="S74" s="17"/>
      <c r="T74" s="17"/>
      <c r="U74" s="17"/>
      <c r="V74" s="17"/>
      <c r="W74" s="17"/>
      <c r="X74" s="17"/>
      <c r="Y74" s="17"/>
      <c r="Z74" s="17"/>
      <c r="AA74" s="17"/>
      <c r="AB74" s="17"/>
      <c r="AC74" s="17"/>
      <c r="AD74" s="17"/>
      <c r="AE74" s="17"/>
      <c r="AF74" s="17">
        <v>10.416666665757171</v>
      </c>
      <c r="AG74" s="17">
        <v>1.3087855288571792</v>
      </c>
      <c r="AH74" s="17"/>
      <c r="AI74" s="17"/>
      <c r="AJ74" s="17"/>
      <c r="AK74" s="17"/>
      <c r="AL74" s="17"/>
      <c r="AM74" s="17"/>
      <c r="AN74" s="17"/>
      <c r="AO74" s="17"/>
      <c r="AP74" s="26"/>
    </row>
    <row r="75" spans="1:42">
      <c r="A75" s="26"/>
      <c r="B75" s="26"/>
      <c r="C75" s="26"/>
      <c r="D75" s="26"/>
      <c r="E75" s="26"/>
      <c r="F75" s="26"/>
      <c r="G75" s="26"/>
      <c r="H75" s="26"/>
      <c r="I75" s="26"/>
      <c r="J75" s="26"/>
      <c r="K75" s="26"/>
      <c r="L75" s="26"/>
      <c r="M75" s="26"/>
      <c r="N75" s="26"/>
      <c r="O75" s="26"/>
      <c r="P75" s="26"/>
      <c r="Q75" s="26"/>
      <c r="R75" s="17"/>
      <c r="S75" s="17"/>
      <c r="T75" s="17"/>
      <c r="U75" s="17"/>
      <c r="V75" s="17"/>
      <c r="W75" s="17"/>
      <c r="X75" s="17"/>
      <c r="Y75" s="17"/>
      <c r="Z75" s="17"/>
      <c r="AA75" s="17"/>
      <c r="AB75" s="17"/>
      <c r="AC75" s="17"/>
      <c r="AD75" s="17"/>
      <c r="AE75" s="17"/>
      <c r="AF75" s="17">
        <v>10.583333332409286</v>
      </c>
      <c r="AG75" s="17">
        <v>0.921572568866873</v>
      </c>
      <c r="AH75" s="17"/>
      <c r="AI75" s="17"/>
      <c r="AJ75" s="17"/>
      <c r="AK75" s="17"/>
      <c r="AL75" s="17"/>
      <c r="AM75" s="17"/>
      <c r="AN75" s="17"/>
      <c r="AO75" s="17"/>
      <c r="AP75" s="26"/>
    </row>
    <row r="76" spans="1:42">
      <c r="A76" s="26"/>
      <c r="B76" s="26"/>
      <c r="C76" s="26"/>
      <c r="D76" s="26"/>
      <c r="E76" s="26"/>
      <c r="F76" s="26"/>
      <c r="G76" s="26"/>
      <c r="H76" s="26"/>
      <c r="I76" s="26"/>
      <c r="J76" s="26"/>
      <c r="K76" s="26"/>
      <c r="L76" s="26"/>
      <c r="M76" s="26"/>
      <c r="N76" s="26"/>
      <c r="O76" s="26"/>
      <c r="P76" s="26"/>
      <c r="Q76" s="26"/>
      <c r="R76" s="17"/>
      <c r="S76" s="17"/>
      <c r="T76" s="17"/>
      <c r="U76" s="17"/>
      <c r="V76" s="17"/>
      <c r="W76" s="17"/>
      <c r="X76" s="17"/>
      <c r="Y76" s="17"/>
      <c r="Z76" s="17"/>
      <c r="AA76" s="17"/>
      <c r="AB76" s="17"/>
      <c r="AC76" s="17"/>
      <c r="AD76" s="17"/>
      <c r="AE76" s="17"/>
      <c r="AF76" s="17">
        <v>10.749999999061401</v>
      </c>
      <c r="AG76" s="17">
        <v>0.70149690203552661</v>
      </c>
      <c r="AH76" s="17"/>
      <c r="AI76" s="17"/>
      <c r="AJ76" s="17"/>
      <c r="AK76" s="17"/>
      <c r="AL76" s="17"/>
      <c r="AM76" s="17"/>
      <c r="AN76" s="17"/>
      <c r="AO76" s="17"/>
      <c r="AP76" s="26"/>
    </row>
    <row r="77" spans="1:42">
      <c r="A77" s="26"/>
      <c r="B77" s="26"/>
      <c r="C77" s="26"/>
      <c r="D77" s="26"/>
      <c r="E77" s="26"/>
      <c r="F77" s="26"/>
      <c r="G77" s="26"/>
      <c r="H77" s="26"/>
      <c r="I77" s="26"/>
      <c r="J77" s="26"/>
      <c r="K77" s="26"/>
      <c r="L77" s="26"/>
      <c r="M77" s="26"/>
      <c r="N77" s="26"/>
      <c r="O77" s="26"/>
      <c r="P77" s="26"/>
      <c r="Q77" s="26"/>
      <c r="R77" s="17"/>
      <c r="S77" s="17"/>
      <c r="T77" s="17"/>
      <c r="U77" s="17"/>
      <c r="V77" s="17"/>
      <c r="W77" s="17"/>
      <c r="X77" s="17"/>
      <c r="Y77" s="17"/>
      <c r="Z77" s="17"/>
      <c r="AA77" s="17"/>
      <c r="AB77" s="17"/>
      <c r="AC77" s="17"/>
      <c r="AD77" s="17"/>
      <c r="AE77" s="17"/>
      <c r="AF77" s="17">
        <v>10.916666665713516</v>
      </c>
      <c r="AG77" s="17">
        <v>0.60130068344842647</v>
      </c>
      <c r="AH77" s="17"/>
      <c r="AI77" s="17"/>
      <c r="AJ77" s="17"/>
      <c r="AK77" s="17"/>
      <c r="AL77" s="17"/>
      <c r="AM77" s="17"/>
      <c r="AN77" s="17"/>
      <c r="AO77" s="17"/>
      <c r="AP77" s="26"/>
    </row>
    <row r="78" spans="1:42">
      <c r="A78" s="26"/>
      <c r="B78" s="26"/>
      <c r="C78" s="26"/>
      <c r="D78" s="26"/>
      <c r="E78" s="26"/>
      <c r="F78" s="26"/>
      <c r="G78" s="26"/>
      <c r="H78" s="26"/>
      <c r="I78" s="26"/>
      <c r="J78" s="26"/>
      <c r="K78" s="26"/>
      <c r="L78" s="26"/>
      <c r="M78" s="26"/>
      <c r="N78" s="26"/>
      <c r="O78" s="26"/>
      <c r="P78" s="26"/>
      <c r="Q78" s="26"/>
      <c r="R78" s="17"/>
      <c r="S78" s="17"/>
      <c r="T78" s="17"/>
      <c r="U78" s="17"/>
      <c r="V78" s="17"/>
      <c r="W78" s="17"/>
      <c r="X78" s="17"/>
      <c r="Y78" s="17"/>
      <c r="Z78" s="17"/>
      <c r="AA78" s="17"/>
      <c r="AB78" s="17"/>
      <c r="AC78" s="17"/>
      <c r="AD78" s="17"/>
      <c r="AE78" s="17"/>
      <c r="AF78" s="17">
        <v>11.08333333236563</v>
      </c>
      <c r="AG78" s="17">
        <v>0.51132573932293945</v>
      </c>
      <c r="AH78" s="17"/>
      <c r="AI78" s="17"/>
      <c r="AJ78" s="17"/>
      <c r="AK78" s="17"/>
      <c r="AL78" s="17"/>
      <c r="AM78" s="17"/>
      <c r="AN78" s="17"/>
      <c r="AO78" s="17"/>
      <c r="AP78" s="26"/>
    </row>
    <row r="79" spans="1:42">
      <c r="A79" s="26"/>
      <c r="B79" s="26"/>
      <c r="C79" s="26"/>
      <c r="D79" s="26"/>
      <c r="E79" s="26"/>
      <c r="F79" s="26"/>
      <c r="G79" s="26"/>
      <c r="H79" s="26"/>
      <c r="I79" s="26"/>
      <c r="J79" s="26"/>
      <c r="K79" s="26"/>
      <c r="L79" s="26"/>
      <c r="M79" s="26"/>
      <c r="N79" s="26"/>
      <c r="O79" s="26"/>
      <c r="P79" s="26"/>
      <c r="Q79" s="26"/>
      <c r="R79" s="17"/>
      <c r="S79" s="17"/>
      <c r="T79" s="17"/>
      <c r="U79" s="17"/>
      <c r="V79" s="17"/>
      <c r="W79" s="17"/>
      <c r="X79" s="17"/>
      <c r="Y79" s="17"/>
      <c r="Z79" s="17"/>
      <c r="AA79" s="17"/>
      <c r="AB79" s="17"/>
      <c r="AC79" s="17"/>
      <c r="AD79" s="17"/>
      <c r="AE79" s="17"/>
      <c r="AF79" s="17">
        <v>11.249999999017746</v>
      </c>
      <c r="AG79" s="17">
        <v>0.40841060685393238</v>
      </c>
      <c r="AH79" s="17"/>
      <c r="AI79" s="17"/>
      <c r="AJ79" s="17"/>
      <c r="AK79" s="17"/>
      <c r="AL79" s="17"/>
      <c r="AM79" s="17"/>
      <c r="AN79" s="17"/>
      <c r="AO79" s="17"/>
      <c r="AP79" s="26"/>
    </row>
    <row r="80" spans="1:42">
      <c r="A80" s="26"/>
      <c r="B80" s="26"/>
      <c r="C80" s="26"/>
      <c r="D80" s="26"/>
      <c r="E80" s="26"/>
      <c r="F80" s="26"/>
      <c r="G80" s="26"/>
      <c r="H80" s="26"/>
      <c r="I80" s="26"/>
      <c r="J80" s="26"/>
      <c r="K80" s="26"/>
      <c r="L80" s="26"/>
      <c r="M80" s="26"/>
      <c r="N80" s="26"/>
      <c r="O80" s="26"/>
      <c r="P80" s="26"/>
      <c r="Q80" s="26"/>
      <c r="R80" s="17"/>
      <c r="S80" s="17"/>
      <c r="T80" s="17"/>
      <c r="U80" s="17"/>
      <c r="V80" s="17"/>
      <c r="W80" s="17"/>
      <c r="X80" s="17"/>
      <c r="Y80" s="17"/>
      <c r="Z80" s="17"/>
      <c r="AA80" s="17"/>
      <c r="AB80" s="17"/>
      <c r="AC80" s="17"/>
      <c r="AD80" s="17"/>
      <c r="AE80" s="17"/>
      <c r="AF80" s="17">
        <v>11.41666666566986</v>
      </c>
      <c r="AG80" s="17">
        <v>0.30917598783804112</v>
      </c>
      <c r="AH80" s="17"/>
      <c r="AI80" s="17"/>
      <c r="AJ80" s="17"/>
      <c r="AK80" s="17"/>
      <c r="AL80" s="17"/>
      <c r="AM80" s="17"/>
      <c r="AN80" s="17"/>
      <c r="AO80" s="17"/>
      <c r="AP80" s="26"/>
    </row>
    <row r="81" spans="1:42">
      <c r="A81" s="26"/>
      <c r="B81" s="26"/>
      <c r="C81" s="26"/>
      <c r="D81" s="26"/>
      <c r="E81" s="26"/>
      <c r="F81" s="26"/>
      <c r="G81" s="26"/>
      <c r="H81" s="26"/>
      <c r="I81" s="26"/>
      <c r="J81" s="26"/>
      <c r="K81" s="26"/>
      <c r="L81" s="26"/>
      <c r="M81" s="26"/>
      <c r="N81" s="26"/>
      <c r="O81" s="26"/>
      <c r="P81" s="26"/>
      <c r="Q81" s="26"/>
      <c r="R81" s="17"/>
      <c r="S81" s="17"/>
      <c r="T81" s="17"/>
      <c r="U81" s="17"/>
      <c r="V81" s="17"/>
      <c r="W81" s="17"/>
      <c r="X81" s="17"/>
      <c r="Y81" s="17"/>
      <c r="Z81" s="17"/>
      <c r="AA81" s="17"/>
      <c r="AB81" s="17"/>
      <c r="AC81" s="17"/>
      <c r="AD81" s="17"/>
      <c r="AE81" s="17"/>
      <c r="AF81" s="17">
        <v>11.583333332321974</v>
      </c>
      <c r="AG81" s="17">
        <v>0.23963659806365117</v>
      </c>
      <c r="AH81" s="17"/>
      <c r="AI81" s="17"/>
      <c r="AJ81" s="17"/>
      <c r="AK81" s="17"/>
      <c r="AL81" s="17"/>
      <c r="AM81" s="17"/>
      <c r="AN81" s="17"/>
      <c r="AO81" s="17"/>
      <c r="AP81" s="26"/>
    </row>
    <row r="82" spans="1:42">
      <c r="A82" s="26"/>
      <c r="B82" s="26"/>
      <c r="C82" s="26"/>
      <c r="D82" s="26"/>
      <c r="E82" s="26"/>
      <c r="F82" s="26"/>
      <c r="G82" s="26"/>
      <c r="H82" s="26"/>
      <c r="I82" s="26"/>
      <c r="J82" s="26"/>
      <c r="K82" s="26"/>
      <c r="L82" s="26"/>
      <c r="M82" s="26"/>
      <c r="N82" s="26"/>
      <c r="O82" s="26"/>
      <c r="P82" s="26"/>
      <c r="Q82" s="26"/>
      <c r="R82" s="17"/>
      <c r="S82" s="17"/>
      <c r="T82" s="17"/>
      <c r="U82" s="17"/>
      <c r="V82" s="17"/>
      <c r="W82" s="17"/>
      <c r="X82" s="17"/>
      <c r="Y82" s="17"/>
      <c r="Z82" s="17"/>
      <c r="AA82" s="17"/>
      <c r="AB82" s="17"/>
      <c r="AC82" s="17"/>
      <c r="AD82" s="17"/>
      <c r="AE82" s="17"/>
      <c r="AF82" s="17">
        <v>11.74999999897409</v>
      </c>
      <c r="AG82" s="17">
        <v>0.20206005164477692</v>
      </c>
      <c r="AH82" s="17"/>
      <c r="AI82" s="17"/>
      <c r="AJ82" s="17"/>
      <c r="AK82" s="17"/>
      <c r="AL82" s="17"/>
      <c r="AM82" s="17"/>
      <c r="AN82" s="17"/>
      <c r="AO82" s="17"/>
      <c r="AP82" s="26"/>
    </row>
    <row r="83" spans="1:42">
      <c r="A83" s="26"/>
      <c r="B83" s="26"/>
      <c r="C83" s="26"/>
      <c r="D83" s="26"/>
      <c r="E83" s="26"/>
      <c r="F83" s="26"/>
      <c r="G83" s="26"/>
      <c r="H83" s="26"/>
      <c r="I83" s="26"/>
      <c r="J83" s="26"/>
      <c r="K83" s="26"/>
      <c r="L83" s="26"/>
      <c r="M83" s="26"/>
      <c r="N83" s="26"/>
      <c r="O83" s="26"/>
      <c r="P83" s="26"/>
      <c r="Q83" s="26"/>
      <c r="R83" s="17"/>
      <c r="S83" s="17"/>
      <c r="T83" s="17"/>
      <c r="U83" s="17"/>
      <c r="V83" s="17"/>
      <c r="W83" s="17"/>
      <c r="X83" s="17"/>
      <c r="Y83" s="17"/>
      <c r="Z83" s="17"/>
      <c r="AA83" s="17"/>
      <c r="AB83" s="17"/>
      <c r="AC83" s="17"/>
      <c r="AD83" s="17"/>
      <c r="AE83" s="17"/>
      <c r="AF83" s="17">
        <v>11.916666665626204</v>
      </c>
      <c r="AG83" s="17">
        <v>0.1963004492861376</v>
      </c>
      <c r="AH83" s="17"/>
      <c r="AI83" s="17"/>
      <c r="AJ83" s="17"/>
      <c r="AK83" s="17"/>
      <c r="AL83" s="17"/>
      <c r="AM83" s="17"/>
      <c r="AN83" s="17"/>
      <c r="AO83" s="17"/>
      <c r="AP83" s="26"/>
    </row>
    <row r="84" spans="1:42">
      <c r="A84" s="26"/>
      <c r="B84" s="26"/>
      <c r="C84" s="26"/>
      <c r="D84" s="26"/>
      <c r="E84" s="26"/>
      <c r="F84" s="26"/>
      <c r="G84" s="26"/>
      <c r="H84" s="26"/>
      <c r="I84" s="26"/>
      <c r="J84" s="26"/>
      <c r="K84" s="26"/>
      <c r="L84" s="26"/>
      <c r="M84" s="26"/>
      <c r="N84" s="26"/>
      <c r="O84" s="26"/>
      <c r="P84" s="26"/>
      <c r="Q84" s="26"/>
      <c r="R84" s="17"/>
      <c r="S84" s="17"/>
      <c r="T84" s="17"/>
      <c r="U84" s="17"/>
      <c r="V84" s="17"/>
      <c r="W84" s="17"/>
      <c r="X84" s="17"/>
      <c r="Y84" s="17"/>
      <c r="Z84" s="17"/>
      <c r="AA84" s="17"/>
      <c r="AB84" s="17"/>
      <c r="AC84" s="17"/>
      <c r="AD84" s="17"/>
      <c r="AE84" s="17"/>
      <c r="AF84" s="17">
        <v>12.083333332278318</v>
      </c>
      <c r="AG84" s="17">
        <v>0.20933639749566119</v>
      </c>
      <c r="AH84" s="17"/>
      <c r="AI84" s="17"/>
      <c r="AJ84" s="17"/>
      <c r="AK84" s="17"/>
      <c r="AL84" s="17"/>
      <c r="AM84" s="17"/>
      <c r="AN84" s="17"/>
      <c r="AO84" s="17"/>
      <c r="AP84" s="26"/>
    </row>
    <row r="85" spans="1:42">
      <c r="A85" s="26"/>
      <c r="B85" s="26"/>
      <c r="C85" s="26"/>
      <c r="D85" s="26"/>
      <c r="E85" s="26"/>
      <c r="F85" s="26"/>
      <c r="G85" s="26"/>
      <c r="H85" s="26"/>
      <c r="I85" s="26"/>
      <c r="J85" s="26"/>
      <c r="K85" s="26"/>
      <c r="L85" s="26"/>
      <c r="M85" s="26"/>
      <c r="N85" s="26"/>
      <c r="O85" s="26"/>
      <c r="P85" s="26"/>
      <c r="Q85" s="26"/>
      <c r="R85" s="17"/>
      <c r="S85" s="17"/>
      <c r="T85" s="17"/>
      <c r="U85" s="17"/>
      <c r="V85" s="17"/>
      <c r="W85" s="17"/>
      <c r="X85" s="17"/>
      <c r="Y85" s="17"/>
      <c r="Z85" s="17"/>
      <c r="AA85" s="17"/>
      <c r="AB85" s="17"/>
      <c r="AC85" s="17"/>
      <c r="AD85" s="17"/>
      <c r="AE85" s="17"/>
      <c r="AF85" s="17">
        <v>12.249999998930434</v>
      </c>
      <c r="AG85" s="17">
        <v>0.21805115613761233</v>
      </c>
      <c r="AH85" s="17"/>
      <c r="AI85" s="17"/>
      <c r="AJ85" s="17"/>
      <c r="AK85" s="17"/>
      <c r="AL85" s="17"/>
      <c r="AM85" s="17"/>
      <c r="AN85" s="17"/>
      <c r="AO85" s="17"/>
      <c r="AP85" s="26"/>
    </row>
    <row r="86" spans="1:42">
      <c r="A86" s="26"/>
      <c r="B86" s="26"/>
      <c r="C86" s="26"/>
      <c r="D86" s="26"/>
      <c r="E86" s="26"/>
      <c r="F86" s="26"/>
      <c r="G86" s="26"/>
      <c r="H86" s="26"/>
      <c r="I86" s="26"/>
      <c r="J86" s="26"/>
      <c r="K86" s="26"/>
      <c r="L86" s="26"/>
      <c r="M86" s="26"/>
      <c r="N86" s="26"/>
      <c r="O86" s="26"/>
      <c r="P86" s="26"/>
      <c r="Q86" s="26"/>
      <c r="R86" s="17"/>
      <c r="S86" s="17"/>
      <c r="T86" s="17"/>
      <c r="U86" s="17"/>
      <c r="V86" s="17"/>
      <c r="W86" s="17"/>
      <c r="X86" s="17"/>
      <c r="Y86" s="17"/>
      <c r="Z86" s="17"/>
      <c r="AA86" s="17"/>
      <c r="AB86" s="17"/>
      <c r="AC86" s="17"/>
      <c r="AD86" s="17"/>
      <c r="AE86" s="17"/>
      <c r="AF86" s="17">
        <v>12.416666665582548</v>
      </c>
      <c r="AG86" s="17">
        <v>0.22006880548156704</v>
      </c>
      <c r="AH86" s="17"/>
      <c r="AI86" s="17"/>
      <c r="AJ86" s="17"/>
      <c r="AK86" s="17"/>
      <c r="AL86" s="17"/>
      <c r="AM86" s="17"/>
      <c r="AN86" s="17"/>
      <c r="AO86" s="17"/>
      <c r="AP86" s="26"/>
    </row>
    <row r="87" spans="1:42">
      <c r="A87" s="26"/>
      <c r="B87" s="26"/>
      <c r="C87" s="26"/>
      <c r="D87" s="26"/>
      <c r="E87" s="26"/>
      <c r="F87" s="26"/>
      <c r="G87" s="26"/>
      <c r="H87" s="26"/>
      <c r="I87" s="26"/>
      <c r="J87" s="26"/>
      <c r="K87" s="26"/>
      <c r="L87" s="26"/>
      <c r="M87" s="26"/>
      <c r="N87" s="26"/>
      <c r="O87" s="26"/>
      <c r="P87" s="26"/>
      <c r="Q87" s="26"/>
      <c r="R87" s="17"/>
      <c r="S87" s="17"/>
      <c r="T87" s="17"/>
      <c r="U87" s="17"/>
      <c r="V87" s="17"/>
      <c r="W87" s="17"/>
      <c r="X87" s="17"/>
      <c r="Y87" s="17"/>
      <c r="Z87" s="17"/>
      <c r="AA87" s="17"/>
      <c r="AB87" s="17"/>
      <c r="AC87" s="17"/>
      <c r="AD87" s="17"/>
      <c r="AE87" s="17"/>
      <c r="AF87" s="17">
        <v>12.583333332234663</v>
      </c>
      <c r="AG87" s="17">
        <v>0.21538934552754307</v>
      </c>
      <c r="AH87" s="17"/>
      <c r="AI87" s="17"/>
      <c r="AJ87" s="17"/>
      <c r="AK87" s="17"/>
      <c r="AL87" s="17"/>
      <c r="AM87" s="17"/>
      <c r="AN87" s="17"/>
      <c r="AO87" s="17"/>
      <c r="AP87" s="26"/>
    </row>
    <row r="88" spans="1:42">
      <c r="A88" s="26"/>
      <c r="B88" s="26"/>
      <c r="C88" s="26"/>
      <c r="D88" s="26"/>
      <c r="E88" s="26"/>
      <c r="F88" s="26"/>
      <c r="G88" s="26"/>
      <c r="H88" s="26"/>
      <c r="I88" s="26"/>
      <c r="J88" s="26"/>
      <c r="K88" s="26"/>
      <c r="L88" s="26"/>
      <c r="M88" s="26"/>
      <c r="N88" s="26"/>
      <c r="O88" s="26"/>
      <c r="P88" s="26"/>
      <c r="Q88" s="26"/>
      <c r="R88" s="17"/>
      <c r="S88" s="17"/>
      <c r="T88" s="17"/>
      <c r="U88" s="17"/>
      <c r="V88" s="17"/>
      <c r="W88" s="17"/>
      <c r="X88" s="17"/>
      <c r="Y88" s="17"/>
      <c r="Z88" s="17"/>
      <c r="AA88" s="17"/>
      <c r="AB88" s="17"/>
      <c r="AC88" s="17"/>
      <c r="AD88" s="17"/>
      <c r="AE88" s="17"/>
      <c r="AF88" s="17">
        <v>12.749999998886778</v>
      </c>
      <c r="AG88" s="17">
        <v>0.20401277627554401</v>
      </c>
      <c r="AH88" s="17"/>
      <c r="AI88" s="17"/>
      <c r="AJ88" s="17"/>
      <c r="AK88" s="17"/>
      <c r="AL88" s="17"/>
      <c r="AM88" s="17"/>
      <c r="AN88" s="17"/>
      <c r="AO88" s="17"/>
      <c r="AP88" s="26"/>
    </row>
    <row r="89" spans="1:42">
      <c r="A89" s="26"/>
      <c r="B89" s="26"/>
      <c r="C89" s="26"/>
      <c r="D89" s="26"/>
      <c r="E89" s="26"/>
      <c r="F89" s="26"/>
      <c r="G89" s="26"/>
      <c r="H89" s="26"/>
      <c r="I89" s="26"/>
      <c r="J89" s="26"/>
      <c r="K89" s="26"/>
      <c r="L89" s="26"/>
      <c r="M89" s="26"/>
      <c r="N89" s="26"/>
      <c r="O89" s="26"/>
      <c r="P89" s="26"/>
      <c r="Q89" s="26"/>
      <c r="R89" s="17"/>
      <c r="S89" s="17"/>
      <c r="T89" s="17"/>
      <c r="U89" s="17"/>
      <c r="V89" s="17"/>
      <c r="W89" s="17"/>
      <c r="X89" s="17"/>
      <c r="Y89" s="17"/>
      <c r="Z89" s="17"/>
      <c r="AA89" s="17"/>
      <c r="AB89" s="17"/>
      <c r="AC89" s="17"/>
      <c r="AD89" s="17"/>
      <c r="AE89" s="17"/>
      <c r="AF89" s="17">
        <v>12.916666665538893</v>
      </c>
      <c r="AG89" s="17">
        <v>0.18608739878924188</v>
      </c>
      <c r="AH89" s="17"/>
      <c r="AI89" s="17"/>
      <c r="AJ89" s="17"/>
      <c r="AK89" s="17"/>
      <c r="AL89" s="17"/>
      <c r="AM89" s="17"/>
      <c r="AN89" s="17"/>
      <c r="AO89" s="17"/>
      <c r="AP89" s="26"/>
    </row>
    <row r="90" spans="1:42">
      <c r="A90" s="26"/>
      <c r="B90" s="26"/>
      <c r="C90" s="26"/>
      <c r="D90" s="26"/>
      <c r="E90" s="26"/>
      <c r="F90" s="26"/>
      <c r="G90" s="26"/>
      <c r="H90" s="26"/>
      <c r="I90" s="26"/>
      <c r="J90" s="26"/>
      <c r="K90" s="26"/>
      <c r="L90" s="26"/>
      <c r="M90" s="26"/>
      <c r="N90" s="26"/>
      <c r="O90" s="26"/>
      <c r="P90" s="26"/>
      <c r="Q90" s="26"/>
      <c r="R90" s="17"/>
      <c r="S90" s="17"/>
      <c r="T90" s="17"/>
      <c r="U90" s="17"/>
      <c r="V90" s="17"/>
      <c r="W90" s="17"/>
      <c r="X90" s="17"/>
      <c r="Y90" s="17"/>
      <c r="Z90" s="17"/>
      <c r="AA90" s="17"/>
      <c r="AB90" s="17"/>
      <c r="AC90" s="17"/>
      <c r="AD90" s="17"/>
      <c r="AE90" s="17"/>
      <c r="AF90" s="17">
        <v>13.083333332191007</v>
      </c>
      <c r="AG90" s="17">
        <v>0.16605208387032477</v>
      </c>
      <c r="AH90" s="17"/>
      <c r="AI90" s="17"/>
      <c r="AJ90" s="17"/>
      <c r="AK90" s="17"/>
      <c r="AL90" s="17"/>
      <c r="AM90" s="17"/>
      <c r="AN90" s="17"/>
      <c r="AO90" s="17"/>
      <c r="AP90" s="26"/>
    </row>
    <row r="91" spans="1:42">
      <c r="A91" s="26"/>
      <c r="B91" s="26"/>
      <c r="C91" s="26"/>
      <c r="D91" s="26"/>
      <c r="E91" s="26"/>
      <c r="F91" s="26"/>
      <c r="G91" s="26"/>
      <c r="H91" s="26"/>
      <c r="I91" s="26"/>
      <c r="J91" s="26"/>
      <c r="K91" s="26"/>
      <c r="L91" s="26"/>
      <c r="M91" s="26"/>
      <c r="N91" s="26"/>
      <c r="O91" s="26"/>
      <c r="P91" s="26"/>
      <c r="Q91" s="26"/>
      <c r="R91" s="17"/>
      <c r="S91" s="17"/>
      <c r="T91" s="17"/>
      <c r="U91" s="17"/>
      <c r="V91" s="17"/>
      <c r="W91" s="17"/>
      <c r="X91" s="17"/>
      <c r="Y91" s="17"/>
      <c r="Z91" s="17"/>
      <c r="AA91" s="17"/>
      <c r="AB91" s="17"/>
      <c r="AC91" s="17"/>
      <c r="AD91" s="17"/>
      <c r="AE91" s="17"/>
      <c r="AF91" s="17">
        <v>13.249999998843123</v>
      </c>
      <c r="AG91" s="17">
        <v>0.14900524070362345</v>
      </c>
      <c r="AH91" s="17"/>
      <c r="AI91" s="17"/>
      <c r="AJ91" s="17"/>
      <c r="AK91" s="17"/>
      <c r="AL91" s="17"/>
      <c r="AM91" s="17"/>
      <c r="AN91" s="17"/>
      <c r="AO91" s="17"/>
      <c r="AP91" s="26"/>
    </row>
    <row r="92" spans="1:42">
      <c r="A92" s="26"/>
      <c r="B92" s="26"/>
      <c r="C92" s="26"/>
      <c r="D92" s="26"/>
      <c r="E92" s="26"/>
      <c r="F92" s="26"/>
      <c r="G92" s="26"/>
      <c r="H92" s="26"/>
      <c r="I92" s="26"/>
      <c r="J92" s="26"/>
      <c r="K92" s="26"/>
      <c r="L92" s="26"/>
      <c r="M92" s="26"/>
      <c r="N92" s="26"/>
      <c r="O92" s="26"/>
      <c r="P92" s="26"/>
      <c r="Q92" s="26"/>
      <c r="R92" s="17"/>
      <c r="S92" s="17"/>
      <c r="T92" s="17"/>
      <c r="U92" s="17"/>
      <c r="V92" s="17"/>
      <c r="W92" s="17"/>
      <c r="X92" s="17"/>
      <c r="Y92" s="17"/>
      <c r="Z92" s="17"/>
      <c r="AA92" s="17"/>
      <c r="AB92" s="17"/>
      <c r="AC92" s="17"/>
      <c r="AD92" s="17"/>
      <c r="AE92" s="17"/>
      <c r="AF92" s="17">
        <v>13.416666665495237</v>
      </c>
      <c r="AG92" s="17">
        <v>0.13522787205415585</v>
      </c>
      <c r="AH92" s="17"/>
      <c r="AI92" s="17"/>
      <c r="AJ92" s="17"/>
      <c r="AK92" s="17"/>
      <c r="AL92" s="17"/>
      <c r="AM92" s="17"/>
      <c r="AN92" s="17"/>
      <c r="AO92" s="17"/>
      <c r="AP92" s="26"/>
    </row>
    <row r="93" spans="1:42">
      <c r="A93" s="26"/>
      <c r="B93" s="26"/>
      <c r="C93" s="26"/>
      <c r="D93" s="26"/>
      <c r="E93" s="26"/>
      <c r="F93" s="26"/>
      <c r="G93" s="26"/>
      <c r="H93" s="26"/>
      <c r="I93" s="26"/>
      <c r="J93" s="26"/>
      <c r="K93" s="26"/>
      <c r="L93" s="26"/>
      <c r="M93" s="26"/>
      <c r="N93" s="26"/>
      <c r="O93" s="26"/>
      <c r="P93" s="26"/>
      <c r="Q93" s="26"/>
      <c r="R93" s="17"/>
      <c r="S93" s="17"/>
      <c r="T93" s="17"/>
      <c r="U93" s="17"/>
      <c r="V93" s="17"/>
      <c r="W93" s="17"/>
      <c r="X93" s="17"/>
      <c r="Y93" s="17"/>
      <c r="Z93" s="17"/>
      <c r="AA93" s="17"/>
      <c r="AB93" s="17"/>
      <c r="AC93" s="17"/>
      <c r="AD93" s="17"/>
      <c r="AE93" s="17"/>
      <c r="AF93" s="17">
        <v>13.583333332147351</v>
      </c>
      <c r="AG93" s="17">
        <v>0.12471997792191034</v>
      </c>
      <c r="AH93" s="17"/>
      <c r="AI93" s="17"/>
      <c r="AJ93" s="17"/>
      <c r="AK93" s="17"/>
      <c r="AL93" s="17"/>
      <c r="AM93" s="17"/>
      <c r="AN93" s="17"/>
      <c r="AO93" s="17"/>
      <c r="AP93" s="26"/>
    </row>
    <row r="94" spans="1:42">
      <c r="A94" s="26"/>
      <c r="B94" s="26"/>
      <c r="C94" s="26"/>
      <c r="D94" s="26"/>
      <c r="E94" s="26"/>
      <c r="F94" s="26"/>
      <c r="G94" s="26"/>
      <c r="H94" s="26"/>
      <c r="I94" s="26"/>
      <c r="J94" s="26"/>
      <c r="K94" s="26"/>
      <c r="L94" s="26"/>
      <c r="M94" s="26"/>
      <c r="N94" s="26"/>
      <c r="O94" s="26"/>
      <c r="P94" s="26"/>
      <c r="Q94" s="26"/>
      <c r="R94" s="17"/>
      <c r="S94" s="17"/>
      <c r="T94" s="17"/>
      <c r="U94" s="17"/>
      <c r="V94" s="17"/>
      <c r="W94" s="17"/>
      <c r="X94" s="17"/>
      <c r="Y94" s="17"/>
      <c r="Z94" s="17"/>
      <c r="AA94" s="17"/>
      <c r="AB94" s="17"/>
      <c r="AC94" s="17"/>
      <c r="AD94" s="17"/>
      <c r="AE94" s="17"/>
      <c r="AF94" s="17">
        <v>13.749999998799467</v>
      </c>
      <c r="AG94" s="17">
        <v>0.11748155830689855</v>
      </c>
      <c r="AH94" s="17"/>
      <c r="AI94" s="17"/>
      <c r="AJ94" s="17"/>
      <c r="AK94" s="17"/>
      <c r="AL94" s="17"/>
      <c r="AM94" s="17"/>
      <c r="AN94" s="17"/>
      <c r="AO94" s="17"/>
      <c r="AP94" s="26"/>
    </row>
    <row r="95" spans="1:42">
      <c r="A95" s="26"/>
      <c r="B95" s="26"/>
      <c r="C95" s="26"/>
      <c r="D95" s="26"/>
      <c r="E95" s="26"/>
      <c r="F95" s="26"/>
      <c r="G95" s="26"/>
      <c r="H95" s="26"/>
      <c r="I95" s="26"/>
      <c r="J95" s="26"/>
      <c r="K95" s="26"/>
      <c r="L95" s="26"/>
      <c r="M95" s="26"/>
      <c r="N95" s="26"/>
      <c r="O95" s="26"/>
      <c r="P95" s="26"/>
      <c r="Q95" s="26"/>
      <c r="R95" s="17"/>
      <c r="S95" s="17"/>
      <c r="T95" s="17"/>
      <c r="U95" s="17"/>
      <c r="V95" s="17"/>
      <c r="W95" s="17"/>
      <c r="X95" s="17"/>
      <c r="Y95" s="17"/>
      <c r="Z95" s="17"/>
      <c r="AA95" s="17"/>
      <c r="AB95" s="17"/>
      <c r="AC95" s="17"/>
      <c r="AD95" s="17"/>
      <c r="AE95" s="17"/>
      <c r="AF95" s="17">
        <v>13.916666665451581</v>
      </c>
      <c r="AG95" s="17">
        <v>0.11351261320911539</v>
      </c>
      <c r="AH95" s="17"/>
      <c r="AI95" s="17"/>
      <c r="AJ95" s="17"/>
      <c r="AK95" s="17"/>
      <c r="AL95" s="17"/>
      <c r="AM95" s="17"/>
      <c r="AN95" s="17"/>
      <c r="AO95" s="17"/>
      <c r="AP95" s="26"/>
    </row>
    <row r="96" spans="1:42">
      <c r="A96" s="26"/>
      <c r="B96" s="26"/>
      <c r="C96" s="26"/>
      <c r="D96" s="26"/>
      <c r="E96" s="26"/>
      <c r="F96" s="26"/>
      <c r="G96" s="26"/>
      <c r="H96" s="26"/>
      <c r="I96" s="26"/>
      <c r="J96" s="26"/>
      <c r="K96" s="26"/>
      <c r="L96" s="26"/>
      <c r="M96" s="26"/>
      <c r="N96" s="26"/>
      <c r="O96" s="26"/>
      <c r="P96" s="26"/>
      <c r="Q96" s="26"/>
      <c r="R96" s="17"/>
      <c r="S96" s="17"/>
      <c r="T96" s="17"/>
      <c r="U96" s="17"/>
      <c r="V96" s="17"/>
      <c r="W96" s="17"/>
      <c r="X96" s="17"/>
      <c r="Y96" s="17"/>
      <c r="Z96" s="17"/>
      <c r="AA96" s="17"/>
      <c r="AB96" s="17"/>
      <c r="AC96" s="17"/>
      <c r="AD96" s="17"/>
      <c r="AE96" s="17"/>
      <c r="AF96" s="17">
        <v>14.083333332103695</v>
      </c>
      <c r="AG96" s="17">
        <v>0.11281314262855918</v>
      </c>
      <c r="AH96" s="17"/>
      <c r="AI96" s="17"/>
      <c r="AJ96" s="17"/>
      <c r="AK96" s="17"/>
      <c r="AL96" s="17"/>
      <c r="AM96" s="17"/>
      <c r="AN96" s="17"/>
      <c r="AO96" s="17"/>
      <c r="AP96" s="26"/>
    </row>
    <row r="97" spans="1:42">
      <c r="A97" s="26"/>
      <c r="B97" s="26"/>
      <c r="C97" s="26"/>
      <c r="D97" s="26"/>
      <c r="E97" s="26"/>
      <c r="F97" s="26"/>
      <c r="G97" s="26"/>
      <c r="H97" s="26"/>
      <c r="I97" s="26"/>
      <c r="J97" s="26"/>
      <c r="K97" s="26"/>
      <c r="L97" s="26"/>
      <c r="M97" s="26"/>
      <c r="N97" s="26"/>
      <c r="O97" s="26"/>
      <c r="P97" s="26"/>
      <c r="Q97" s="26"/>
      <c r="R97" s="17"/>
      <c r="S97" s="17"/>
      <c r="T97" s="17"/>
      <c r="U97" s="17"/>
      <c r="V97" s="17"/>
      <c r="W97" s="17"/>
      <c r="X97" s="17"/>
      <c r="Y97" s="17"/>
      <c r="Z97" s="17"/>
      <c r="AA97" s="17"/>
      <c r="AB97" s="17"/>
      <c r="AC97" s="17"/>
      <c r="AD97" s="17"/>
      <c r="AE97" s="17"/>
      <c r="AF97" s="17">
        <v>14.249999998755811</v>
      </c>
      <c r="AG97" s="17">
        <v>0.11533739722649425</v>
      </c>
      <c r="AH97" s="17"/>
      <c r="AI97" s="17"/>
      <c r="AJ97" s="17"/>
      <c r="AK97" s="17"/>
      <c r="AL97" s="17"/>
      <c r="AM97" s="17"/>
      <c r="AN97" s="17"/>
      <c r="AO97" s="17"/>
      <c r="AP97" s="26"/>
    </row>
    <row r="98" spans="1:42">
      <c r="A98" s="26"/>
      <c r="B98" s="26"/>
      <c r="C98" s="26"/>
      <c r="D98" s="26"/>
      <c r="E98" s="26"/>
      <c r="F98" s="26"/>
      <c r="G98" s="26"/>
      <c r="H98" s="26"/>
      <c r="I98" s="26"/>
      <c r="J98" s="26"/>
      <c r="K98" s="26"/>
      <c r="L98" s="26"/>
      <c r="M98" s="26"/>
      <c r="N98" s="26"/>
      <c r="O98" s="26"/>
      <c r="P98" s="26"/>
      <c r="Q98" s="26"/>
      <c r="R98" s="17"/>
      <c r="S98" s="17"/>
      <c r="T98" s="17"/>
      <c r="U98" s="17"/>
      <c r="V98" s="17"/>
      <c r="W98" s="17"/>
      <c r="X98" s="17"/>
      <c r="Y98" s="17"/>
      <c r="Z98" s="17"/>
      <c r="AA98" s="17"/>
      <c r="AB98" s="17"/>
      <c r="AC98" s="17"/>
      <c r="AD98" s="17"/>
      <c r="AE98" s="17"/>
      <c r="AF98" s="17">
        <v>14.416666665407925</v>
      </c>
      <c r="AG98" s="17">
        <v>0.11928835796265741</v>
      </c>
      <c r="AH98" s="17"/>
      <c r="AI98" s="17"/>
      <c r="AJ98" s="17"/>
      <c r="AK98" s="17"/>
      <c r="AL98" s="17"/>
      <c r="AM98" s="17"/>
      <c r="AN98" s="17"/>
      <c r="AO98" s="17"/>
      <c r="AP98" s="26"/>
    </row>
    <row r="99" spans="1:42">
      <c r="A99" s="26"/>
      <c r="B99" s="26"/>
      <c r="C99" s="26"/>
      <c r="D99" s="26"/>
      <c r="E99" s="26"/>
      <c r="F99" s="26"/>
      <c r="G99" s="26"/>
      <c r="H99" s="26"/>
      <c r="I99" s="26"/>
      <c r="J99" s="26"/>
      <c r="K99" s="26"/>
      <c r="L99" s="26"/>
      <c r="M99" s="26"/>
      <c r="N99" s="26"/>
      <c r="O99" s="26"/>
      <c r="P99" s="26"/>
      <c r="Q99" s="26"/>
      <c r="R99" s="17"/>
      <c r="S99" s="17"/>
      <c r="T99" s="17"/>
      <c r="U99" s="17"/>
      <c r="V99" s="17"/>
      <c r="W99" s="17"/>
      <c r="X99" s="17"/>
      <c r="Y99" s="17"/>
      <c r="Z99" s="17"/>
      <c r="AA99" s="17"/>
      <c r="AB99" s="17"/>
      <c r="AC99" s="17"/>
      <c r="AD99" s="17"/>
      <c r="AE99" s="17"/>
      <c r="AF99" s="17">
        <v>14.58333333206004</v>
      </c>
      <c r="AG99" s="17">
        <v>0.12232086636709838</v>
      </c>
      <c r="AH99" s="17"/>
      <c r="AI99" s="17"/>
      <c r="AJ99" s="17"/>
      <c r="AK99" s="17"/>
      <c r="AL99" s="17"/>
      <c r="AM99" s="17"/>
      <c r="AN99" s="17"/>
      <c r="AO99" s="17"/>
      <c r="AP99" s="26"/>
    </row>
    <row r="100" spans="1:42">
      <c r="A100" s="26"/>
      <c r="B100" s="26"/>
      <c r="C100" s="26"/>
      <c r="D100" s="26"/>
      <c r="E100" s="26"/>
      <c r="F100" s="26"/>
      <c r="G100" s="26"/>
      <c r="H100" s="26"/>
      <c r="I100" s="26"/>
      <c r="J100" s="26"/>
      <c r="K100" s="26"/>
      <c r="L100" s="26"/>
      <c r="M100" s="26"/>
      <c r="N100" s="26"/>
      <c r="O100" s="26"/>
      <c r="P100" s="26"/>
      <c r="Q100" s="26"/>
      <c r="R100" s="17"/>
      <c r="S100" s="17"/>
      <c r="T100" s="17"/>
      <c r="U100" s="17"/>
      <c r="V100" s="17"/>
      <c r="W100" s="17"/>
      <c r="X100" s="17"/>
      <c r="Y100" s="17"/>
      <c r="Z100" s="17"/>
      <c r="AA100" s="17"/>
      <c r="AB100" s="17"/>
      <c r="AC100" s="17"/>
      <c r="AD100" s="17"/>
      <c r="AE100" s="17"/>
      <c r="AF100" s="17">
        <v>14.749999998712156</v>
      </c>
      <c r="AG100" s="17">
        <v>0.12427710375881723</v>
      </c>
      <c r="AH100" s="17"/>
      <c r="AI100" s="17"/>
      <c r="AJ100" s="17"/>
      <c r="AK100" s="17"/>
      <c r="AL100" s="17"/>
      <c r="AM100" s="17"/>
      <c r="AN100" s="17"/>
      <c r="AO100" s="17"/>
      <c r="AP100" s="26"/>
    </row>
    <row r="101" spans="1:42">
      <c r="A101" s="26"/>
      <c r="B101" s="26"/>
      <c r="C101" s="26"/>
      <c r="D101" s="26"/>
      <c r="E101" s="26"/>
      <c r="F101" s="26"/>
      <c r="G101" s="26"/>
      <c r="H101" s="26"/>
      <c r="I101" s="26"/>
      <c r="J101" s="26"/>
      <c r="K101" s="26"/>
      <c r="L101" s="26"/>
      <c r="M101" s="26"/>
      <c r="N101" s="26"/>
      <c r="O101" s="26"/>
      <c r="P101" s="26"/>
      <c r="Q101" s="26"/>
      <c r="R101" s="17"/>
      <c r="S101" s="17"/>
      <c r="T101" s="17"/>
      <c r="U101" s="17"/>
      <c r="V101" s="17"/>
      <c r="W101" s="17"/>
      <c r="X101" s="17"/>
      <c r="Y101" s="17"/>
      <c r="Z101" s="17"/>
      <c r="AA101" s="17"/>
      <c r="AB101" s="17"/>
      <c r="AC101" s="17"/>
      <c r="AD101" s="17"/>
      <c r="AE101" s="17"/>
      <c r="AF101" s="17">
        <v>14.91666666536427</v>
      </c>
      <c r="AG101" s="17">
        <v>0.12515707013784055</v>
      </c>
      <c r="AH101" s="17"/>
      <c r="AI101" s="17"/>
      <c r="AJ101" s="17"/>
      <c r="AK101" s="17"/>
      <c r="AL101" s="17"/>
      <c r="AM101" s="17"/>
      <c r="AN101" s="17"/>
      <c r="AO101" s="17"/>
      <c r="AP101" s="26"/>
    </row>
    <row r="102" spans="1:42">
      <c r="A102" s="26"/>
      <c r="B102" s="26"/>
      <c r="C102" s="26"/>
      <c r="D102" s="26"/>
      <c r="E102" s="26"/>
      <c r="F102" s="26"/>
      <c r="G102" s="26"/>
      <c r="H102" s="26"/>
      <c r="I102" s="26"/>
      <c r="J102" s="26"/>
      <c r="K102" s="26"/>
      <c r="L102" s="26"/>
      <c r="M102" s="26"/>
      <c r="N102" s="26"/>
      <c r="O102" s="26"/>
      <c r="P102" s="26"/>
      <c r="Q102" s="26"/>
      <c r="R102" s="17"/>
      <c r="S102" s="17"/>
      <c r="T102" s="17"/>
      <c r="U102" s="17"/>
      <c r="V102" s="17"/>
      <c r="W102" s="17"/>
      <c r="X102" s="17"/>
      <c r="Y102" s="17"/>
      <c r="Z102" s="17"/>
      <c r="AA102" s="17"/>
      <c r="AB102" s="17"/>
      <c r="AC102" s="17"/>
      <c r="AD102" s="17"/>
      <c r="AE102" s="17"/>
      <c r="AF102" s="17">
        <v>15.083333332016384</v>
      </c>
      <c r="AG102" s="17">
        <v>0.12496076550415104</v>
      </c>
      <c r="AH102" s="17"/>
      <c r="AI102" s="17"/>
      <c r="AJ102" s="17"/>
      <c r="AK102" s="17"/>
      <c r="AL102" s="17"/>
      <c r="AM102" s="17"/>
      <c r="AN102" s="17"/>
      <c r="AO102" s="17"/>
      <c r="AP102" s="26"/>
    </row>
    <row r="103" spans="1:42">
      <c r="A103" s="26"/>
      <c r="B103" s="26"/>
      <c r="C103" s="26"/>
      <c r="D103" s="26"/>
      <c r="E103" s="26"/>
      <c r="F103" s="26"/>
      <c r="G103" s="26"/>
      <c r="H103" s="26"/>
      <c r="I103" s="26"/>
      <c r="J103" s="26"/>
      <c r="K103" s="26"/>
      <c r="L103" s="26"/>
      <c r="M103" s="26"/>
      <c r="N103" s="26"/>
      <c r="O103" s="26"/>
      <c r="P103" s="26"/>
      <c r="Q103" s="26"/>
      <c r="R103" s="17"/>
      <c r="S103" s="17"/>
      <c r="T103" s="17"/>
      <c r="U103" s="17"/>
      <c r="V103" s="17"/>
      <c r="W103" s="17"/>
      <c r="X103" s="17"/>
      <c r="Y103" s="17"/>
      <c r="Z103" s="17"/>
      <c r="AA103" s="17"/>
      <c r="AB103" s="17"/>
      <c r="AC103" s="17"/>
      <c r="AD103" s="17"/>
      <c r="AE103" s="17"/>
      <c r="AF103" s="17">
        <v>15.2499999986685</v>
      </c>
      <c r="AG103" s="17">
        <v>0.12368818985775001</v>
      </c>
      <c r="AH103" s="17"/>
      <c r="AI103" s="17"/>
      <c r="AJ103" s="17"/>
      <c r="AK103" s="17"/>
      <c r="AL103" s="17"/>
      <c r="AM103" s="17"/>
      <c r="AN103" s="17"/>
      <c r="AO103" s="17"/>
      <c r="AP103" s="26"/>
    </row>
    <row r="104" spans="1:42">
      <c r="A104" s="26"/>
      <c r="B104" s="26"/>
      <c r="C104" s="26"/>
      <c r="D104" s="26"/>
      <c r="E104" s="26"/>
      <c r="F104" s="26"/>
      <c r="G104" s="26"/>
      <c r="H104" s="26"/>
      <c r="I104" s="26"/>
      <c r="J104" s="26"/>
      <c r="K104" s="26"/>
      <c r="L104" s="26"/>
      <c r="M104" s="26"/>
      <c r="N104" s="26"/>
      <c r="O104" s="26"/>
      <c r="P104" s="26"/>
      <c r="Q104" s="26"/>
      <c r="R104" s="17"/>
      <c r="S104" s="17"/>
      <c r="T104" s="17"/>
      <c r="U104" s="17"/>
      <c r="V104" s="17"/>
      <c r="W104" s="17"/>
      <c r="X104" s="17"/>
      <c r="Y104" s="17"/>
      <c r="Z104" s="17"/>
      <c r="AA104" s="17"/>
      <c r="AB104" s="17"/>
      <c r="AC104" s="17"/>
      <c r="AD104" s="17"/>
      <c r="AE104" s="17"/>
      <c r="AF104" s="17">
        <v>15.416666665320614</v>
      </c>
      <c r="AG104" s="17">
        <v>0.12133934319864285</v>
      </c>
      <c r="AH104" s="17"/>
      <c r="AI104" s="17"/>
      <c r="AJ104" s="17"/>
      <c r="AK104" s="17"/>
      <c r="AL104" s="17"/>
      <c r="AM104" s="17"/>
      <c r="AN104" s="17"/>
      <c r="AO104" s="17"/>
      <c r="AP104" s="26"/>
    </row>
    <row r="105" spans="1:42">
      <c r="A105" s="26"/>
      <c r="B105" s="26"/>
      <c r="C105" s="26"/>
      <c r="D105" s="26"/>
      <c r="E105" s="26"/>
      <c r="F105" s="26"/>
      <c r="G105" s="26"/>
      <c r="H105" s="26"/>
      <c r="I105" s="26"/>
      <c r="J105" s="26"/>
      <c r="K105" s="26"/>
      <c r="L105" s="26"/>
      <c r="M105" s="26"/>
      <c r="N105" s="26"/>
      <c r="O105" s="26"/>
      <c r="P105" s="26"/>
      <c r="Q105" s="26"/>
      <c r="R105" s="17"/>
      <c r="S105" s="17"/>
      <c r="T105" s="17"/>
      <c r="U105" s="17"/>
      <c r="V105" s="17"/>
      <c r="W105" s="17"/>
      <c r="X105" s="17"/>
      <c r="Y105" s="17"/>
      <c r="Z105" s="17"/>
      <c r="AA105" s="17"/>
      <c r="AB105" s="17"/>
      <c r="AC105" s="17"/>
      <c r="AD105" s="17"/>
      <c r="AE105" s="17"/>
      <c r="AF105" s="17">
        <v>15.583333331972728</v>
      </c>
      <c r="AG105" s="17">
        <v>0.11791422552682276</v>
      </c>
      <c r="AH105" s="17"/>
      <c r="AI105" s="17"/>
      <c r="AJ105" s="17"/>
      <c r="AK105" s="17"/>
      <c r="AL105" s="17"/>
      <c r="AM105" s="17"/>
      <c r="AN105" s="17"/>
      <c r="AO105" s="17"/>
      <c r="AP105" s="26"/>
    </row>
    <row r="106" spans="1:42">
      <c r="A106" s="26"/>
      <c r="B106" s="26"/>
      <c r="C106" s="26"/>
      <c r="D106" s="26"/>
      <c r="E106" s="26"/>
      <c r="F106" s="26"/>
      <c r="G106" s="26"/>
      <c r="H106" s="26"/>
      <c r="I106" s="26"/>
      <c r="J106" s="26"/>
      <c r="K106" s="26"/>
      <c r="L106" s="26"/>
      <c r="M106" s="26"/>
      <c r="N106" s="26"/>
      <c r="O106" s="26"/>
      <c r="P106" s="26"/>
      <c r="Q106" s="26"/>
      <c r="R106" s="17"/>
      <c r="S106" s="17"/>
      <c r="T106" s="17"/>
      <c r="U106" s="17"/>
      <c r="V106" s="17"/>
      <c r="W106" s="17"/>
      <c r="X106" s="17"/>
      <c r="Y106" s="17"/>
      <c r="Z106" s="17"/>
      <c r="AA106" s="17"/>
      <c r="AB106" s="17"/>
      <c r="AC106" s="17"/>
      <c r="AD106" s="17"/>
      <c r="AE106" s="17"/>
      <c r="AF106" s="17">
        <v>15.749999998624844</v>
      </c>
      <c r="AG106" s="17">
        <v>0.1134128368423072</v>
      </c>
      <c r="AH106" s="17"/>
      <c r="AI106" s="17"/>
      <c r="AJ106" s="17"/>
      <c r="AK106" s="17"/>
      <c r="AL106" s="17"/>
      <c r="AM106" s="17"/>
      <c r="AN106" s="17"/>
      <c r="AO106" s="17"/>
      <c r="AP106" s="26"/>
    </row>
    <row r="107" spans="1:42">
      <c r="A107" s="26"/>
      <c r="B107" s="26"/>
      <c r="C107" s="26"/>
      <c r="D107" s="26"/>
      <c r="E107" s="26"/>
      <c r="F107" s="26"/>
      <c r="G107" s="26"/>
      <c r="H107" s="26"/>
      <c r="I107" s="26"/>
      <c r="J107" s="26"/>
      <c r="K107" s="26"/>
      <c r="L107" s="26"/>
      <c r="M107" s="26"/>
      <c r="N107" s="26"/>
      <c r="O107" s="26"/>
      <c r="P107" s="26"/>
      <c r="Q107" s="26"/>
      <c r="R107" s="17"/>
      <c r="S107" s="17"/>
      <c r="T107" s="17"/>
      <c r="U107" s="17"/>
      <c r="V107" s="17"/>
      <c r="W107" s="17"/>
      <c r="X107" s="17"/>
      <c r="Y107" s="17"/>
      <c r="Z107" s="17"/>
      <c r="AA107" s="17"/>
      <c r="AB107" s="17"/>
      <c r="AC107" s="17"/>
      <c r="AD107" s="17"/>
      <c r="AE107" s="17"/>
      <c r="AF107" s="17">
        <v>15.916666665276958</v>
      </c>
      <c r="AG107" s="17">
        <v>0.10783517714506964</v>
      </c>
      <c r="AH107" s="17"/>
      <c r="AI107" s="17"/>
      <c r="AJ107" s="17"/>
      <c r="AK107" s="17"/>
      <c r="AL107" s="17"/>
      <c r="AM107" s="17"/>
      <c r="AN107" s="17"/>
      <c r="AO107" s="17"/>
      <c r="AP107" s="26"/>
    </row>
    <row r="108" spans="1:42">
      <c r="A108" s="26"/>
      <c r="B108" s="26"/>
      <c r="C108" s="26"/>
      <c r="D108" s="26"/>
      <c r="E108" s="26"/>
      <c r="F108" s="26"/>
      <c r="G108" s="26"/>
      <c r="H108" s="26"/>
      <c r="I108" s="26"/>
      <c r="J108" s="26"/>
      <c r="K108" s="26"/>
      <c r="L108" s="26"/>
      <c r="M108" s="26"/>
      <c r="N108" s="26"/>
      <c r="O108" s="26"/>
      <c r="P108" s="26"/>
      <c r="Q108" s="26"/>
      <c r="R108" s="17"/>
      <c r="S108" s="17"/>
      <c r="T108" s="17"/>
      <c r="U108" s="17"/>
      <c r="V108" s="17"/>
      <c r="W108" s="17"/>
      <c r="X108" s="17"/>
      <c r="Y108" s="17"/>
      <c r="Z108" s="17"/>
      <c r="AA108" s="17"/>
      <c r="AB108" s="17"/>
      <c r="AC108" s="17"/>
      <c r="AD108" s="17"/>
      <c r="AE108" s="17"/>
      <c r="AF108" s="17">
        <v>16.083333331929072</v>
      </c>
      <c r="AG108" s="17">
        <v>0.1014433852911675</v>
      </c>
      <c r="AH108" s="17"/>
      <c r="AI108" s="17"/>
      <c r="AJ108" s="17"/>
      <c r="AK108" s="17"/>
      <c r="AL108" s="17"/>
      <c r="AM108" s="17"/>
      <c r="AN108" s="17"/>
      <c r="AO108" s="17"/>
      <c r="AP108" s="26"/>
    </row>
    <row r="109" spans="1:42">
      <c r="A109" s="26"/>
      <c r="B109" s="26"/>
      <c r="C109" s="26"/>
      <c r="D109" s="26"/>
      <c r="E109" s="26"/>
      <c r="F109" s="26"/>
      <c r="G109" s="26"/>
      <c r="H109" s="26"/>
      <c r="I109" s="26"/>
      <c r="J109" s="26"/>
      <c r="K109" s="26"/>
      <c r="L109" s="26"/>
      <c r="M109" s="26"/>
      <c r="N109" s="26"/>
      <c r="O109" s="26"/>
      <c r="P109" s="26"/>
      <c r="Q109" s="26"/>
      <c r="R109" s="17"/>
      <c r="S109" s="17"/>
      <c r="T109" s="17"/>
      <c r="U109" s="17"/>
      <c r="V109" s="17"/>
      <c r="W109" s="17"/>
      <c r="X109" s="17"/>
      <c r="Y109" s="17"/>
      <c r="Z109" s="17"/>
      <c r="AA109" s="17"/>
      <c r="AB109" s="17"/>
      <c r="AC109" s="17"/>
      <c r="AD109" s="17"/>
      <c r="AE109" s="17"/>
      <c r="AF109" s="17">
        <v>16.249999998581188</v>
      </c>
      <c r="AG109" s="17">
        <v>9.541705956487255E-2</v>
      </c>
      <c r="AH109" s="17"/>
      <c r="AI109" s="17"/>
      <c r="AJ109" s="17"/>
      <c r="AK109" s="17"/>
      <c r="AL109" s="17"/>
      <c r="AM109" s="17"/>
      <c r="AN109" s="17"/>
      <c r="AO109" s="17"/>
      <c r="AP109" s="26"/>
    </row>
    <row r="110" spans="1:42">
      <c r="A110" s="26"/>
      <c r="B110" s="26"/>
      <c r="C110" s="26"/>
      <c r="D110" s="26"/>
      <c r="E110" s="26"/>
      <c r="F110" s="26"/>
      <c r="G110" s="26"/>
      <c r="H110" s="26"/>
      <c r="I110" s="26"/>
      <c r="J110" s="26"/>
      <c r="K110" s="26"/>
      <c r="L110" s="26"/>
      <c r="M110" s="26"/>
      <c r="N110" s="26"/>
      <c r="O110" s="26"/>
      <c r="P110" s="26"/>
      <c r="Q110" s="26"/>
      <c r="R110" s="17"/>
      <c r="S110" s="17"/>
      <c r="T110" s="17"/>
      <c r="U110" s="17"/>
      <c r="V110" s="17"/>
      <c r="W110" s="17"/>
      <c r="X110" s="17"/>
      <c r="Y110" s="17"/>
      <c r="Z110" s="17"/>
      <c r="AA110" s="17"/>
      <c r="AB110" s="17"/>
      <c r="AC110" s="17"/>
      <c r="AD110" s="17"/>
      <c r="AE110" s="17"/>
      <c r="AF110" s="17">
        <v>16.416666665233301</v>
      </c>
      <c r="AG110" s="17">
        <v>9.008785369935815E-2</v>
      </c>
      <c r="AH110" s="17"/>
      <c r="AI110" s="17"/>
      <c r="AJ110" s="17"/>
      <c r="AK110" s="17"/>
      <c r="AL110" s="17"/>
      <c r="AM110" s="17"/>
      <c r="AN110" s="17"/>
      <c r="AO110" s="17"/>
      <c r="AP110" s="26"/>
    </row>
    <row r="111" spans="1:42">
      <c r="A111" s="26"/>
      <c r="B111" s="26"/>
      <c r="C111" s="26"/>
      <c r="D111" s="26"/>
      <c r="E111" s="26"/>
      <c r="F111" s="26"/>
      <c r="G111" s="26"/>
      <c r="H111" s="26"/>
      <c r="I111" s="26"/>
      <c r="J111" s="26"/>
      <c r="K111" s="26"/>
      <c r="L111" s="26"/>
      <c r="M111" s="26"/>
      <c r="N111" s="26"/>
      <c r="O111" s="26"/>
      <c r="P111" s="26"/>
      <c r="Q111" s="26"/>
      <c r="R111" s="17"/>
      <c r="S111" s="17"/>
      <c r="T111" s="17"/>
      <c r="U111" s="17"/>
      <c r="V111" s="17"/>
      <c r="W111" s="17"/>
      <c r="X111" s="17"/>
      <c r="Y111" s="17"/>
      <c r="Z111" s="17"/>
      <c r="AA111" s="17"/>
      <c r="AB111" s="17"/>
      <c r="AC111" s="17"/>
      <c r="AD111" s="17"/>
      <c r="AE111" s="17"/>
      <c r="AF111" s="17">
        <v>16.583333331885417</v>
      </c>
      <c r="AG111" s="17">
        <v>8.5455785523850039E-2</v>
      </c>
      <c r="AH111" s="17"/>
      <c r="AI111" s="17"/>
      <c r="AJ111" s="17"/>
      <c r="AK111" s="17"/>
      <c r="AL111" s="17"/>
      <c r="AM111" s="17"/>
      <c r="AN111" s="17"/>
      <c r="AO111" s="17"/>
      <c r="AP111" s="26"/>
    </row>
    <row r="112" spans="1:42">
      <c r="A112" s="26"/>
      <c r="B112" s="26"/>
      <c r="C112" s="26"/>
      <c r="D112" s="26"/>
      <c r="E112" s="26"/>
      <c r="F112" s="26"/>
      <c r="G112" s="26"/>
      <c r="H112" s="26"/>
      <c r="I112" s="26"/>
      <c r="J112" s="26"/>
      <c r="K112" s="26"/>
      <c r="L112" s="26"/>
      <c r="M112" s="26"/>
      <c r="N112" s="26"/>
      <c r="O112" s="26"/>
      <c r="P112" s="26"/>
      <c r="Q112" s="26"/>
      <c r="R112" s="17"/>
      <c r="S112" s="17"/>
      <c r="T112" s="17"/>
      <c r="U112" s="17"/>
      <c r="V112" s="17"/>
      <c r="W112" s="17"/>
      <c r="X112" s="17"/>
      <c r="Y112" s="17"/>
      <c r="Z112" s="17"/>
      <c r="AA112" s="17"/>
      <c r="AB112" s="17"/>
      <c r="AC112" s="17"/>
      <c r="AD112" s="17"/>
      <c r="AE112" s="17"/>
      <c r="AF112" s="17">
        <v>16.749999998537533</v>
      </c>
      <c r="AG112" s="17">
        <v>8.1520855038342763E-2</v>
      </c>
      <c r="AH112" s="17"/>
      <c r="AI112" s="17"/>
      <c r="AJ112" s="17"/>
      <c r="AK112" s="17"/>
      <c r="AL112" s="17"/>
      <c r="AM112" s="17"/>
      <c r="AN112" s="17"/>
      <c r="AO112" s="17"/>
      <c r="AP112" s="26"/>
    </row>
    <row r="113" spans="1:42">
      <c r="A113" s="26"/>
      <c r="B113" s="26"/>
      <c r="C113" s="26"/>
      <c r="D113" s="26"/>
      <c r="E113" s="26"/>
      <c r="F113" s="26"/>
      <c r="G113" s="26"/>
      <c r="H113" s="26"/>
      <c r="I113" s="26"/>
      <c r="J113" s="26"/>
      <c r="K113" s="26"/>
      <c r="L113" s="26"/>
      <c r="M113" s="26"/>
      <c r="N113" s="26"/>
      <c r="O113" s="26"/>
      <c r="P113" s="26"/>
      <c r="Q113" s="26"/>
      <c r="R113" s="17"/>
      <c r="S113" s="17"/>
      <c r="T113" s="17"/>
      <c r="U113" s="17"/>
      <c r="V113" s="17"/>
      <c r="W113" s="17"/>
      <c r="X113" s="17"/>
      <c r="Y113" s="17"/>
      <c r="Z113" s="17"/>
      <c r="AA113" s="17"/>
      <c r="AB113" s="17"/>
      <c r="AC113" s="17"/>
      <c r="AD113" s="17"/>
      <c r="AE113" s="17"/>
      <c r="AF113" s="17">
        <v>16.916666665189645</v>
      </c>
      <c r="AG113" s="17">
        <v>7.828306224283646E-2</v>
      </c>
      <c r="AH113" s="17"/>
      <c r="AI113" s="17"/>
      <c r="AJ113" s="17"/>
      <c r="AK113" s="17"/>
      <c r="AL113" s="17"/>
      <c r="AM113" s="17"/>
      <c r="AN113" s="17"/>
      <c r="AO113" s="17"/>
      <c r="AP113" s="26"/>
    </row>
    <row r="114" spans="1:42">
      <c r="A114" s="26"/>
      <c r="B114" s="26"/>
      <c r="C114" s="26"/>
      <c r="D114" s="26"/>
      <c r="E114" s="26"/>
      <c r="F114" s="26"/>
      <c r="G114" s="26"/>
      <c r="H114" s="26"/>
      <c r="I114" s="26"/>
      <c r="J114" s="26"/>
      <c r="K114" s="26"/>
      <c r="L114" s="26"/>
      <c r="M114" s="26"/>
      <c r="N114" s="26"/>
      <c r="O114" s="26"/>
      <c r="P114" s="26"/>
      <c r="Q114" s="26"/>
      <c r="R114" s="17"/>
      <c r="S114" s="17"/>
      <c r="T114" s="17"/>
      <c r="U114" s="17"/>
      <c r="V114" s="17"/>
      <c r="W114" s="17"/>
      <c r="X114" s="17"/>
      <c r="Y114" s="17"/>
      <c r="Z114" s="17"/>
      <c r="AA114" s="17"/>
      <c r="AB114" s="17"/>
      <c r="AC114" s="17"/>
      <c r="AD114" s="17"/>
      <c r="AE114" s="17"/>
      <c r="AF114" s="17">
        <v>17.083333331841761</v>
      </c>
      <c r="AG114" s="17">
        <v>7.5742407137341594E-2</v>
      </c>
      <c r="AH114" s="17"/>
      <c r="AI114" s="17"/>
      <c r="AJ114" s="17"/>
      <c r="AK114" s="17"/>
      <c r="AL114" s="17"/>
      <c r="AM114" s="17"/>
      <c r="AN114" s="17"/>
      <c r="AO114" s="17"/>
      <c r="AP114" s="26"/>
    </row>
    <row r="115" spans="1:42">
      <c r="AF115">
        <v>17.249999998493877</v>
      </c>
      <c r="AG115">
        <v>7.3898889721837308E-2</v>
      </c>
    </row>
    <row r="116" spans="1:42">
      <c r="AF116">
        <v>17.416666665145989</v>
      </c>
      <c r="AG116">
        <v>7.2752509996344444E-2</v>
      </c>
    </row>
    <row r="117" spans="1:42">
      <c r="AF117">
        <v>17.583333331798105</v>
      </c>
      <c r="AG117">
        <v>7.2303267960852277E-2</v>
      </c>
    </row>
    <row r="118" spans="1:42">
      <c r="AF118">
        <v>17.749999998450221</v>
      </c>
      <c r="AG118">
        <v>7.2551163615356171E-2</v>
      </c>
    </row>
    <row r="119" spans="1:42">
      <c r="AF119">
        <v>17.916666665102333</v>
      </c>
      <c r="AG119">
        <v>7.3496196959876747E-2</v>
      </c>
    </row>
    <row r="120" spans="1:42">
      <c r="AF120">
        <v>18.083333331754449</v>
      </c>
      <c r="AG120">
        <v>7.5133520329930481E-2</v>
      </c>
    </row>
    <row r="121" spans="1:42">
      <c r="AF121">
        <v>18.249999998406565</v>
      </c>
      <c r="AG121">
        <v>7.7326061928494422E-2</v>
      </c>
    </row>
    <row r="122" spans="1:42">
      <c r="AF122">
        <v>18.416666665058678</v>
      </c>
      <c r="AG122">
        <v>7.9920828230207422E-2</v>
      </c>
    </row>
    <row r="123" spans="1:42">
      <c r="AF123">
        <v>18.583333331710794</v>
      </c>
      <c r="AG123">
        <v>8.2909775165519839E-2</v>
      </c>
    </row>
    <row r="124" spans="1:42">
      <c r="AF124">
        <v>18.74999999836291</v>
      </c>
      <c r="AG124">
        <v>8.6292902734442345E-2</v>
      </c>
    </row>
    <row r="125" spans="1:42">
      <c r="AF125">
        <v>18.916666665015022</v>
      </c>
      <c r="AG125">
        <v>9.007021093698557E-2</v>
      </c>
    </row>
    <row r="126" spans="1:42">
      <c r="AF126">
        <v>19.083333331667138</v>
      </c>
      <c r="AG126">
        <v>9.4241699773128434E-2</v>
      </c>
    </row>
    <row r="127" spans="1:42">
      <c r="AF127">
        <v>19.249999998319254</v>
      </c>
      <c r="AG127">
        <v>9.8807369242886245E-2</v>
      </c>
    </row>
    <row r="128" spans="1:42">
      <c r="AF128">
        <v>19.416666664971366</v>
      </c>
      <c r="AG128">
        <v>0.10376721934625435</v>
      </c>
    </row>
    <row r="129" spans="32:33">
      <c r="AF129">
        <v>19.583333331623482</v>
      </c>
      <c r="AG129">
        <v>0.10912125008322775</v>
      </c>
    </row>
    <row r="130" spans="32:33">
      <c r="AF130">
        <v>19.749999998275598</v>
      </c>
      <c r="AG130">
        <v>0.11486946145382078</v>
      </c>
    </row>
    <row r="131" spans="32:33">
      <c r="AF131">
        <v>19.91666666492771</v>
      </c>
      <c r="AG131">
        <v>0.12101185345800845</v>
      </c>
    </row>
    <row r="132" spans="32:33">
      <c r="AF132">
        <v>20.083333331579826</v>
      </c>
      <c r="AG132">
        <v>0.12754842609582312</v>
      </c>
    </row>
    <row r="133" spans="32:33">
      <c r="AF133">
        <v>20.249999998231942</v>
      </c>
      <c r="AG133">
        <v>0.1344791793672353</v>
      </c>
    </row>
    <row r="134" spans="32:33">
      <c r="AF134">
        <v>20.416666664884055</v>
      </c>
      <c r="AG134">
        <v>0.14160797815626891</v>
      </c>
    </row>
    <row r="135" spans="32:33">
      <c r="AF135">
        <v>20.583333331536171</v>
      </c>
      <c r="AG135">
        <v>0.14761650342760793</v>
      </c>
    </row>
    <row r="136" spans="32:33">
      <c r="AF136">
        <v>20.749999998188287</v>
      </c>
      <c r="AG136">
        <v>0.151961593588511</v>
      </c>
    </row>
    <row r="137" spans="32:33">
      <c r="AF137">
        <v>20.916666664840399</v>
      </c>
      <c r="AG137">
        <v>0.15464155769155732</v>
      </c>
    </row>
    <row r="138" spans="32:33">
      <c r="AF138">
        <v>21.083333331492515</v>
      </c>
      <c r="AG138">
        <v>0.1556563957367364</v>
      </c>
    </row>
    <row r="139" spans="32:33">
      <c r="AF139">
        <v>21.249999998144631</v>
      </c>
      <c r="AG139">
        <v>0.15500610772404896</v>
      </c>
    </row>
    <row r="140" spans="32:33">
      <c r="AF140">
        <v>21.416666664796743</v>
      </c>
      <c r="AG140">
        <v>0.15269069365349963</v>
      </c>
    </row>
    <row r="141" spans="32:33">
      <c r="AF141">
        <v>21.583333331448859</v>
      </c>
      <c r="AG141">
        <v>0.14871015352508293</v>
      </c>
    </row>
    <row r="142" spans="32:33">
      <c r="AF142">
        <v>21.749999998100975</v>
      </c>
      <c r="AG142">
        <v>0.14306448733880531</v>
      </c>
    </row>
    <row r="143" spans="32:33">
      <c r="AF143">
        <v>21.916666664753087</v>
      </c>
      <c r="AG143">
        <v>0.13575369509466031</v>
      </c>
    </row>
    <row r="144" spans="32:33">
      <c r="AF144">
        <v>22.083333331405203</v>
      </c>
      <c r="AG144">
        <v>0.12677777679264748</v>
      </c>
    </row>
    <row r="145" spans="32:33">
      <c r="AF145">
        <v>22.249999998057319</v>
      </c>
      <c r="AG145">
        <v>0.11613673243278003</v>
      </c>
    </row>
    <row r="146" spans="32:33">
      <c r="AF146">
        <v>22.416666664709432</v>
      </c>
      <c r="AG146">
        <v>0.10383056201503937</v>
      </c>
    </row>
    <row r="147" spans="32:33">
      <c r="AF147">
        <v>22.583333331361548</v>
      </c>
      <c r="AG147">
        <v>8.9906052114709534E-2</v>
      </c>
    </row>
    <row r="148" spans="32:33">
      <c r="AF148">
        <v>22.749999998013664</v>
      </c>
      <c r="AG148">
        <v>7.5964023248672199E-2</v>
      </c>
    </row>
    <row r="149" spans="32:33">
      <c r="AF149">
        <v>22.916666664665776</v>
      </c>
      <c r="AG149">
        <v>6.3965995328551267E-2</v>
      </c>
    </row>
    <row r="150" spans="32:33">
      <c r="AF150">
        <v>23.083333331317892</v>
      </c>
      <c r="AG150">
        <v>5.4031829870492848E-2</v>
      </c>
    </row>
    <row r="151" spans="32:33">
      <c r="AF151">
        <v>23.249999997970008</v>
      </c>
      <c r="AG151">
        <v>4.6161526874493479E-2</v>
      </c>
    </row>
    <row r="152" spans="32:33">
      <c r="AF152">
        <v>23.41666666462212</v>
      </c>
      <c r="AG152">
        <v>4.0355086340567274E-2</v>
      </c>
    </row>
    <row r="153" spans="32:33">
      <c r="AF153">
        <v>23.583333331274236</v>
      </c>
      <c r="AG153">
        <v>3.6612508268697878E-2</v>
      </c>
    </row>
    <row r="154" spans="32:33">
      <c r="AF154">
        <v>23.749999997926352</v>
      </c>
      <c r="AG154">
        <v>3.4933792658898934E-2</v>
      </c>
    </row>
    <row r="155" spans="32:33">
      <c r="AF155">
        <v>23.916666664578464</v>
      </c>
      <c r="AG155">
        <v>3.5318939511162127E-2</v>
      </c>
    </row>
    <row r="156" spans="32:33">
      <c r="AF156">
        <v>24.08333333123058</v>
      </c>
      <c r="AG156">
        <v>3.7767948825492809E-2</v>
      </c>
    </row>
    <row r="157" spans="32:33">
      <c r="AF157">
        <v>24.249999997882696</v>
      </c>
      <c r="AG157">
        <v>4.228082060188857E-2</v>
      </c>
    </row>
    <row r="158" spans="32:33">
      <c r="AF158">
        <v>24.416666664534809</v>
      </c>
      <c r="AG158">
        <v>4.8857554840346484E-2</v>
      </c>
    </row>
    <row r="159" spans="32:33">
      <c r="AF159">
        <v>24.583333331186925</v>
      </c>
      <c r="AG159">
        <v>5.7439512940736973E-2</v>
      </c>
    </row>
    <row r="160" spans="32:33">
      <c r="AF160">
        <v>24.749999997839041</v>
      </c>
      <c r="AG160">
        <v>6.6662055449120503E-2</v>
      </c>
    </row>
    <row r="161" spans="32:33">
      <c r="AF161">
        <v>24.916666664491153</v>
      </c>
      <c r="AG161">
        <v>7.5151621610090577E-2</v>
      </c>
    </row>
    <row r="162" spans="32:33">
      <c r="AF162">
        <v>25.083333331143269</v>
      </c>
      <c r="AG162">
        <v>8.2847788539458372E-2</v>
      </c>
    </row>
    <row r="163" spans="32:33">
      <c r="AF163">
        <v>25.249999997795385</v>
      </c>
      <c r="AG163">
        <v>8.9750556237218615E-2</v>
      </c>
    </row>
    <row r="164" spans="32:33">
      <c r="AF164">
        <v>25.416666664447497</v>
      </c>
      <c r="AG164">
        <v>9.5859924703381907E-2</v>
      </c>
    </row>
    <row r="165" spans="32:33">
      <c r="AF165">
        <v>25.583333331099613</v>
      </c>
      <c r="AG165">
        <v>0.10117589393794334</v>
      </c>
    </row>
    <row r="166" spans="32:33">
      <c r="AF166">
        <v>25.749999997751729</v>
      </c>
      <c r="AG166">
        <v>0.10569846394089642</v>
      </c>
    </row>
    <row r="167" spans="32:33">
      <c r="AF167">
        <v>25.916666664403841</v>
      </c>
      <c r="AG167">
        <v>0.1094276347122423</v>
      </c>
    </row>
    <row r="168" spans="32:33">
      <c r="AF168">
        <v>26.083333331055957</v>
      </c>
      <c r="AG168">
        <v>0.1123634062519972</v>
      </c>
    </row>
    <row r="169" spans="32:33">
      <c r="AF169">
        <v>26.249999997708073</v>
      </c>
      <c r="AG169">
        <v>0.11508205385489322</v>
      </c>
    </row>
    <row r="170" spans="32:33">
      <c r="AF170">
        <v>26.416666664360186</v>
      </c>
      <c r="AG170">
        <v>0.12175718881585262</v>
      </c>
    </row>
    <row r="171" spans="32:33">
      <c r="AF171">
        <v>26.583333331012302</v>
      </c>
      <c r="AG171">
        <v>0.13422652480214406</v>
      </c>
    </row>
    <row r="172" spans="32:33">
      <c r="AF172">
        <v>26.749999997664418</v>
      </c>
      <c r="AG172">
        <v>0.15249804788904869</v>
      </c>
    </row>
    <row r="173" spans="32:33">
      <c r="AF173">
        <v>26.91666666431653</v>
      </c>
      <c r="AG173">
        <v>0.17657175807655384</v>
      </c>
    </row>
    <row r="174" spans="32:33">
      <c r="AF174">
        <v>27.083333330968646</v>
      </c>
      <c r="AG174">
        <v>0.20644765536466098</v>
      </c>
    </row>
    <row r="175" spans="32:33">
      <c r="AF175">
        <v>27.249999997620762</v>
      </c>
      <c r="AG175">
        <v>0.24212573975337293</v>
      </c>
    </row>
    <row r="176" spans="32:33">
      <c r="AF176">
        <v>27.416666664272874</v>
      </c>
      <c r="AG176">
        <v>0.28310922957602935</v>
      </c>
    </row>
    <row r="177" spans="32:33">
      <c r="AF177">
        <v>27.58333333092499</v>
      </c>
      <c r="AG177">
        <v>0.31746202944684476</v>
      </c>
    </row>
    <row r="178" spans="32:33">
      <c r="AF178">
        <v>27.749999997577106</v>
      </c>
      <c r="AG178">
        <v>0.3329575732644624</v>
      </c>
    </row>
    <row r="179" spans="32:33">
      <c r="AF179">
        <v>27.916666664229218</v>
      </c>
      <c r="AG179">
        <v>0.329040974690542</v>
      </c>
    </row>
    <row r="180" spans="32:33">
      <c r="AF180">
        <v>28.083333330881334</v>
      </c>
      <c r="AG180">
        <v>0.30571223372504053</v>
      </c>
    </row>
    <row r="181" spans="32:33">
      <c r="AF181">
        <v>28.24999999753345</v>
      </c>
      <c r="AG181">
        <v>0.2631675792191504</v>
      </c>
    </row>
    <row r="182" spans="32:33">
      <c r="AF182">
        <v>28.416666664185563</v>
      </c>
      <c r="AG182">
        <v>0.22117775902827652</v>
      </c>
    </row>
    <row r="183" spans="32:33">
      <c r="AF183">
        <v>28.583333330837679</v>
      </c>
      <c r="AG183">
        <v>0.216170024982519</v>
      </c>
    </row>
    <row r="184" spans="32:33">
      <c r="AF184">
        <v>28.749999997489795</v>
      </c>
      <c r="AG184">
        <v>0.25206714139149361</v>
      </c>
    </row>
    <row r="185" spans="32:33">
      <c r="AF185">
        <v>28.916666664141907</v>
      </c>
      <c r="AG185">
        <v>0.32915854914321141</v>
      </c>
    </row>
    <row r="186" spans="32:33">
      <c r="AF186">
        <v>29.083333330794023</v>
      </c>
      <c r="AG186">
        <v>0.45056664487274362</v>
      </c>
    </row>
    <row r="187" spans="32:33">
      <c r="AF187">
        <v>29.249999997446139</v>
      </c>
      <c r="AG187">
        <v>0.61867786007492631</v>
      </c>
    </row>
    <row r="188" spans="32:33">
      <c r="AF188">
        <v>29.416666664098251</v>
      </c>
      <c r="AG188">
        <v>0.87270413890670839</v>
      </c>
    </row>
    <row r="189" spans="32:33">
      <c r="AF189">
        <v>29.583333330750367</v>
      </c>
      <c r="AG189">
        <v>1.2764828972090887</v>
      </c>
    </row>
    <row r="190" spans="32:33">
      <c r="AF190">
        <v>29.749999997402483</v>
      </c>
      <c r="AG190">
        <v>1.8048521982907617</v>
      </c>
    </row>
    <row r="191" spans="32:33">
      <c r="AF191">
        <v>29.916666664054596</v>
      </c>
      <c r="AG191">
        <v>2.3931021396266883</v>
      </c>
    </row>
    <row r="192" spans="32:33">
      <c r="AF192">
        <v>30.083333330706711</v>
      </c>
      <c r="AG192">
        <v>2.4973357056717607</v>
      </c>
    </row>
    <row r="193" spans="32:33">
      <c r="AF193">
        <v>30.249999997358827</v>
      </c>
      <c r="AG193">
        <v>1.9225486378828645</v>
      </c>
    </row>
    <row r="194" spans="32:33">
      <c r="AF194">
        <v>30.41666666401094</v>
      </c>
      <c r="AG194">
        <v>1.3006088829506488</v>
      </c>
    </row>
    <row r="195" spans="32:33">
      <c r="AF195">
        <v>30.583333330663056</v>
      </c>
      <c r="AG195">
        <v>0.89625419527482442</v>
      </c>
    </row>
    <row r="196" spans="32:33">
      <c r="AF196">
        <v>30.749999997315172</v>
      </c>
      <c r="AG196">
        <v>0.65107521624318399</v>
      </c>
    </row>
    <row r="197" spans="32:33">
      <c r="AF197">
        <v>30.916666663967284</v>
      </c>
      <c r="AG197">
        <v>0.47780170775976849</v>
      </c>
    </row>
    <row r="198" spans="32:33">
      <c r="AF198">
        <v>31.0833333306194</v>
      </c>
      <c r="AG198">
        <v>0.35571868723664779</v>
      </c>
    </row>
    <row r="199" spans="32:33">
      <c r="AF199">
        <v>31.249999997271516</v>
      </c>
      <c r="AG199">
        <v>0.26968385138480933</v>
      </c>
    </row>
    <row r="200" spans="32:33">
      <c r="AF200">
        <v>31.416666663923628</v>
      </c>
      <c r="AG200">
        <v>0.21881269666809935</v>
      </c>
    </row>
    <row r="201" spans="32:33">
      <c r="AF201">
        <v>31.583333330575744</v>
      </c>
      <c r="AG201">
        <v>0.18972480920995394</v>
      </c>
    </row>
    <row r="202" spans="32:33">
      <c r="AF202">
        <v>31.74999999722786</v>
      </c>
      <c r="AG202">
        <v>0.16669765408738055</v>
      </c>
    </row>
    <row r="203" spans="32:33">
      <c r="AF203">
        <v>31.916666663879973</v>
      </c>
      <c r="AG203">
        <v>0.14883215197007402</v>
      </c>
    </row>
    <row r="204" spans="32:33">
      <c r="AF204">
        <v>32.083333330532085</v>
      </c>
      <c r="AG204">
        <v>0.13612830285805455</v>
      </c>
    </row>
    <row r="205" spans="32:33">
      <c r="AF205">
        <v>32.249999997184204</v>
      </c>
      <c r="AG205">
        <v>0.12848686601436729</v>
      </c>
    </row>
    <row r="206" spans="32:33">
      <c r="AF206">
        <v>32.416666663836317</v>
      </c>
      <c r="AG206">
        <v>0.12420282086034509</v>
      </c>
    </row>
    <row r="207" spans="32:33">
      <c r="AF207">
        <v>32.583333330488429</v>
      </c>
      <c r="AG207">
        <v>0.12184110181865952</v>
      </c>
    </row>
    <row r="208" spans="32:33">
      <c r="AF208">
        <v>32.749999997140549</v>
      </c>
      <c r="AG208">
        <v>0.12135696249578826</v>
      </c>
    </row>
    <row r="209" spans="32:33">
      <c r="AF209">
        <v>32.916666663792661</v>
      </c>
      <c r="AG209">
        <v>0.12275040289172072</v>
      </c>
    </row>
    <row r="210" spans="32:33">
      <c r="AF210">
        <v>33.083333330444773</v>
      </c>
      <c r="AG210">
        <v>0.12602142300646196</v>
      </c>
    </row>
    <row r="211" spans="32:33">
      <c r="AF211">
        <v>33.249999997096893</v>
      </c>
      <c r="AG211">
        <v>0.13117002283999624</v>
      </c>
    </row>
    <row r="212" spans="32:33">
      <c r="AF212">
        <v>33.416666663749005</v>
      </c>
      <c r="AG212">
        <v>0.13819618120141258</v>
      </c>
    </row>
    <row r="213" spans="32:33">
      <c r="AF213">
        <v>33.583333330401118</v>
      </c>
      <c r="AG213">
        <v>0.14640112857684265</v>
      </c>
    </row>
    <row r="214" spans="32:33">
      <c r="AF214">
        <v>33.749999997053237</v>
      </c>
      <c r="AG214">
        <v>0.15324677494474701</v>
      </c>
    </row>
    <row r="215" spans="32:33">
      <c r="AF215">
        <v>33.91666666370535</v>
      </c>
      <c r="AG215">
        <v>0.15815703602187484</v>
      </c>
    </row>
    <row r="216" spans="32:33">
      <c r="AF216">
        <v>34.083333330357462</v>
      </c>
      <c r="AG216">
        <v>0.16113191180824638</v>
      </c>
    </row>
    <row r="217" spans="32:33">
      <c r="AF217">
        <v>34.249999997009581</v>
      </c>
      <c r="AG217">
        <v>0.16217140230386268</v>
      </c>
    </row>
    <row r="218" spans="32:33">
      <c r="AF218">
        <v>34.416666663661694</v>
      </c>
      <c r="AG218">
        <v>0.161275507508713</v>
      </c>
    </row>
    <row r="219" spans="32:33">
      <c r="AF219">
        <v>34.583333330313806</v>
      </c>
      <c r="AG219">
        <v>0.15844422742279662</v>
      </c>
    </row>
    <row r="220" spans="32:33">
      <c r="AF220">
        <v>34.749999996965926</v>
      </c>
      <c r="AG220">
        <v>0.15367756204612487</v>
      </c>
    </row>
    <row r="221" spans="32:33">
      <c r="AF221">
        <v>34.916666663618038</v>
      </c>
      <c r="AG221">
        <v>0.14697551137869841</v>
      </c>
    </row>
    <row r="222" spans="32:33">
      <c r="AF222">
        <v>35.08333333027015</v>
      </c>
      <c r="AG222">
        <v>0.13833807542050405</v>
      </c>
    </row>
    <row r="223" spans="32:33">
      <c r="AF223">
        <v>35.24999999692227</v>
      </c>
      <c r="AG223">
        <v>0.12776525417153362</v>
      </c>
    </row>
    <row r="224" spans="32:33">
      <c r="AF224">
        <v>35.416666663574382</v>
      </c>
      <c r="AG224">
        <v>0.11530569902056638</v>
      </c>
    </row>
    <row r="225" spans="32:33">
      <c r="AF225">
        <v>35.583333330226495</v>
      </c>
      <c r="AG225">
        <v>0.10227645274777315</v>
      </c>
    </row>
    <row r="226" spans="32:33">
      <c r="AF226">
        <v>35.749999996878614</v>
      </c>
      <c r="AG226">
        <v>9.011500264408677E-2</v>
      </c>
    </row>
    <row r="227" spans="32:33">
      <c r="AF227">
        <v>35.916666663530727</v>
      </c>
      <c r="AG227">
        <v>7.8894146840654392E-2</v>
      </c>
    </row>
    <row r="228" spans="32:33">
      <c r="AF228">
        <v>36.083333330182839</v>
      </c>
      <c r="AG228">
        <v>6.8613885337464819E-2</v>
      </c>
    </row>
    <row r="229" spans="32:33">
      <c r="AF229">
        <v>36.249999996834958</v>
      </c>
      <c r="AG229">
        <v>5.9274218134539897E-2</v>
      </c>
    </row>
    <row r="230" spans="32:33">
      <c r="AF230">
        <v>36.416666663487071</v>
      </c>
      <c r="AG230">
        <v>5.0875145231870179E-2</v>
      </c>
    </row>
    <row r="231" spans="32:33">
      <c r="AF231">
        <v>36.583333330139183</v>
      </c>
      <c r="AG231">
        <v>4.3416666629462176E-2</v>
      </c>
    </row>
    <row r="232" spans="32:33">
      <c r="AF232">
        <v>36.749999996791303</v>
      </c>
      <c r="AG232">
        <v>3.6898782327309379E-2</v>
      </c>
    </row>
    <row r="233" spans="32:33">
      <c r="AF233">
        <v>36.916666663443415</v>
      </c>
      <c r="AG233">
        <v>3.1321492325412613E-2</v>
      </c>
    </row>
    <row r="234" spans="32:33">
      <c r="AF234">
        <v>37.083333330095527</v>
      </c>
      <c r="AG234">
        <v>2.6684796623765238E-2</v>
      </c>
    </row>
    <row r="235" spans="32:33">
      <c r="AF235">
        <v>37.249999996747647</v>
      </c>
      <c r="AG235">
        <v>2.2988695222395217E-2</v>
      </c>
    </row>
    <row r="236" spans="32:33">
      <c r="AF236">
        <v>37.416666663399759</v>
      </c>
      <c r="AG236">
        <v>2.0233188121271044E-2</v>
      </c>
    </row>
    <row r="237" spans="32:33">
      <c r="AF237">
        <v>37.583333330051872</v>
      </c>
      <c r="AG237">
        <v>1.8418275320395316E-2</v>
      </c>
    </row>
    <row r="238" spans="32:33">
      <c r="AF238">
        <v>37.749999996703991</v>
      </c>
      <c r="AG238">
        <v>1.7543956819786752E-2</v>
      </c>
    </row>
    <row r="239" spans="32:33">
      <c r="AF239">
        <v>37.916666663356104</v>
      </c>
      <c r="AG239">
        <v>1.7610232619434812E-2</v>
      </c>
    </row>
    <row r="240" spans="32:33">
      <c r="AF240">
        <v>38.083333330008216</v>
      </c>
      <c r="AG240">
        <v>1.8617102719341746E-2</v>
      </c>
    </row>
    <row r="241" spans="32:33">
      <c r="AF241">
        <v>38.249999996660335</v>
      </c>
      <c r="AG241">
        <v>2.0564567119494646E-2</v>
      </c>
    </row>
    <row r="242" spans="32:33">
      <c r="AF242">
        <v>38.416666663312448</v>
      </c>
      <c r="AG242">
        <v>2.3356216252526051E-2</v>
      </c>
    </row>
    <row r="243" spans="32:33">
      <c r="AF243">
        <v>38.58333332996456</v>
      </c>
      <c r="AG243">
        <v>2.6296417933168805E-2</v>
      </c>
    </row>
    <row r="244" spans="32:33">
      <c r="AF244">
        <v>38.74999999661668</v>
      </c>
      <c r="AG244">
        <v>2.9079878171368929E-2</v>
      </c>
    </row>
    <row r="245" spans="32:33">
      <c r="AF245">
        <v>38.916666663268792</v>
      </c>
      <c r="AG245">
        <v>3.1705290647934474E-2</v>
      </c>
    </row>
    <row r="246" spans="32:33">
      <c r="AF246">
        <v>39.083333329920904</v>
      </c>
      <c r="AG246">
        <v>3.417265536283752E-2</v>
      </c>
    </row>
    <row r="247" spans="32:33">
      <c r="AF247">
        <v>39.249999996573024</v>
      </c>
      <c r="AG247">
        <v>3.6481972316116634E-2</v>
      </c>
    </row>
    <row r="248" spans="32:33">
      <c r="AF248">
        <v>39.416666663225136</v>
      </c>
      <c r="AG248">
        <v>3.8633241507718241E-2</v>
      </c>
    </row>
    <row r="249" spans="32:33">
      <c r="AF249">
        <v>39.583333329877249</v>
      </c>
      <c r="AG249">
        <v>4.0626462937679256E-2</v>
      </c>
    </row>
    <row r="250" spans="32:33">
      <c r="AF250">
        <v>39.749999996529368</v>
      </c>
      <c r="AG250">
        <v>4.2461636606005396E-2</v>
      </c>
    </row>
    <row r="251" spans="32:33">
      <c r="AF251">
        <v>39.916666663181481</v>
      </c>
      <c r="AG251">
        <v>4.4138762512664444E-2</v>
      </c>
    </row>
    <row r="252" spans="32:33">
      <c r="AF252">
        <v>40.083333329833593</v>
      </c>
      <c r="AG252">
        <v>4.5657840657683371E-2</v>
      </c>
    </row>
    <row r="253" spans="32:33">
      <c r="AF253">
        <v>40.249999996485712</v>
      </c>
      <c r="AG253">
        <v>4.701887104105653E-2</v>
      </c>
    </row>
    <row r="254" spans="32:33">
      <c r="AF254">
        <v>40.416666663137825</v>
      </c>
      <c r="AG254">
        <v>4.8221853662773081E-2</v>
      </c>
    </row>
    <row r="255" spans="32:33">
      <c r="AF255">
        <v>40.583333329789937</v>
      </c>
      <c r="AG255">
        <v>4.9266788522839201E-2</v>
      </c>
    </row>
    <row r="256" spans="32:33">
      <c r="AF256">
        <v>40.749999996442057</v>
      </c>
      <c r="AG256">
        <v>5.015367562127003E-2</v>
      </c>
    </row>
    <row r="257" spans="32:33">
      <c r="AF257">
        <v>40.916666663094169</v>
      </c>
      <c r="AG257">
        <v>5.088251495803349E-2</v>
      </c>
    </row>
    <row r="258" spans="32:33">
      <c r="AF258">
        <v>41.083333329746281</v>
      </c>
      <c r="AG258">
        <v>5.1453306533157397E-2</v>
      </c>
    </row>
    <row r="259" spans="32:33">
      <c r="AF259">
        <v>41.249999996398401</v>
      </c>
      <c r="AG259">
        <v>5.1866050346635245E-2</v>
      </c>
    </row>
    <row r="260" spans="32:33">
      <c r="AF260">
        <v>41.416666663050513</v>
      </c>
      <c r="AG260">
        <v>5.2120746398466984E-2</v>
      </c>
    </row>
    <row r="261" spans="32:33">
      <c r="AF261">
        <v>41.583333329702626</v>
      </c>
      <c r="AG261">
        <v>5.2217394688637966E-2</v>
      </c>
    </row>
    <row r="262" spans="32:33">
      <c r="AF262">
        <v>41.749999996354745</v>
      </c>
      <c r="AG262">
        <v>5.2155995217162833E-2</v>
      </c>
    </row>
    <row r="263" spans="32:33">
      <c r="AF263">
        <v>41.916666663006858</v>
      </c>
      <c r="AG263">
        <v>5.1936547984052256E-2</v>
      </c>
    </row>
    <row r="264" spans="32:33">
      <c r="AF264">
        <v>42.08333332965897</v>
      </c>
      <c r="AG264">
        <v>5.155905298927025E-2</v>
      </c>
    </row>
    <row r="265" spans="32:33">
      <c r="AF265">
        <v>42.249999996311089</v>
      </c>
      <c r="AG265">
        <v>5.1023510232852794E-2</v>
      </c>
    </row>
    <row r="266" spans="32:33">
      <c r="AF266">
        <v>42.416666662963202</v>
      </c>
      <c r="AG266">
        <v>5.0329919714789305E-2</v>
      </c>
    </row>
    <row r="267" spans="32:33">
      <c r="AF267">
        <v>42.583333329615314</v>
      </c>
      <c r="AG267">
        <v>4.9478281435075558E-2</v>
      </c>
    </row>
    <row r="268" spans="32:33">
      <c r="AF268">
        <v>42.749999996267434</v>
      </c>
      <c r="AG268">
        <v>4.846859539370512E-2</v>
      </c>
    </row>
    <row r="269" spans="32:33">
      <c r="AF269">
        <v>42.916666662919546</v>
      </c>
      <c r="AG269">
        <v>4.7313192936234538E-2</v>
      </c>
    </row>
    <row r="270" spans="32:33">
      <c r="AF270">
        <v>43.083333329571659</v>
      </c>
      <c r="AG270">
        <v>4.6124955050639301E-2</v>
      </c>
    </row>
    <row r="271" spans="32:33">
      <c r="AF271">
        <v>43.249999996223778</v>
      </c>
      <c r="AG271">
        <v>4.4964444180639968E-2</v>
      </c>
    </row>
    <row r="272" spans="32:33">
      <c r="AF272">
        <v>43.41666666287589</v>
      </c>
      <c r="AG272">
        <v>4.383223845381988E-2</v>
      </c>
    </row>
    <row r="273" spans="32:33">
      <c r="AF273">
        <v>43.583333329528003</v>
      </c>
      <c r="AG273">
        <v>4.2728337870163322E-2</v>
      </c>
    </row>
    <row r="274" spans="32:33">
      <c r="AF274">
        <v>43.749999996180122</v>
      </c>
      <c r="AG274">
        <v>4.1652742429696674E-2</v>
      </c>
    </row>
    <row r="275" spans="32:33">
      <c r="AF275">
        <v>43.916666662832235</v>
      </c>
      <c r="AG275">
        <v>4.0605452132377436E-2</v>
      </c>
    </row>
    <row r="276" spans="32:33">
      <c r="AF276">
        <v>44.083333329484347</v>
      </c>
      <c r="AG276">
        <v>3.9586466978232107E-2</v>
      </c>
    </row>
    <row r="277" spans="32:33">
      <c r="AF277">
        <v>44.249999996136467</v>
      </c>
      <c r="AG277">
        <v>3.8595786967266163E-2</v>
      </c>
    </row>
    <row r="278" spans="32:33">
      <c r="AF278">
        <v>44.416666662788579</v>
      </c>
      <c r="AG278">
        <v>3.7633412099469077E-2</v>
      </c>
    </row>
    <row r="279" spans="32:33">
      <c r="AF279">
        <v>44.583333329440691</v>
      </c>
      <c r="AG279">
        <v>3.6699342374834992E-2</v>
      </c>
    </row>
    <row r="280" spans="32:33">
      <c r="AF280">
        <v>44.749999996092811</v>
      </c>
      <c r="AG280">
        <v>3.5793577793391075E-2</v>
      </c>
    </row>
    <row r="281" spans="32:33">
      <c r="AF281">
        <v>44.916666662744923</v>
      </c>
      <c r="AG281">
        <v>3.4916118355094804E-2</v>
      </c>
    </row>
    <row r="282" spans="32:33">
      <c r="AF282">
        <v>45.083333329397036</v>
      </c>
      <c r="AG282">
        <v>3.406696405997197E-2</v>
      </c>
    </row>
    <row r="283" spans="32:33">
      <c r="AF283">
        <v>45.249999996049155</v>
      </c>
      <c r="AG283">
        <v>3.3246114908028764E-2</v>
      </c>
    </row>
    <row r="284" spans="32:33">
      <c r="AF284">
        <v>45.416666662701267</v>
      </c>
      <c r="AG284">
        <v>3.2453570899254623E-2</v>
      </c>
    </row>
    <row r="285" spans="32:33">
      <c r="AF285">
        <v>45.58333332935338</v>
      </c>
      <c r="AG285">
        <v>3.1689332033653712E-2</v>
      </c>
    </row>
    <row r="286" spans="32:33">
      <c r="AF286">
        <v>45.749999996005499</v>
      </c>
      <c r="AG286">
        <v>3.0953398311211213E-2</v>
      </c>
    </row>
    <row r="287" spans="32:33">
      <c r="AF287">
        <v>45.916666662657612</v>
      </c>
      <c r="AG287">
        <v>3.0245769731959193E-2</v>
      </c>
    </row>
    <row r="288" spans="32:33">
      <c r="AF288">
        <v>46.083333329309724</v>
      </c>
      <c r="AG288">
        <v>2.9566446295858893E-2</v>
      </c>
    </row>
    <row r="289" spans="32:33">
      <c r="AF289">
        <v>46.249999995961844</v>
      </c>
      <c r="AG289">
        <v>2.8915428002927759E-2</v>
      </c>
    </row>
    <row r="290" spans="32:33">
      <c r="AF290">
        <v>46.416666662613956</v>
      </c>
      <c r="AG290">
        <v>2.8292714853187191E-2</v>
      </c>
    </row>
    <row r="291" spans="32:33">
      <c r="AF291">
        <v>46.583333329266068</v>
      </c>
      <c r="AG291">
        <v>2.7698306846598172E-2</v>
      </c>
    </row>
    <row r="292" spans="32:33">
      <c r="AF292">
        <v>46.749999995918188</v>
      </c>
      <c r="AG292">
        <v>2.7132203983189062E-2</v>
      </c>
    </row>
    <row r="293" spans="32:33">
      <c r="AF293">
        <v>46.9166666625703</v>
      </c>
      <c r="AG293">
        <v>2.6594406262949274E-2</v>
      </c>
    </row>
    <row r="294" spans="32:33">
      <c r="AF294">
        <v>47.083333329222413</v>
      </c>
      <c r="AG294">
        <v>2.608491368588221E-2</v>
      </c>
    </row>
    <row r="295" spans="32:33">
      <c r="AF295">
        <v>47.249999995874532</v>
      </c>
      <c r="AG295">
        <v>2.5603726251984468E-2</v>
      </c>
    </row>
    <row r="296" spans="32:33">
      <c r="AF296">
        <v>47.416666662526644</v>
      </c>
      <c r="AG296">
        <v>2.515084396124545E-2</v>
      </c>
    </row>
    <row r="297" spans="32:33">
      <c r="AF297">
        <v>47.583333329178757</v>
      </c>
      <c r="AG297">
        <v>2.4726266813689689E-2</v>
      </c>
    </row>
    <row r="298" spans="32:33">
      <c r="AF298">
        <v>47.749999995830876</v>
      </c>
      <c r="AG298">
        <v>2.4329994809303312E-2</v>
      </c>
    </row>
    <row r="299" spans="32:33">
      <c r="AF299">
        <v>47.916666662482989</v>
      </c>
      <c r="AG299">
        <v>2.396202794808637E-2</v>
      </c>
    </row>
    <row r="300" spans="32:33">
      <c r="AF300">
        <v>48.083333329135101</v>
      </c>
      <c r="AG300">
        <v>2.3622366230041925E-2</v>
      </c>
    </row>
    <row r="301" spans="32:33">
      <c r="AF301">
        <v>48.249999995787221</v>
      </c>
      <c r="AG301">
        <v>2.3311009655166914E-2</v>
      </c>
    </row>
    <row r="302" spans="32:33">
      <c r="AF302">
        <v>48.416666662439333</v>
      </c>
      <c r="AG302">
        <v>2.3027958223461379E-2</v>
      </c>
    </row>
    <row r="303" spans="32:33">
      <c r="AF303">
        <v>48.583333329091445</v>
      </c>
      <c r="AG303">
        <v>2.2773211934917603E-2</v>
      </c>
    </row>
    <row r="304" spans="32:33">
      <c r="AF304">
        <v>48.749999995743565</v>
      </c>
      <c r="AG304">
        <v>2.2546770789564616E-2</v>
      </c>
    </row>
    <row r="305" spans="32:33">
      <c r="AF305">
        <v>48.916666662395677</v>
      </c>
      <c r="AG305">
        <v>2.2348634787359819E-2</v>
      </c>
    </row>
    <row r="306" spans="32:33">
      <c r="AF306">
        <v>49.08333332904779</v>
      </c>
      <c r="AG306">
        <v>2.2178803928348697E-2</v>
      </c>
    </row>
    <row r="307" spans="32:33">
      <c r="AF307">
        <v>49.249999995699909</v>
      </c>
      <c r="AG307">
        <v>2.2037278212485762E-2</v>
      </c>
    </row>
    <row r="308" spans="32:33">
      <c r="AF308">
        <v>49.416666662352021</v>
      </c>
      <c r="AG308">
        <v>2.1924057639803003E-2</v>
      </c>
    </row>
    <row r="309" spans="32:33">
      <c r="AF309">
        <v>49.583333329004134</v>
      </c>
      <c r="AG309">
        <v>2.183914221029257E-2</v>
      </c>
    </row>
    <row r="310" spans="32:33">
      <c r="AF310">
        <v>49.749999995656253</v>
      </c>
      <c r="AG310">
        <v>2.1782531923962321E-2</v>
      </c>
    </row>
    <row r="311" spans="32:33">
      <c r="AF311">
        <v>49.916666662308366</v>
      </c>
      <c r="AG311">
        <v>2.1754226780780279E-2</v>
      </c>
    </row>
  </sheetData>
  <phoneticPr fontId="0" type="noConversion"/>
  <pageMargins left="0.78740157499999996" right="0.78740157499999996" top="0.984251969" bottom="0.984251969" header="0.49212598499999999" footer="0.49212598499999999"/>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72" r:id="rId4" name="Check Box 52">
              <controlPr defaultSize="0" autoFill="0" autoLine="0" autoPict="0" macro="[0]!PlotSimula0">
                <anchor moveWithCells="1">
                  <from>
                    <xdr:col>0</xdr:col>
                    <xdr:colOff>228600</xdr:colOff>
                    <xdr:row>2</xdr:row>
                    <xdr:rowOff>0</xdr:rowOff>
                  </from>
                  <to>
                    <xdr:col>1</xdr:col>
                    <xdr:colOff>323850</xdr:colOff>
                    <xdr:row>2</xdr:row>
                    <xdr:rowOff>219075</xdr:rowOff>
                  </to>
                </anchor>
              </controlPr>
            </control>
          </mc:Choice>
        </mc:AlternateContent>
        <mc:AlternateContent xmlns:mc="http://schemas.openxmlformats.org/markup-compatibility/2006">
          <mc:Choice Requires="x14">
            <control shapeId="5173" r:id="rId5" name="Check Box 53">
              <controlPr defaultSize="0" autoFill="0" autoLine="0" autoPict="0" macro="[0]!PlotSimula1">
                <anchor moveWithCells="1">
                  <from>
                    <xdr:col>1</xdr:col>
                    <xdr:colOff>447675</xdr:colOff>
                    <xdr:row>2</xdr:row>
                    <xdr:rowOff>0</xdr:rowOff>
                  </from>
                  <to>
                    <xdr:col>2</xdr:col>
                    <xdr:colOff>28575</xdr:colOff>
                    <xdr:row>2</xdr:row>
                    <xdr:rowOff>219075</xdr:rowOff>
                  </to>
                </anchor>
              </controlPr>
            </control>
          </mc:Choice>
        </mc:AlternateContent>
        <mc:AlternateContent xmlns:mc="http://schemas.openxmlformats.org/markup-compatibility/2006">
          <mc:Choice Requires="x14">
            <control shapeId="5174" r:id="rId6" name="Check Box 54">
              <controlPr defaultSize="0" autoFill="0" autoLine="0" autoPict="0" macro="[0]!PlotSimulaDisp0">
                <anchor moveWithCells="1">
                  <from>
                    <xdr:col>3</xdr:col>
                    <xdr:colOff>190500</xdr:colOff>
                    <xdr:row>2</xdr:row>
                    <xdr:rowOff>0</xdr:rowOff>
                  </from>
                  <to>
                    <xdr:col>5</xdr:col>
                    <xdr:colOff>171450</xdr:colOff>
                    <xdr:row>2</xdr:row>
                    <xdr:rowOff>219075</xdr:rowOff>
                  </to>
                </anchor>
              </controlPr>
            </control>
          </mc:Choice>
        </mc:AlternateContent>
        <mc:AlternateContent xmlns:mc="http://schemas.openxmlformats.org/markup-compatibility/2006">
          <mc:Choice Requires="x14">
            <control shapeId="5175" r:id="rId7" name="Check Box 55">
              <controlPr defaultSize="0" autoFill="0" autoLine="0" autoPict="0" macro="[0]!PlotSimulaDisp1">
                <anchor moveWithCells="1">
                  <from>
                    <xdr:col>5</xdr:col>
                    <xdr:colOff>266700</xdr:colOff>
                    <xdr:row>2</xdr:row>
                    <xdr:rowOff>9525</xdr:rowOff>
                  </from>
                  <to>
                    <xdr:col>5</xdr:col>
                    <xdr:colOff>876300</xdr:colOff>
                    <xdr:row>3</xdr:row>
                    <xdr:rowOff>0</xdr:rowOff>
                  </to>
                </anchor>
              </controlPr>
            </control>
          </mc:Choice>
        </mc:AlternateContent>
        <mc:AlternateContent xmlns:mc="http://schemas.openxmlformats.org/markup-compatibility/2006">
          <mc:Choice Requires="x14">
            <control shapeId="5176" r:id="rId8" name="Check Box 56">
              <controlPr defaultSize="0" autoFill="0" autoLine="0" autoPict="0" macro="[0]!PlotAnaliseIn0">
                <anchor moveWithCells="1">
                  <from>
                    <xdr:col>0</xdr:col>
                    <xdr:colOff>228600</xdr:colOff>
                    <xdr:row>3</xdr:row>
                    <xdr:rowOff>0</xdr:rowOff>
                  </from>
                  <to>
                    <xdr:col>1</xdr:col>
                    <xdr:colOff>742950</xdr:colOff>
                    <xdr:row>3</xdr:row>
                    <xdr:rowOff>219075</xdr:rowOff>
                  </to>
                </anchor>
              </controlPr>
            </control>
          </mc:Choice>
        </mc:AlternateContent>
        <mc:AlternateContent xmlns:mc="http://schemas.openxmlformats.org/markup-compatibility/2006">
          <mc:Choice Requires="x14">
            <control shapeId="5177" r:id="rId9" name="Check Box 57">
              <controlPr defaultSize="0" autoFill="0" autoLine="0" autoPict="0" macro="[0]!PlotAnalise0">
                <anchor moveWithCells="1">
                  <from>
                    <xdr:col>0</xdr:col>
                    <xdr:colOff>228600</xdr:colOff>
                    <xdr:row>4</xdr:row>
                    <xdr:rowOff>0</xdr:rowOff>
                  </from>
                  <to>
                    <xdr:col>1</xdr:col>
                    <xdr:colOff>742950</xdr:colOff>
                    <xdr:row>4</xdr:row>
                    <xdr:rowOff>219075</xdr:rowOff>
                  </to>
                </anchor>
              </controlPr>
            </control>
          </mc:Choice>
        </mc:AlternateContent>
        <mc:AlternateContent xmlns:mc="http://schemas.openxmlformats.org/markup-compatibility/2006">
          <mc:Choice Requires="x14">
            <control shapeId="5178" r:id="rId10" name="Check Box 58">
              <controlPr defaultSize="0" autoFill="0" autoLine="0" autoPict="0" macro="[0]!PlotAnaliseIn1">
                <anchor moveWithCells="1">
                  <from>
                    <xdr:col>1</xdr:col>
                    <xdr:colOff>447675</xdr:colOff>
                    <xdr:row>3</xdr:row>
                    <xdr:rowOff>0</xdr:rowOff>
                  </from>
                  <to>
                    <xdr:col>2</xdr:col>
                    <xdr:colOff>76200</xdr:colOff>
                    <xdr:row>3</xdr:row>
                    <xdr:rowOff>219075</xdr:rowOff>
                  </to>
                </anchor>
              </controlPr>
            </control>
          </mc:Choice>
        </mc:AlternateContent>
        <mc:AlternateContent xmlns:mc="http://schemas.openxmlformats.org/markup-compatibility/2006">
          <mc:Choice Requires="x14">
            <control shapeId="5179" r:id="rId11" name="Check Box 59">
              <controlPr defaultSize="0" autoFill="0" autoLine="0" autoPict="0" macro="[0]!PlotAnaliseInAlis0">
                <anchor moveWithCells="1">
                  <from>
                    <xdr:col>3</xdr:col>
                    <xdr:colOff>190500</xdr:colOff>
                    <xdr:row>3</xdr:row>
                    <xdr:rowOff>0</xdr:rowOff>
                  </from>
                  <to>
                    <xdr:col>5</xdr:col>
                    <xdr:colOff>238125</xdr:colOff>
                    <xdr:row>3</xdr:row>
                    <xdr:rowOff>219075</xdr:rowOff>
                  </to>
                </anchor>
              </controlPr>
            </control>
          </mc:Choice>
        </mc:AlternateContent>
        <mc:AlternateContent xmlns:mc="http://schemas.openxmlformats.org/markup-compatibility/2006">
          <mc:Choice Requires="x14">
            <control shapeId="5180" r:id="rId12" name="Check Box 60">
              <controlPr defaultSize="0" autoFill="0" autoLine="0" autoPict="0" macro="[0]!PlotAnaliseInAlis1">
                <anchor moveWithCells="1">
                  <from>
                    <xdr:col>5</xdr:col>
                    <xdr:colOff>266700</xdr:colOff>
                    <xdr:row>3</xdr:row>
                    <xdr:rowOff>9525</xdr:rowOff>
                  </from>
                  <to>
                    <xdr:col>5</xdr:col>
                    <xdr:colOff>885825</xdr:colOff>
                    <xdr:row>4</xdr:row>
                    <xdr:rowOff>0</xdr:rowOff>
                  </to>
                </anchor>
              </controlPr>
            </control>
          </mc:Choice>
        </mc:AlternateContent>
        <mc:AlternateContent xmlns:mc="http://schemas.openxmlformats.org/markup-compatibility/2006">
          <mc:Choice Requires="x14">
            <control shapeId="5181" r:id="rId13" name="Check Box 61">
              <controlPr defaultSize="0" autoFill="0" autoLine="0" autoPict="0" macro="[0]!PlotAnalise1">
                <anchor moveWithCells="1">
                  <from>
                    <xdr:col>1</xdr:col>
                    <xdr:colOff>447675</xdr:colOff>
                    <xdr:row>4</xdr:row>
                    <xdr:rowOff>0</xdr:rowOff>
                  </from>
                  <to>
                    <xdr:col>2</xdr:col>
                    <xdr:colOff>57150</xdr:colOff>
                    <xdr:row>4</xdr:row>
                    <xdr:rowOff>219075</xdr:rowOff>
                  </to>
                </anchor>
              </controlPr>
            </control>
          </mc:Choice>
        </mc:AlternateContent>
        <mc:AlternateContent xmlns:mc="http://schemas.openxmlformats.org/markup-compatibility/2006">
          <mc:Choice Requires="x14">
            <control shapeId="5182" r:id="rId14" name="Check Box 62">
              <controlPr defaultSize="0" autoFill="0" autoLine="0" autoPict="0" macro="[0]!PlotAnaliseAjust0">
                <anchor moveWithCells="1">
                  <from>
                    <xdr:col>3</xdr:col>
                    <xdr:colOff>190500</xdr:colOff>
                    <xdr:row>4</xdr:row>
                    <xdr:rowOff>0</xdr:rowOff>
                  </from>
                  <to>
                    <xdr:col>5</xdr:col>
                    <xdr:colOff>200025</xdr:colOff>
                    <xdr:row>4</xdr:row>
                    <xdr:rowOff>219075</xdr:rowOff>
                  </to>
                </anchor>
              </controlPr>
            </control>
          </mc:Choice>
        </mc:AlternateContent>
        <mc:AlternateContent xmlns:mc="http://schemas.openxmlformats.org/markup-compatibility/2006">
          <mc:Choice Requires="x14">
            <control shapeId="5183" r:id="rId15" name="Check Box 63">
              <controlPr defaultSize="0" autoFill="0" autoLine="0" autoPict="0" macro="[0]!PlotAnaliseAjust1">
                <anchor moveWithCells="1">
                  <from>
                    <xdr:col>5</xdr:col>
                    <xdr:colOff>266700</xdr:colOff>
                    <xdr:row>4</xdr:row>
                    <xdr:rowOff>0</xdr:rowOff>
                  </from>
                  <to>
                    <xdr:col>5</xdr:col>
                    <xdr:colOff>885825</xdr:colOff>
                    <xdr:row>4</xdr:row>
                    <xdr:rowOff>219075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2"/>
  <dimension ref="A1:AH302"/>
  <sheetViews>
    <sheetView zoomScale="85" zoomScaleNormal="85" workbookViewId="0"/>
  </sheetViews>
  <sheetFormatPr defaultRowHeight="12.75"/>
  <cols>
    <col min="1" max="1" width="3.5703125" customWidth="1"/>
    <col min="2" max="2" width="6" customWidth="1"/>
    <col min="3" max="3" width="30.5703125" customWidth="1"/>
    <col min="4" max="5" width="12.7109375" customWidth="1"/>
    <col min="6" max="6" width="12.7109375" style="1" customWidth="1"/>
    <col min="7" max="12" width="12.7109375" customWidth="1"/>
    <col min="13" max="13" width="16.5703125" customWidth="1"/>
    <col min="14" max="14" width="10.7109375" customWidth="1"/>
    <col min="26" max="26" width="12.7109375" customWidth="1"/>
  </cols>
  <sheetData>
    <row r="1" spans="1:34" ht="24" customHeight="1">
      <c r="A1" s="87"/>
      <c r="B1" s="87" t="s">
        <v>547</v>
      </c>
      <c r="C1" s="335" t="s">
        <v>22</v>
      </c>
      <c r="D1" s="335"/>
      <c r="E1" s="88"/>
      <c r="F1" s="916"/>
      <c r="G1" s="89"/>
      <c r="H1" s="88"/>
      <c r="I1" s="88"/>
      <c r="J1" s="88"/>
      <c r="K1" s="88"/>
      <c r="L1" s="411"/>
      <c r="M1" s="88"/>
      <c r="N1" s="88"/>
      <c r="O1" s="88"/>
      <c r="P1" s="88"/>
      <c r="Q1" s="88"/>
      <c r="R1" s="88"/>
      <c r="S1" s="88"/>
      <c r="T1" s="88"/>
      <c r="U1" s="88"/>
      <c r="V1" s="88"/>
      <c r="W1" s="88"/>
      <c r="X1" s="88"/>
      <c r="Y1" s="88"/>
      <c r="Z1" s="88"/>
      <c r="AA1" s="24"/>
      <c r="AB1" s="24"/>
      <c r="AC1" s="24"/>
      <c r="AD1" s="24"/>
      <c r="AE1" s="24"/>
      <c r="AF1" s="24"/>
      <c r="AG1" s="24"/>
      <c r="AH1" s="24"/>
    </row>
    <row r="2" spans="1:34" s="345" customFormat="1" ht="20.25" customHeight="1">
      <c r="A2" s="346"/>
      <c r="B2" s="533" t="s">
        <v>901</v>
      </c>
      <c r="C2" s="347"/>
      <c r="D2" s="347"/>
      <c r="E2" s="347"/>
      <c r="F2" s="347"/>
      <c r="G2" s="347"/>
      <c r="H2" s="347"/>
      <c r="I2" s="347"/>
      <c r="J2" s="347"/>
      <c r="K2" s="347"/>
      <c r="L2" s="347"/>
      <c r="M2" s="347"/>
      <c r="N2" s="347"/>
      <c r="O2" s="347"/>
      <c r="P2" s="347"/>
      <c r="Q2" s="347"/>
      <c r="R2" s="347"/>
      <c r="S2" s="347"/>
      <c r="T2" s="347"/>
      <c r="U2" s="347"/>
      <c r="V2" s="347"/>
      <c r="W2" s="347"/>
      <c r="X2" s="347"/>
      <c r="Y2" s="347"/>
      <c r="Z2" s="347"/>
      <c r="AA2" s="344"/>
      <c r="AB2" s="344"/>
      <c r="AC2" s="344"/>
      <c r="AD2" s="344"/>
      <c r="AE2" s="344"/>
      <c r="AF2" s="344"/>
      <c r="AG2" s="344"/>
      <c r="AH2" s="344"/>
    </row>
    <row r="3" spans="1:34" s="345" customFormat="1" ht="18" customHeight="1">
      <c r="A3" s="347"/>
      <c r="B3" s="352" t="s">
        <v>938</v>
      </c>
      <c r="C3" s="347"/>
      <c r="D3" s="347"/>
      <c r="E3" s="347"/>
      <c r="F3" s="347"/>
      <c r="G3" s="347"/>
      <c r="H3" s="347"/>
      <c r="I3" s="347"/>
      <c r="J3" s="347"/>
      <c r="K3" s="347"/>
      <c r="L3" s="347"/>
      <c r="M3" s="347"/>
      <c r="N3" s="347"/>
      <c r="O3" s="347"/>
      <c r="P3" s="347"/>
      <c r="Q3" s="347"/>
      <c r="R3" s="347"/>
      <c r="S3" s="347"/>
      <c r="T3" s="347"/>
      <c r="U3" s="347"/>
      <c r="V3" s="347"/>
      <c r="W3" s="347"/>
      <c r="X3" s="347"/>
      <c r="Y3" s="347"/>
      <c r="Z3" s="347"/>
      <c r="AA3" s="344"/>
      <c r="AB3" s="344"/>
      <c r="AC3" s="344"/>
      <c r="AD3" s="344"/>
      <c r="AE3" s="344"/>
      <c r="AF3" s="344"/>
      <c r="AG3" s="344"/>
      <c r="AH3" s="344"/>
    </row>
    <row r="4" spans="1:34" s="345" customFormat="1" ht="16.5" customHeight="1">
      <c r="A4" s="347"/>
      <c r="B4" s="685" t="s">
        <v>939</v>
      </c>
      <c r="C4" s="347"/>
      <c r="D4" s="347"/>
      <c r="E4" s="347"/>
      <c r="F4" s="347"/>
      <c r="G4" s="347"/>
      <c r="H4" s="347"/>
      <c r="I4" s="347"/>
      <c r="J4" s="347"/>
      <c r="K4" s="347"/>
      <c r="L4" s="347"/>
      <c r="M4" s="347"/>
      <c r="N4" s="347"/>
      <c r="O4" s="347"/>
      <c r="P4" s="347"/>
      <c r="Q4" s="347"/>
      <c r="R4" s="347"/>
      <c r="S4" s="347"/>
      <c r="T4" s="347"/>
      <c r="U4" s="347"/>
      <c r="V4" s="347"/>
      <c r="W4" s="347"/>
      <c r="X4" s="347"/>
      <c r="Y4" s="347"/>
      <c r="Z4" s="347"/>
      <c r="AA4" s="344"/>
      <c r="AB4" s="344"/>
      <c r="AC4" s="344"/>
      <c r="AD4" s="344"/>
      <c r="AE4" s="344"/>
      <c r="AF4" s="344"/>
      <c r="AG4" s="344"/>
      <c r="AH4" s="344"/>
    </row>
    <row r="5" spans="1:34" s="15" customFormat="1" ht="18.75" customHeight="1">
      <c r="A5" s="339"/>
      <c r="B5" s="340" t="s">
        <v>688</v>
      </c>
      <c r="C5" s="339"/>
      <c r="D5" s="339"/>
      <c r="E5" s="339"/>
      <c r="F5" s="337"/>
      <c r="G5" s="339"/>
      <c r="H5" s="339"/>
      <c r="I5" s="339"/>
      <c r="J5" s="339"/>
      <c r="K5" s="339"/>
      <c r="L5" s="339"/>
      <c r="M5" s="339"/>
      <c r="N5" s="339"/>
      <c r="O5" s="339"/>
      <c r="P5" s="339"/>
      <c r="Q5" s="339"/>
      <c r="R5" s="339"/>
      <c r="S5" s="337"/>
      <c r="T5" s="337"/>
      <c r="U5" s="337"/>
      <c r="V5" s="337"/>
      <c r="W5" s="337"/>
      <c r="X5" s="337"/>
      <c r="Y5" s="337"/>
      <c r="Z5" s="337"/>
      <c r="AA5" s="338"/>
      <c r="AB5" s="338"/>
      <c r="AC5" s="338"/>
      <c r="AD5" s="338"/>
      <c r="AE5" s="338"/>
      <c r="AF5" s="338"/>
      <c r="AG5" s="338"/>
      <c r="AH5" s="338"/>
    </row>
    <row r="6" spans="1:34" ht="15.95" customHeight="1">
      <c r="A6" s="348"/>
      <c r="B6" s="686" t="s">
        <v>1142</v>
      </c>
      <c r="C6" s="348"/>
      <c r="D6" s="348"/>
      <c r="E6" s="348"/>
      <c r="F6" s="348"/>
      <c r="G6" s="348"/>
      <c r="H6" s="348"/>
      <c r="I6" s="348" t="s">
        <v>940</v>
      </c>
      <c r="J6" s="348"/>
      <c r="K6" s="348"/>
      <c r="L6" s="348"/>
      <c r="M6" s="686" t="s">
        <v>819</v>
      </c>
      <c r="N6" s="348"/>
      <c r="O6" s="348"/>
      <c r="P6" s="348"/>
      <c r="Q6" s="348"/>
      <c r="R6" s="348"/>
      <c r="S6" s="686" t="s">
        <v>821</v>
      </c>
      <c r="T6" s="16"/>
      <c r="U6" s="16"/>
      <c r="V6" s="16"/>
      <c r="W6" s="16"/>
      <c r="X6" s="16"/>
      <c r="Y6" s="16"/>
      <c r="Z6" s="17"/>
      <c r="AA6" s="24"/>
      <c r="AB6" s="24"/>
      <c r="AC6" s="24"/>
      <c r="AD6" s="24"/>
      <c r="AE6" s="24"/>
      <c r="AF6" s="24"/>
      <c r="AG6" s="24"/>
      <c r="AH6" s="24"/>
    </row>
    <row r="7" spans="1:34" ht="15.95" customHeight="1">
      <c r="A7" s="348"/>
      <c r="B7" s="351" t="s">
        <v>1091</v>
      </c>
      <c r="C7" s="351"/>
      <c r="D7" s="351"/>
      <c r="E7" s="351"/>
      <c r="F7" s="348"/>
      <c r="G7" s="348"/>
      <c r="H7" s="684" t="s">
        <v>1113</v>
      </c>
      <c r="I7" s="348"/>
      <c r="J7" s="348"/>
      <c r="K7" s="348"/>
      <c r="L7" s="348"/>
      <c r="M7" s="686" t="s">
        <v>820</v>
      </c>
      <c r="N7" s="348"/>
      <c r="O7" s="348"/>
      <c r="P7" s="348"/>
      <c r="Q7" s="348"/>
      <c r="R7" s="348"/>
      <c r="S7" s="17" t="s">
        <v>822</v>
      </c>
      <c r="T7" s="16"/>
      <c r="U7" s="16"/>
      <c r="V7" s="16"/>
      <c r="W7" s="16"/>
      <c r="X7" s="16"/>
      <c r="Y7" s="16"/>
      <c r="Z7" s="16"/>
      <c r="AA7" s="24"/>
      <c r="AB7" s="24"/>
      <c r="AC7" s="24"/>
      <c r="AD7" s="24"/>
      <c r="AE7" s="24"/>
      <c r="AF7" s="24"/>
      <c r="AG7" s="24"/>
      <c r="AH7" s="24"/>
    </row>
    <row r="8" spans="1:34" ht="15.95" customHeight="1">
      <c r="A8" s="348"/>
      <c r="B8" s="351" t="s">
        <v>23</v>
      </c>
      <c r="C8" s="348"/>
      <c r="D8" s="348"/>
      <c r="E8" s="348"/>
      <c r="F8" s="16"/>
      <c r="G8" s="348"/>
      <c r="H8" s="351" t="s">
        <v>366</v>
      </c>
      <c r="I8" s="348"/>
      <c r="J8" s="348"/>
      <c r="K8" s="348"/>
      <c r="L8" s="348"/>
      <c r="M8" s="348" t="s">
        <v>550</v>
      </c>
      <c r="N8" s="348"/>
      <c r="O8" s="348"/>
      <c r="P8" s="348"/>
      <c r="Q8" s="348"/>
      <c r="R8" s="348"/>
      <c r="S8" s="686" t="s">
        <v>551</v>
      </c>
      <c r="T8" s="16"/>
      <c r="U8" s="16"/>
      <c r="V8" s="16"/>
      <c r="W8" s="16"/>
      <c r="X8" s="16"/>
      <c r="Y8" s="16"/>
      <c r="Z8" s="16"/>
      <c r="AA8" s="24"/>
      <c r="AB8" s="24"/>
      <c r="AC8" s="24"/>
      <c r="AD8" s="24"/>
      <c r="AE8" s="24"/>
      <c r="AF8" s="24"/>
      <c r="AG8" s="24"/>
      <c r="AH8" s="24"/>
    </row>
    <row r="9" spans="1:34" ht="15.95" customHeight="1">
      <c r="A9" s="348"/>
      <c r="B9" s="684" t="s">
        <v>942</v>
      </c>
      <c r="C9" s="348"/>
      <c r="D9" s="348"/>
      <c r="E9" s="348"/>
      <c r="F9" s="16"/>
      <c r="G9" s="673"/>
      <c r="H9" s="351" t="s">
        <v>818</v>
      </c>
      <c r="I9" s="348"/>
      <c r="J9" s="348"/>
      <c r="K9" s="348"/>
      <c r="L9" s="348"/>
      <c r="M9" s="348" t="s">
        <v>24</v>
      </c>
      <c r="N9" s="348"/>
      <c r="O9" s="348"/>
      <c r="P9" s="348"/>
      <c r="Q9" s="348"/>
      <c r="R9" s="348"/>
      <c r="S9" s="686" t="s">
        <v>548</v>
      </c>
      <c r="T9" s="16"/>
      <c r="U9" s="16"/>
      <c r="V9" s="16"/>
      <c r="W9" s="16"/>
      <c r="X9" s="16"/>
      <c r="Y9" s="16"/>
      <c r="Z9" s="16"/>
      <c r="AA9" s="24"/>
      <c r="AB9" s="24"/>
      <c r="AC9" s="24"/>
      <c r="AD9" s="24"/>
      <c r="AE9" s="24"/>
      <c r="AF9" s="24"/>
      <c r="AG9" s="24"/>
      <c r="AH9" s="24"/>
    </row>
    <row r="10" spans="1:34" ht="15.95" customHeight="1">
      <c r="A10" s="348"/>
      <c r="B10" s="349" t="s">
        <v>124</v>
      </c>
      <c r="C10" s="348"/>
      <c r="D10" s="348"/>
      <c r="E10" s="348"/>
      <c r="F10" s="16"/>
      <c r="G10" s="348"/>
      <c r="H10" s="348"/>
      <c r="I10" s="348"/>
      <c r="J10" s="348"/>
      <c r="K10" s="348"/>
      <c r="L10" s="351"/>
      <c r="M10" s="351" t="s">
        <v>1092</v>
      </c>
      <c r="N10" s="351"/>
      <c r="O10" s="351"/>
      <c r="P10" s="351"/>
      <c r="Q10" s="351"/>
      <c r="R10" s="351"/>
      <c r="S10" s="686" t="s">
        <v>549</v>
      </c>
      <c r="T10" s="16"/>
      <c r="U10" s="16"/>
      <c r="V10" s="16"/>
      <c r="W10" s="16"/>
      <c r="X10" s="16"/>
      <c r="Y10" s="16"/>
      <c r="Z10" s="16"/>
      <c r="AA10" s="24"/>
      <c r="AB10" s="24"/>
      <c r="AC10" s="24"/>
      <c r="AD10" s="24"/>
      <c r="AE10" s="24"/>
      <c r="AF10" s="24"/>
      <c r="AG10" s="24"/>
      <c r="AH10" s="24"/>
    </row>
    <row r="11" spans="1:34" ht="15.95" customHeight="1">
      <c r="A11" s="348"/>
      <c r="B11" s="349" t="s">
        <v>129</v>
      </c>
      <c r="C11" s="348"/>
      <c r="D11" s="348"/>
      <c r="E11" s="348"/>
      <c r="F11" s="16"/>
      <c r="G11" s="348"/>
      <c r="H11" s="348"/>
      <c r="I11" s="348"/>
      <c r="J11" s="348"/>
      <c r="K11" s="348"/>
      <c r="L11" s="351"/>
      <c r="M11" s="684" t="s">
        <v>980</v>
      </c>
      <c r="N11" s="351"/>
      <c r="O11" s="351"/>
      <c r="P11" s="351"/>
      <c r="Q11" s="351"/>
      <c r="R11" s="351"/>
      <c r="S11" s="348" t="s">
        <v>979</v>
      </c>
      <c r="T11" s="348"/>
      <c r="U11" s="348"/>
      <c r="V11" s="348"/>
      <c r="W11" s="348"/>
      <c r="X11" s="348"/>
      <c r="Y11" s="348"/>
      <c r="Z11" s="348"/>
      <c r="AA11" s="24"/>
      <c r="AB11" s="24"/>
      <c r="AC11" s="24"/>
      <c r="AD11" s="24"/>
      <c r="AE11" s="24"/>
      <c r="AF11" s="24"/>
      <c r="AG11" s="24"/>
      <c r="AH11" s="24"/>
    </row>
    <row r="12" spans="1:34" ht="15.95" customHeight="1">
      <c r="A12" s="348"/>
      <c r="B12" s="349" t="s">
        <v>130</v>
      </c>
      <c r="C12" s="351"/>
      <c r="D12" s="351"/>
      <c r="E12" s="351"/>
      <c r="F12" s="673"/>
      <c r="G12" s="351"/>
      <c r="H12" s="351"/>
      <c r="I12" s="351"/>
      <c r="J12" s="351"/>
      <c r="K12" s="351"/>
      <c r="L12" s="348"/>
      <c r="M12" s="686" t="s">
        <v>1109</v>
      </c>
      <c r="N12" s="348"/>
      <c r="O12" s="348"/>
      <c r="P12" s="348" t="s">
        <v>1110</v>
      </c>
      <c r="Q12" s="348"/>
      <c r="R12" s="348"/>
      <c r="S12" s="348"/>
      <c r="T12" s="348"/>
      <c r="U12" s="348"/>
      <c r="V12" s="348"/>
      <c r="W12" s="348"/>
      <c r="X12" s="348"/>
      <c r="Y12" s="348"/>
      <c r="Z12" s="348"/>
      <c r="AA12" s="24"/>
      <c r="AB12" s="24"/>
      <c r="AC12" s="24"/>
      <c r="AD12" s="24"/>
      <c r="AE12" s="24"/>
      <c r="AF12" s="24"/>
      <c r="AG12" s="24"/>
      <c r="AH12" s="24"/>
    </row>
    <row r="13" spans="1:34" ht="15.95" customHeight="1">
      <c r="A13" s="348"/>
      <c r="B13" s="349" t="s">
        <v>131</v>
      </c>
      <c r="C13" s="351"/>
      <c r="D13" s="351"/>
      <c r="E13" s="351"/>
      <c r="F13" s="673"/>
      <c r="G13" s="351"/>
      <c r="H13" s="351"/>
      <c r="I13" s="351"/>
      <c r="J13" s="351"/>
      <c r="K13" s="351"/>
      <c r="L13" s="348"/>
      <c r="M13" s="686" t="s">
        <v>1111</v>
      </c>
      <c r="N13" s="348"/>
      <c r="O13" s="348"/>
      <c r="P13" s="348" t="s">
        <v>1112</v>
      </c>
      <c r="Q13" s="348"/>
      <c r="R13" s="348"/>
      <c r="S13" s="348"/>
      <c r="T13" s="348"/>
      <c r="U13" s="348"/>
      <c r="V13" s="348"/>
      <c r="W13" s="348"/>
      <c r="X13" s="348"/>
      <c r="Y13" s="348"/>
      <c r="Z13" s="348"/>
      <c r="AA13" s="24"/>
      <c r="AB13" s="24"/>
      <c r="AC13" s="24"/>
      <c r="AD13" s="24"/>
      <c r="AE13" s="24"/>
      <c r="AF13" s="24"/>
      <c r="AG13" s="24"/>
      <c r="AH13" s="24"/>
    </row>
    <row r="14" spans="1:34" ht="17.25" customHeight="1">
      <c r="A14" s="348"/>
      <c r="B14" s="350" t="s">
        <v>132</v>
      </c>
      <c r="C14" s="351"/>
      <c r="D14" s="351"/>
      <c r="E14" s="351"/>
      <c r="F14" s="673"/>
      <c r="G14" s="351"/>
      <c r="H14" s="351"/>
      <c r="I14" s="351"/>
      <c r="J14" s="351"/>
      <c r="K14" s="351"/>
      <c r="L14" s="348"/>
      <c r="M14" s="686" t="s">
        <v>1148</v>
      </c>
      <c r="N14" s="348"/>
      <c r="O14" s="348"/>
      <c r="P14" s="348"/>
      <c r="Q14" s="348"/>
      <c r="R14" s="348"/>
      <c r="S14" s="348" t="s">
        <v>1149</v>
      </c>
      <c r="T14" s="348"/>
      <c r="U14" s="348"/>
      <c r="V14" s="348"/>
      <c r="W14" s="348"/>
      <c r="X14" s="348"/>
      <c r="Y14" s="348"/>
      <c r="Z14" s="348"/>
      <c r="AA14" s="24"/>
      <c r="AB14" s="24"/>
      <c r="AC14" s="24"/>
      <c r="AD14" s="24"/>
      <c r="AE14" s="24"/>
      <c r="AF14" s="24"/>
      <c r="AG14" s="24"/>
      <c r="AH14" s="24"/>
    </row>
    <row r="15" spans="1:34" ht="15.95" customHeight="1">
      <c r="A15" s="348"/>
      <c r="B15" s="351" t="s">
        <v>133</v>
      </c>
      <c r="C15" s="351"/>
      <c r="D15" s="351"/>
      <c r="E15" s="351"/>
      <c r="F15" s="673"/>
      <c r="G15" s="351"/>
      <c r="H15" s="351"/>
      <c r="I15" s="351"/>
      <c r="J15" s="351"/>
      <c r="K15" s="351"/>
      <c r="L15" s="351"/>
      <c r="M15" s="684" t="s">
        <v>823</v>
      </c>
      <c r="N15" s="351"/>
      <c r="O15" s="351"/>
      <c r="P15" s="348"/>
      <c r="Q15" s="348"/>
      <c r="R15" s="348"/>
      <c r="S15" s="348"/>
      <c r="T15" s="348"/>
      <c r="U15" s="348"/>
      <c r="V15" s="348"/>
      <c r="W15" s="348"/>
      <c r="X15" s="348"/>
      <c r="Y15" s="348"/>
      <c r="Z15" s="348"/>
      <c r="AA15" s="24"/>
      <c r="AB15" s="24"/>
      <c r="AC15" s="24"/>
      <c r="AD15" s="24"/>
      <c r="AE15" s="24"/>
      <c r="AF15" s="24"/>
      <c r="AG15" s="24"/>
      <c r="AH15" s="24"/>
    </row>
    <row r="16" spans="1:34" ht="15.95" customHeight="1">
      <c r="A16" s="348"/>
      <c r="B16" s="684" t="s">
        <v>943</v>
      </c>
      <c r="C16" s="351"/>
      <c r="D16" s="351"/>
      <c r="E16" s="351"/>
      <c r="F16" s="673"/>
      <c r="G16" s="351"/>
      <c r="H16" s="684"/>
      <c r="I16" s="351"/>
      <c r="J16" s="351"/>
      <c r="K16" s="351"/>
      <c r="L16" s="351"/>
      <c r="M16" s="348" t="s">
        <v>581</v>
      </c>
      <c r="N16" s="348" t="s">
        <v>584</v>
      </c>
      <c r="O16" s="351"/>
      <c r="P16" s="1366" t="s">
        <v>1155</v>
      </c>
      <c r="Q16" s="348"/>
      <c r="R16" s="348"/>
      <c r="S16" s="348"/>
      <c r="T16" s="348"/>
      <c r="U16" s="348"/>
      <c r="V16" s="348"/>
      <c r="W16" s="348"/>
      <c r="X16" s="348"/>
      <c r="Y16" s="348"/>
      <c r="Z16" s="348"/>
      <c r="AA16" s="24"/>
      <c r="AB16" s="24"/>
      <c r="AC16" s="24"/>
      <c r="AD16" s="24"/>
      <c r="AE16" s="24"/>
      <c r="AF16" s="24"/>
      <c r="AG16" s="24"/>
      <c r="AH16" s="24"/>
    </row>
    <row r="17" spans="1:34" ht="17.25" customHeight="1">
      <c r="A17" s="348"/>
      <c r="B17" s="684" t="s">
        <v>944</v>
      </c>
      <c r="C17" s="351"/>
      <c r="D17" s="351"/>
      <c r="E17" s="351"/>
      <c r="F17" s="673"/>
      <c r="G17" s="351"/>
      <c r="H17" s="351"/>
      <c r="I17" s="929"/>
      <c r="J17" s="929" t="s">
        <v>941</v>
      </c>
      <c r="K17" s="351"/>
      <c r="L17" s="351"/>
      <c r="M17" s="348" t="s">
        <v>582</v>
      </c>
      <c r="N17" s="348" t="s">
        <v>585</v>
      </c>
      <c r="O17" s="351"/>
      <c r="P17" s="1367" t="s">
        <v>1154</v>
      </c>
      <c r="Q17" s="348"/>
      <c r="R17" s="348"/>
      <c r="S17" s="348"/>
      <c r="T17" s="348"/>
      <c r="U17" s="348"/>
      <c r="V17" s="929"/>
      <c r="W17" s="929"/>
      <c r="X17" s="348"/>
      <c r="Y17" s="348"/>
      <c r="Z17" s="348"/>
      <c r="AA17" s="24"/>
      <c r="AB17" s="24"/>
      <c r="AC17" s="24"/>
      <c r="AD17" s="24"/>
      <c r="AE17" s="24"/>
      <c r="AF17" s="24"/>
      <c r="AG17" s="24"/>
      <c r="AH17" s="24"/>
    </row>
    <row r="18" spans="1:34" ht="19.149999999999999" customHeight="1">
      <c r="A18" s="16"/>
      <c r="B18" s="351"/>
      <c r="C18" s="351"/>
      <c r="D18" s="351"/>
      <c r="E18" s="351"/>
      <c r="F18" s="673"/>
      <c r="G18" s="351"/>
      <c r="H18" s="351"/>
      <c r="I18" s="673"/>
      <c r="J18" s="673"/>
      <c r="K18" s="351"/>
      <c r="L18" s="351"/>
      <c r="M18" s="1334" t="s">
        <v>583</v>
      </c>
      <c r="N18" s="1334" t="s">
        <v>586</v>
      </c>
      <c r="O18" s="1335"/>
      <c r="P18" s="348"/>
      <c r="Q18" s="348"/>
      <c r="R18" s="348"/>
      <c r="S18" s="348"/>
      <c r="T18" s="348"/>
      <c r="U18" s="348"/>
      <c r="V18" s="348"/>
      <c r="W18" s="348"/>
      <c r="X18" s="348"/>
      <c r="Y18" s="348"/>
      <c r="Z18" s="348"/>
      <c r="AA18" s="24"/>
      <c r="AB18" s="24"/>
      <c r="AC18" s="24"/>
      <c r="AD18" s="24"/>
      <c r="AE18" s="24"/>
      <c r="AF18" s="24"/>
      <c r="AG18" s="24"/>
      <c r="AH18" s="24"/>
    </row>
    <row r="19" spans="1:34">
      <c r="A19" s="90"/>
      <c r="B19" s="1322"/>
      <c r="C19" s="1323" t="s">
        <v>1093</v>
      </c>
      <c r="D19" s="1324" t="s">
        <v>25</v>
      </c>
      <c r="E19" s="1325"/>
      <c r="F19" s="1325"/>
      <c r="G19" s="1325"/>
      <c r="H19" s="1326"/>
      <c r="I19" s="1325"/>
      <c r="J19" s="1325"/>
      <c r="K19" s="1325" t="s">
        <v>135</v>
      </c>
      <c r="L19" s="1325" t="s">
        <v>26</v>
      </c>
      <c r="M19" s="1327"/>
      <c r="N19" s="1327" t="s">
        <v>630</v>
      </c>
      <c r="O19" s="1327"/>
      <c r="P19" s="1328"/>
      <c r="Q19" s="957"/>
      <c r="R19" s="336"/>
      <c r="S19" s="218"/>
      <c r="T19" s="218"/>
      <c r="U19" s="218"/>
      <c r="V19" s="218"/>
      <c r="W19" s="218"/>
      <c r="X19" s="218"/>
      <c r="Y19" s="218"/>
      <c r="Z19" s="218"/>
      <c r="AA19" s="24"/>
      <c r="AB19" s="24"/>
      <c r="AC19" s="24"/>
      <c r="AD19" s="24"/>
      <c r="AE19" s="24"/>
      <c r="AF19" s="24"/>
      <c r="AG19" s="24"/>
      <c r="AH19" s="24"/>
    </row>
    <row r="20" spans="1:34" ht="15.75">
      <c r="A20" s="341"/>
      <c r="B20" s="1329"/>
      <c r="C20" s="1329"/>
      <c r="D20" s="1330" t="s">
        <v>27</v>
      </c>
      <c r="E20" s="1330" t="s">
        <v>136</v>
      </c>
      <c r="F20" s="1330" t="s">
        <v>137</v>
      </c>
      <c r="G20" s="1330" t="s">
        <v>138</v>
      </c>
      <c r="H20" s="1330" t="s">
        <v>139</v>
      </c>
      <c r="I20" s="1330" t="s">
        <v>140</v>
      </c>
      <c r="J20" s="1330" t="s">
        <v>141</v>
      </c>
      <c r="K20" s="1330" t="s">
        <v>142</v>
      </c>
      <c r="L20" s="1330" t="s">
        <v>28</v>
      </c>
      <c r="M20" s="1331" t="s">
        <v>552</v>
      </c>
      <c r="N20" s="1332" t="s">
        <v>143</v>
      </c>
      <c r="O20" s="1332"/>
      <c r="P20" s="1333"/>
      <c r="Q20" s="957"/>
      <c r="R20" s="218"/>
      <c r="S20" s="218"/>
      <c r="T20" s="218"/>
      <c r="U20" s="218"/>
      <c r="V20" s="218"/>
      <c r="W20" s="218"/>
      <c r="X20" s="218"/>
      <c r="Y20" s="218"/>
      <c r="Z20" s="218"/>
      <c r="AA20" s="24"/>
      <c r="AB20" s="24"/>
      <c r="AC20" s="24"/>
      <c r="AD20" s="24"/>
      <c r="AE20" s="24"/>
      <c r="AF20" s="24"/>
      <c r="AG20" s="24"/>
      <c r="AH20" s="24"/>
    </row>
    <row r="21" spans="1:34" ht="15" customHeight="1">
      <c r="A21" s="957"/>
      <c r="B21" s="957"/>
      <c r="C21" s="97" t="s">
        <v>29</v>
      </c>
      <c r="D21" s="95"/>
      <c r="E21" s="95"/>
      <c r="F21" s="96"/>
      <c r="G21" s="95"/>
      <c r="H21" s="95"/>
      <c r="I21" s="95"/>
      <c r="J21" s="95"/>
      <c r="K21" s="95"/>
      <c r="L21" s="95"/>
      <c r="M21" s="95"/>
      <c r="N21" s="95"/>
      <c r="O21" s="95"/>
      <c r="P21" s="7"/>
      <c r="Q21" s="957"/>
      <c r="R21" s="218"/>
      <c r="S21" s="218"/>
      <c r="T21" s="218"/>
      <c r="U21" s="218"/>
      <c r="V21" s="218"/>
      <c r="W21" s="218"/>
      <c r="X21" s="218"/>
      <c r="Y21" s="218"/>
      <c r="Z21" s="218"/>
      <c r="AA21" s="24"/>
      <c r="AB21" s="24"/>
      <c r="AC21" s="24"/>
      <c r="AD21" s="24"/>
      <c r="AE21" s="24"/>
      <c r="AF21" s="24"/>
      <c r="AG21" s="24"/>
      <c r="AH21" s="24"/>
    </row>
    <row r="22" spans="1:34" ht="12.95" customHeight="1">
      <c r="A22" s="957"/>
      <c r="B22" s="957">
        <v>1</v>
      </c>
      <c r="C22" s="975" t="s">
        <v>127</v>
      </c>
      <c r="D22" s="976">
        <v>-1</v>
      </c>
      <c r="E22" s="976">
        <v>4.7569999999999997</v>
      </c>
      <c r="F22" s="976"/>
      <c r="G22" s="976"/>
      <c r="H22" s="976"/>
      <c r="I22" s="976"/>
      <c r="J22" s="976"/>
      <c r="K22" s="976">
        <v>25</v>
      </c>
      <c r="L22" s="977">
        <v>0</v>
      </c>
      <c r="M22" s="978" t="s">
        <v>146</v>
      </c>
      <c r="N22" s="979">
        <v>60.052</v>
      </c>
      <c r="O22" s="980"/>
      <c r="P22" s="981"/>
      <c r="Q22" s="957"/>
      <c r="R22" s="218"/>
      <c r="S22" s="218"/>
      <c r="T22" s="218"/>
      <c r="U22" s="218"/>
      <c r="V22" s="218"/>
      <c r="W22" s="218"/>
      <c r="X22" s="218"/>
      <c r="Y22" s="218"/>
      <c r="Z22" s="218"/>
      <c r="AA22" s="24"/>
      <c r="AB22" s="24"/>
      <c r="AC22" s="24"/>
      <c r="AD22" s="24"/>
      <c r="AE22" s="24"/>
      <c r="AF22" s="24"/>
      <c r="AG22" s="24"/>
      <c r="AH22" s="24"/>
    </row>
    <row r="23" spans="1:34" ht="12.95" customHeight="1">
      <c r="A23" s="957"/>
      <c r="B23" s="957">
        <v>2</v>
      </c>
      <c r="C23" s="960" t="s">
        <v>128</v>
      </c>
      <c r="D23" s="976">
        <v>0</v>
      </c>
      <c r="E23" s="963">
        <v>9.2439999999999998</v>
      </c>
      <c r="F23" s="963"/>
      <c r="G23" s="963"/>
      <c r="H23" s="976"/>
      <c r="I23" s="976"/>
      <c r="J23" s="976"/>
      <c r="K23" s="976">
        <v>25</v>
      </c>
      <c r="L23" s="977">
        <v>0</v>
      </c>
      <c r="M23" s="978" t="s">
        <v>343</v>
      </c>
      <c r="N23" s="979">
        <v>17.026</v>
      </c>
      <c r="O23" s="980"/>
      <c r="P23" s="981"/>
      <c r="Q23" s="957"/>
      <c r="R23" s="218"/>
      <c r="S23" s="218"/>
      <c r="T23" s="218"/>
      <c r="U23" s="218"/>
      <c r="V23" s="218"/>
      <c r="W23" s="218"/>
      <c r="X23" s="218"/>
      <c r="Y23" s="218"/>
      <c r="Z23" s="218"/>
      <c r="AA23" s="24"/>
      <c r="AB23" s="24"/>
      <c r="AC23" s="24"/>
      <c r="AD23" s="24"/>
      <c r="AE23" s="24"/>
      <c r="AF23" s="24"/>
      <c r="AG23" s="24"/>
      <c r="AH23" s="24"/>
    </row>
    <row r="24" spans="1:34" ht="12.95" customHeight="1">
      <c r="A24" s="957"/>
      <c r="B24" s="957">
        <v>3</v>
      </c>
      <c r="C24" s="960" t="s">
        <v>159</v>
      </c>
      <c r="D24" s="961">
        <v>-2</v>
      </c>
      <c r="E24" s="963">
        <v>6.3520000000000003</v>
      </c>
      <c r="F24" s="963">
        <v>10.329000000000001</v>
      </c>
      <c r="G24" s="963"/>
      <c r="H24" s="961"/>
      <c r="I24" s="961"/>
      <c r="J24" s="961"/>
      <c r="K24" s="961">
        <v>25</v>
      </c>
      <c r="L24" s="957">
        <v>0</v>
      </c>
      <c r="M24" s="982" t="s">
        <v>328</v>
      </c>
      <c r="N24" s="965"/>
      <c r="O24" s="980"/>
      <c r="P24" s="981"/>
      <c r="Q24" s="957"/>
      <c r="R24" s="218"/>
      <c r="S24" s="218"/>
      <c r="T24" s="218"/>
      <c r="U24" s="218"/>
      <c r="V24" s="218"/>
      <c r="W24" s="218"/>
      <c r="X24" s="218"/>
      <c r="Y24" s="218"/>
      <c r="Z24" s="218"/>
      <c r="AA24" s="24"/>
      <c r="AB24" s="24"/>
      <c r="AC24" s="24"/>
      <c r="AD24" s="24"/>
      <c r="AE24" s="24"/>
      <c r="AF24" s="24"/>
      <c r="AG24" s="24"/>
      <c r="AH24" s="24"/>
    </row>
    <row r="25" spans="1:34" ht="12.95" customHeight="1">
      <c r="A25" s="957"/>
      <c r="B25" s="957">
        <v>4</v>
      </c>
      <c r="C25" s="960" t="s">
        <v>134</v>
      </c>
      <c r="D25" s="976">
        <v>-3</v>
      </c>
      <c r="E25" s="963">
        <v>3.1280000000000001</v>
      </c>
      <c r="F25" s="963">
        <v>4.7610000000000001</v>
      </c>
      <c r="G25" s="963">
        <v>6.3959999999999999</v>
      </c>
      <c r="H25" s="976"/>
      <c r="I25" s="976"/>
      <c r="J25" s="976"/>
      <c r="K25" s="976">
        <v>25</v>
      </c>
      <c r="L25" s="977">
        <v>0</v>
      </c>
      <c r="M25" s="983" t="s">
        <v>352</v>
      </c>
      <c r="N25" s="984">
        <v>192.02699999999999</v>
      </c>
      <c r="O25" s="980"/>
      <c r="P25" s="981"/>
      <c r="Q25" s="957"/>
      <c r="R25" s="218"/>
      <c r="S25" s="218"/>
      <c r="T25" s="218"/>
      <c r="U25" s="218"/>
      <c r="V25" s="218"/>
      <c r="W25" s="218"/>
      <c r="X25" s="218"/>
      <c r="Y25" s="218"/>
      <c r="Z25" s="218"/>
      <c r="AA25" s="24"/>
      <c r="AB25" s="24"/>
      <c r="AC25" s="24"/>
      <c r="AD25" s="24"/>
      <c r="AE25" s="24"/>
      <c r="AF25" s="24"/>
      <c r="AG25" s="24"/>
      <c r="AH25" s="24"/>
    </row>
    <row r="26" spans="1:34" ht="12.95" customHeight="1">
      <c r="A26" s="957"/>
      <c r="B26" s="957">
        <v>5</v>
      </c>
      <c r="C26" s="960" t="s">
        <v>330</v>
      </c>
      <c r="D26" s="976">
        <v>-4</v>
      </c>
      <c r="E26" s="1121">
        <v>-0.21</v>
      </c>
      <c r="F26" s="1121">
        <v>1.5</v>
      </c>
      <c r="G26" s="1122">
        <v>2.21</v>
      </c>
      <c r="H26" s="1123">
        <v>3.11</v>
      </c>
      <c r="I26" s="1124">
        <v>6.75</v>
      </c>
      <c r="J26" s="1124">
        <v>11.03</v>
      </c>
      <c r="K26" s="1124">
        <v>25</v>
      </c>
      <c r="L26" s="948">
        <v>0</v>
      </c>
      <c r="M26" s="978" t="s">
        <v>144</v>
      </c>
      <c r="N26" s="979">
        <v>292.08999999999997</v>
      </c>
      <c r="O26" s="980"/>
      <c r="P26" s="981"/>
      <c r="Q26" s="957"/>
      <c r="R26" s="218"/>
      <c r="S26" s="218"/>
      <c r="T26" s="218"/>
      <c r="U26" s="218"/>
      <c r="V26" s="218"/>
      <c r="W26" s="218"/>
      <c r="X26" s="218"/>
      <c r="Y26" s="218"/>
      <c r="Z26" s="218"/>
      <c r="AA26" s="24"/>
      <c r="AB26" s="24"/>
      <c r="AC26" s="24"/>
      <c r="AD26" s="24"/>
      <c r="AE26" s="24"/>
      <c r="AF26" s="24"/>
      <c r="AG26" s="24"/>
      <c r="AH26" s="24"/>
    </row>
    <row r="27" spans="1:34" ht="12.95" customHeight="1">
      <c r="A27" s="957"/>
      <c r="B27" s="957">
        <v>6</v>
      </c>
      <c r="C27" s="975" t="s">
        <v>326</v>
      </c>
      <c r="D27" s="976">
        <v>-1</v>
      </c>
      <c r="E27" s="968">
        <v>-7</v>
      </c>
      <c r="F27" s="969"/>
      <c r="G27" s="969"/>
      <c r="H27" s="969"/>
      <c r="I27" s="969"/>
      <c r="J27" s="969"/>
      <c r="K27" s="970">
        <v>25</v>
      </c>
      <c r="L27" s="967">
        <v>0</v>
      </c>
      <c r="M27" s="985" t="s">
        <v>326</v>
      </c>
      <c r="N27" s="979"/>
      <c r="O27" s="980"/>
      <c r="P27" s="981"/>
      <c r="Q27" s="957"/>
      <c r="R27" s="218"/>
      <c r="S27" s="218"/>
      <c r="T27" s="218"/>
      <c r="U27" s="218"/>
      <c r="V27" s="218"/>
      <c r="W27" s="218"/>
      <c r="X27" s="218"/>
      <c r="Y27" s="218"/>
      <c r="Z27" s="218"/>
      <c r="AA27" s="24"/>
      <c r="AB27" s="24"/>
      <c r="AC27" s="24"/>
      <c r="AD27" s="24"/>
      <c r="AE27" s="24"/>
      <c r="AF27" s="24"/>
      <c r="AG27" s="24"/>
      <c r="AH27" s="24"/>
    </row>
    <row r="28" spans="1:34" ht="12.95" customHeight="1">
      <c r="A28" s="957"/>
      <c r="B28" s="957">
        <v>7</v>
      </c>
      <c r="C28" s="960" t="s">
        <v>623</v>
      </c>
      <c r="D28" s="961">
        <v>-1</v>
      </c>
      <c r="E28" s="962">
        <v>15.744999999999999</v>
      </c>
      <c r="F28" s="963"/>
      <c r="G28" s="963"/>
      <c r="H28" s="961"/>
      <c r="I28" s="961"/>
      <c r="J28" s="961"/>
      <c r="K28" s="961">
        <v>25</v>
      </c>
      <c r="L28" s="957">
        <v>0</v>
      </c>
      <c r="M28" s="982" t="s">
        <v>553</v>
      </c>
      <c r="N28" s="965"/>
      <c r="O28" s="986"/>
      <c r="P28" s="981"/>
      <c r="Q28" s="957"/>
      <c r="R28" s="218"/>
      <c r="S28" s="218"/>
      <c r="T28" s="218"/>
      <c r="U28" s="218"/>
      <c r="V28" s="218"/>
      <c r="W28" s="218"/>
      <c r="X28" s="218"/>
      <c r="Y28" s="218"/>
      <c r="Z28" s="218"/>
      <c r="AA28" s="24"/>
      <c r="AB28" s="24"/>
      <c r="AC28" s="24"/>
      <c r="AD28" s="24"/>
      <c r="AE28" s="24"/>
      <c r="AF28" s="24"/>
      <c r="AG28" s="24"/>
      <c r="AH28" s="24"/>
    </row>
    <row r="29" spans="1:34" ht="12.95" customHeight="1">
      <c r="A29" s="957"/>
      <c r="B29" s="957">
        <v>8</v>
      </c>
      <c r="C29" s="960" t="s">
        <v>125</v>
      </c>
      <c r="D29" s="976">
        <v>-3</v>
      </c>
      <c r="E29" s="963">
        <v>2.1480000000000001</v>
      </c>
      <c r="F29" s="963">
        <v>7.1989999999999998</v>
      </c>
      <c r="G29" s="963">
        <v>12.35</v>
      </c>
      <c r="H29" s="976"/>
      <c r="I29" s="976"/>
      <c r="J29" s="976"/>
      <c r="K29" s="976">
        <v>25</v>
      </c>
      <c r="L29" s="977">
        <v>0</v>
      </c>
      <c r="M29" s="978" t="s">
        <v>145</v>
      </c>
      <c r="N29" s="979">
        <v>97.975999999999999</v>
      </c>
      <c r="O29" s="986"/>
      <c r="P29" s="981"/>
      <c r="Q29" s="957"/>
      <c r="R29" s="218"/>
      <c r="S29" s="218"/>
      <c r="T29" s="218"/>
      <c r="U29" s="218"/>
      <c r="V29" s="218"/>
      <c r="W29" s="218"/>
      <c r="X29" s="218"/>
      <c r="Y29" s="218"/>
      <c r="Z29" s="218"/>
      <c r="AA29" s="24"/>
      <c r="AB29" s="24"/>
      <c r="AC29" s="24"/>
      <c r="AD29" s="24"/>
      <c r="AE29" s="24"/>
      <c r="AF29" s="24"/>
      <c r="AG29" s="24"/>
      <c r="AH29" s="24"/>
    </row>
    <row r="30" spans="1:34" ht="12.95" customHeight="1">
      <c r="A30" s="957"/>
      <c r="B30" s="957">
        <v>9</v>
      </c>
      <c r="C30" s="987"/>
      <c r="D30" s="957">
        <v>0</v>
      </c>
      <c r="E30" s="957">
        <v>0</v>
      </c>
      <c r="F30" s="957"/>
      <c r="G30" s="957"/>
      <c r="H30" s="959"/>
      <c r="I30" s="957"/>
      <c r="J30" s="957"/>
      <c r="K30" s="957"/>
      <c r="L30" s="957"/>
      <c r="M30" s="974"/>
      <c r="N30" s="988"/>
      <c r="O30" s="989"/>
      <c r="P30" s="981"/>
      <c r="Q30" s="957"/>
      <c r="R30" s="218"/>
      <c r="S30" s="218"/>
      <c r="T30" s="218"/>
      <c r="U30" s="218"/>
      <c r="V30" s="218"/>
      <c r="W30" s="218"/>
      <c r="X30" s="218"/>
      <c r="Y30" s="218"/>
      <c r="Z30" s="218"/>
    </row>
    <row r="31" spans="1:34" ht="12.95" customHeight="1">
      <c r="A31" s="957"/>
      <c r="B31" s="957">
        <v>10</v>
      </c>
      <c r="C31" s="987"/>
      <c r="D31" s="957">
        <v>0</v>
      </c>
      <c r="E31" s="957">
        <v>0</v>
      </c>
      <c r="F31" s="957"/>
      <c r="G31" s="957"/>
      <c r="H31" s="959"/>
      <c r="I31" s="957"/>
      <c r="J31" s="957"/>
      <c r="K31" s="957"/>
      <c r="L31" s="957"/>
      <c r="M31" s="974"/>
      <c r="N31" s="988"/>
      <c r="O31" s="989"/>
      <c r="P31" s="981"/>
      <c r="Q31" s="957"/>
      <c r="R31" s="218"/>
      <c r="S31" s="218"/>
      <c r="T31" s="218"/>
      <c r="U31" s="218"/>
      <c r="V31" s="218"/>
      <c r="W31" s="218"/>
      <c r="X31" s="218"/>
      <c r="Y31" s="218"/>
      <c r="Z31" s="218"/>
    </row>
    <row r="32" spans="1:34">
      <c r="A32" s="2"/>
      <c r="B32" s="957">
        <v>11</v>
      </c>
      <c r="C32" s="930" t="s">
        <v>30</v>
      </c>
      <c r="D32" s="930"/>
      <c r="E32" s="930" t="s">
        <v>31</v>
      </c>
      <c r="F32" s="931"/>
      <c r="G32" s="931"/>
      <c r="H32" s="931"/>
      <c r="I32" s="931"/>
      <c r="J32" s="931"/>
      <c r="K32" s="930" t="s">
        <v>32</v>
      </c>
      <c r="L32" s="930"/>
      <c r="M32" s="931"/>
      <c r="N32" s="932"/>
      <c r="O32" s="96"/>
      <c r="P32" s="7"/>
      <c r="Q32" s="957"/>
      <c r="R32" s="218"/>
      <c r="S32" s="218"/>
      <c r="T32" s="218"/>
      <c r="U32" s="218"/>
      <c r="V32" s="218"/>
      <c r="W32" s="218"/>
      <c r="X32" s="218"/>
      <c r="Y32" s="218"/>
      <c r="Z32" s="218"/>
    </row>
    <row r="33" spans="1:34">
      <c r="A33" s="956"/>
      <c r="B33" s="957">
        <v>12</v>
      </c>
      <c r="C33" s="958" t="s">
        <v>378</v>
      </c>
      <c r="D33" s="957">
        <v>0</v>
      </c>
      <c r="E33" s="957">
        <v>0.63</v>
      </c>
      <c r="F33" s="959"/>
      <c r="G33" s="960"/>
      <c r="H33" s="961"/>
      <c r="I33" s="962"/>
      <c r="J33" s="963"/>
      <c r="K33" s="963">
        <v>25</v>
      </c>
      <c r="L33" s="961">
        <v>0</v>
      </c>
      <c r="M33" s="964" t="s">
        <v>377</v>
      </c>
      <c r="N33" s="965">
        <v>59.067</v>
      </c>
      <c r="O33" s="966"/>
      <c r="P33" s="957"/>
      <c r="Q33" s="957"/>
      <c r="R33" s="218"/>
      <c r="S33" s="218"/>
      <c r="T33" s="218"/>
      <c r="U33" s="218"/>
      <c r="V33" s="218"/>
      <c r="W33" s="218"/>
      <c r="X33" s="218"/>
      <c r="Y33" s="218"/>
      <c r="Z33" s="218"/>
      <c r="AA33" s="24"/>
      <c r="AB33" s="24"/>
      <c r="AC33" s="24"/>
      <c r="AD33" s="24"/>
      <c r="AE33" s="24"/>
      <c r="AF33" s="24"/>
      <c r="AG33" s="24"/>
      <c r="AH33" s="24"/>
    </row>
    <row r="34" spans="1:34">
      <c r="A34" s="956"/>
      <c r="B34" s="957">
        <v>13</v>
      </c>
      <c r="C34" s="958" t="s">
        <v>127</v>
      </c>
      <c r="D34" s="957">
        <v>-1</v>
      </c>
      <c r="E34" s="957">
        <v>4.7569999999999997</v>
      </c>
      <c r="F34" s="959"/>
      <c r="G34" s="960"/>
      <c r="H34" s="961"/>
      <c r="I34" s="962"/>
      <c r="J34" s="963"/>
      <c r="K34" s="963">
        <v>25</v>
      </c>
      <c r="L34" s="961">
        <v>0</v>
      </c>
      <c r="M34" s="964" t="s">
        <v>146</v>
      </c>
      <c r="N34" s="965">
        <v>60.052</v>
      </c>
      <c r="O34" s="966"/>
      <c r="P34" s="957"/>
      <c r="Q34" s="957"/>
      <c r="R34" s="94"/>
      <c r="S34" s="94"/>
      <c r="T34" s="94"/>
      <c r="U34" s="94"/>
      <c r="V34" s="94"/>
      <c r="W34" s="94"/>
      <c r="X34" s="94"/>
      <c r="Y34" s="94"/>
      <c r="Z34" s="94"/>
      <c r="AA34" s="24"/>
      <c r="AB34" s="24"/>
      <c r="AC34" s="24"/>
      <c r="AD34" s="24"/>
      <c r="AE34" s="24"/>
      <c r="AF34" s="24"/>
      <c r="AG34" s="24"/>
      <c r="AH34" s="24"/>
    </row>
    <row r="35" spans="1:34">
      <c r="A35" s="956"/>
      <c r="B35" s="957">
        <v>14</v>
      </c>
      <c r="C35" s="958" t="s">
        <v>408</v>
      </c>
      <c r="D35" s="957">
        <v>-1</v>
      </c>
      <c r="E35" s="957">
        <v>3.58</v>
      </c>
      <c r="F35" s="959"/>
      <c r="G35" s="960"/>
      <c r="H35" s="961"/>
      <c r="I35" s="962"/>
      <c r="J35" s="963"/>
      <c r="K35" s="963">
        <v>18</v>
      </c>
      <c r="L35" s="961">
        <v>0</v>
      </c>
      <c r="M35" s="964" t="s">
        <v>407</v>
      </c>
      <c r="N35" s="965">
        <v>102.089</v>
      </c>
      <c r="O35" s="966"/>
      <c r="P35" s="957"/>
      <c r="Q35" s="957"/>
      <c r="R35" s="94"/>
      <c r="S35" s="94"/>
      <c r="T35" s="94"/>
      <c r="U35" s="94"/>
      <c r="V35" s="94"/>
      <c r="W35" s="94"/>
      <c r="X35" s="94"/>
      <c r="Y35" s="94"/>
      <c r="Z35" s="94"/>
      <c r="AA35" s="24"/>
      <c r="AB35" s="24"/>
      <c r="AC35" s="24"/>
      <c r="AD35" s="24"/>
      <c r="AE35" s="24"/>
      <c r="AF35" s="24"/>
      <c r="AG35" s="24"/>
      <c r="AH35" s="24"/>
    </row>
    <row r="36" spans="1:34">
      <c r="A36" s="956"/>
      <c r="B36" s="957">
        <v>15</v>
      </c>
      <c r="C36" s="958" t="s">
        <v>385</v>
      </c>
      <c r="D36" s="957">
        <v>-1</v>
      </c>
      <c r="E36" s="957">
        <v>4.25</v>
      </c>
      <c r="F36" s="959"/>
      <c r="G36" s="960"/>
      <c r="H36" s="961"/>
      <c r="I36" s="962"/>
      <c r="J36" s="963"/>
      <c r="K36" s="963">
        <v>25</v>
      </c>
      <c r="L36" s="961">
        <v>0</v>
      </c>
      <c r="M36" s="964" t="s">
        <v>384</v>
      </c>
      <c r="N36" s="965">
        <v>72.063000000000002</v>
      </c>
      <c r="O36" s="966"/>
      <c r="P36" s="957"/>
      <c r="Q36" s="957"/>
      <c r="R36" s="94"/>
      <c r="S36" s="94"/>
      <c r="T36" s="94"/>
      <c r="U36" s="94"/>
      <c r="V36" s="94"/>
      <c r="W36" s="94"/>
      <c r="X36" s="94"/>
      <c r="Y36" s="94"/>
      <c r="Z36" s="94"/>
      <c r="AA36" s="24"/>
      <c r="AB36" s="24"/>
      <c r="AC36" s="24"/>
      <c r="AD36" s="24"/>
      <c r="AE36" s="24"/>
      <c r="AF36" s="24"/>
      <c r="AG36" s="24"/>
      <c r="AH36" s="24"/>
    </row>
    <row r="37" spans="1:34">
      <c r="A37" s="956"/>
      <c r="B37" s="957">
        <v>16</v>
      </c>
      <c r="C37" s="958" t="s">
        <v>47</v>
      </c>
      <c r="D37" s="957">
        <v>-2</v>
      </c>
      <c r="E37" s="957">
        <v>4.43</v>
      </c>
      <c r="F37" s="959">
        <v>5.41</v>
      </c>
      <c r="G37" s="960"/>
      <c r="H37" s="961"/>
      <c r="I37" s="962"/>
      <c r="J37" s="963"/>
      <c r="K37" s="963">
        <v>25</v>
      </c>
      <c r="L37" s="961">
        <v>0</v>
      </c>
      <c r="M37" s="964" t="s">
        <v>46</v>
      </c>
      <c r="N37" s="965">
        <v>146.143</v>
      </c>
      <c r="O37" s="966"/>
      <c r="P37" s="957"/>
      <c r="Q37" s="957"/>
      <c r="R37" s="94"/>
      <c r="S37" s="94"/>
      <c r="T37" s="94"/>
      <c r="U37" s="94"/>
      <c r="V37" s="94"/>
      <c r="W37" s="94"/>
      <c r="X37" s="94"/>
      <c r="Y37" s="94"/>
      <c r="Z37" s="94"/>
      <c r="AA37" s="24"/>
      <c r="AB37" s="24"/>
      <c r="AC37" s="24"/>
      <c r="AD37" s="24"/>
      <c r="AE37" s="24"/>
      <c r="AF37" s="24"/>
      <c r="AG37" s="24"/>
      <c r="AH37" s="24"/>
    </row>
    <row r="38" spans="1:34">
      <c r="A38" s="956"/>
      <c r="B38" s="957">
        <v>17</v>
      </c>
      <c r="C38" s="958" t="s">
        <v>147</v>
      </c>
      <c r="D38" s="957">
        <v>-1</v>
      </c>
      <c r="E38" s="957">
        <v>2.3479999999999999</v>
      </c>
      <c r="F38" s="959">
        <v>9.8670000000000009</v>
      </c>
      <c r="G38" s="960"/>
      <c r="H38" s="961"/>
      <c r="I38" s="962"/>
      <c r="J38" s="963"/>
      <c r="K38" s="963">
        <v>25</v>
      </c>
      <c r="L38" s="961">
        <v>0</v>
      </c>
      <c r="M38" s="964" t="s">
        <v>148</v>
      </c>
      <c r="N38" s="965">
        <v>89.093999999999994</v>
      </c>
      <c r="O38" s="966"/>
      <c r="P38" s="957"/>
      <c r="Q38" s="957"/>
      <c r="R38" s="94"/>
      <c r="S38" s="94"/>
      <c r="T38" s="94"/>
      <c r="U38" s="94"/>
      <c r="V38" s="94"/>
      <c r="W38" s="94"/>
      <c r="X38" s="94"/>
      <c r="Y38" s="94"/>
      <c r="Z38" s="94"/>
      <c r="AA38" s="24"/>
      <c r="AB38" s="24"/>
      <c r="AC38" s="24"/>
      <c r="AD38" s="24"/>
      <c r="AE38" s="24"/>
      <c r="AF38" s="24"/>
      <c r="AG38" s="24"/>
      <c r="AH38" s="24"/>
    </row>
    <row r="39" spans="1:34">
      <c r="A39" s="956"/>
      <c r="B39" s="957">
        <v>18</v>
      </c>
      <c r="C39" s="958" t="s">
        <v>554</v>
      </c>
      <c r="D39" s="957">
        <v>0</v>
      </c>
      <c r="E39" s="957">
        <v>4.5999999999999996</v>
      </c>
      <c r="F39" s="959"/>
      <c r="G39" s="960"/>
      <c r="H39" s="961"/>
      <c r="I39" s="962"/>
      <c r="J39" s="963"/>
      <c r="K39" s="963">
        <v>25</v>
      </c>
      <c r="L39" s="961">
        <v>0</v>
      </c>
      <c r="M39" s="964" t="s">
        <v>555</v>
      </c>
      <c r="N39" s="965">
        <v>93.13</v>
      </c>
      <c r="O39" s="966"/>
      <c r="P39" s="957"/>
      <c r="Q39" s="957"/>
      <c r="R39" s="94"/>
      <c r="S39" s="94"/>
      <c r="T39" s="94"/>
      <c r="U39" s="94"/>
      <c r="V39" s="94"/>
      <c r="W39" s="94"/>
      <c r="X39" s="94"/>
      <c r="Y39" s="94"/>
      <c r="Z39" s="94"/>
      <c r="AA39" s="24"/>
      <c r="AB39" s="24"/>
      <c r="AC39" s="24"/>
      <c r="AD39" s="24"/>
      <c r="AE39" s="24"/>
      <c r="AF39" s="24"/>
      <c r="AG39" s="24"/>
      <c r="AH39" s="24"/>
    </row>
    <row r="40" spans="1:34">
      <c r="A40" s="956"/>
      <c r="B40" s="957">
        <v>19</v>
      </c>
      <c r="C40" s="958" t="s">
        <v>79</v>
      </c>
      <c r="D40" s="957">
        <v>-1</v>
      </c>
      <c r="E40" s="957">
        <v>2.1080000000000001</v>
      </c>
      <c r="F40" s="959">
        <v>4.9459999999999997</v>
      </c>
      <c r="G40" s="960"/>
      <c r="H40" s="961"/>
      <c r="I40" s="962"/>
      <c r="J40" s="963"/>
      <c r="K40" s="963">
        <v>25</v>
      </c>
      <c r="L40" s="961">
        <v>0</v>
      </c>
      <c r="M40" s="964" t="s">
        <v>78</v>
      </c>
      <c r="N40" s="965">
        <v>137.13800000000001</v>
      </c>
      <c r="O40" s="966"/>
      <c r="P40" s="957"/>
      <c r="Q40" s="957"/>
      <c r="R40" s="94"/>
      <c r="S40" s="94"/>
      <c r="T40" s="94"/>
      <c r="U40" s="94"/>
      <c r="V40" s="94"/>
      <c r="W40" s="94"/>
      <c r="X40" s="94"/>
      <c r="Y40" s="94"/>
      <c r="Z40" s="94"/>
      <c r="AA40" s="24"/>
      <c r="AB40" s="24"/>
      <c r="AC40" s="24"/>
      <c r="AD40" s="24"/>
      <c r="AE40" s="24"/>
      <c r="AF40" s="24"/>
      <c r="AG40" s="24"/>
      <c r="AH40" s="24"/>
    </row>
    <row r="41" spans="1:34">
      <c r="A41" s="956"/>
      <c r="B41" s="957">
        <v>20</v>
      </c>
      <c r="C41" s="958" t="s">
        <v>80</v>
      </c>
      <c r="D41" s="957">
        <v>-1</v>
      </c>
      <c r="E41" s="957">
        <v>2.5009999999999999</v>
      </c>
      <c r="F41" s="959">
        <v>4.8739999999999997</v>
      </c>
      <c r="G41" s="960"/>
      <c r="H41" s="961"/>
      <c r="I41" s="962"/>
      <c r="J41" s="963"/>
      <c r="K41" s="963">
        <v>25</v>
      </c>
      <c r="L41" s="961">
        <v>0</v>
      </c>
      <c r="M41" s="964" t="s">
        <v>78</v>
      </c>
      <c r="N41" s="965">
        <v>137.13800000000001</v>
      </c>
      <c r="O41" s="966"/>
      <c r="P41" s="957"/>
      <c r="Q41" s="957"/>
      <c r="R41" s="94"/>
      <c r="S41" s="94"/>
      <c r="T41" s="94"/>
      <c r="U41" s="94"/>
      <c r="V41" s="94"/>
      <c r="W41" s="94"/>
      <c r="X41" s="94"/>
      <c r="Y41" s="94"/>
      <c r="Z41" s="94"/>
      <c r="AA41" s="24"/>
      <c r="AB41" s="24"/>
      <c r="AC41" s="24"/>
      <c r="AD41" s="24"/>
      <c r="AE41" s="24"/>
      <c r="AF41" s="24"/>
      <c r="AG41" s="24"/>
      <c r="AH41" s="24"/>
    </row>
    <row r="42" spans="1:34">
      <c r="A42" s="956"/>
      <c r="B42" s="957">
        <v>21</v>
      </c>
      <c r="C42" s="958" t="s">
        <v>426</v>
      </c>
      <c r="D42" s="957">
        <v>-1</v>
      </c>
      <c r="E42" s="957">
        <v>2.29</v>
      </c>
      <c r="F42" s="959">
        <v>9.83</v>
      </c>
      <c r="G42" s="960"/>
      <c r="H42" s="961"/>
      <c r="I42" s="962"/>
      <c r="J42" s="963"/>
      <c r="K42" s="963">
        <v>25</v>
      </c>
      <c r="L42" s="961">
        <v>0</v>
      </c>
      <c r="M42" s="964" t="s">
        <v>425</v>
      </c>
      <c r="N42" s="965"/>
      <c r="O42" s="966"/>
      <c r="P42" s="957"/>
      <c r="Q42" s="957"/>
      <c r="R42" s="94"/>
      <c r="S42" s="94"/>
      <c r="T42" s="94"/>
      <c r="U42" s="94"/>
      <c r="V42" s="94"/>
      <c r="W42" s="94"/>
      <c r="X42" s="94"/>
      <c r="Y42" s="94"/>
      <c r="Z42" s="94"/>
      <c r="AA42" s="24"/>
      <c r="AB42" s="24"/>
      <c r="AC42" s="24"/>
      <c r="AD42" s="24"/>
      <c r="AE42" s="24"/>
      <c r="AF42" s="24"/>
      <c r="AG42" s="24"/>
      <c r="AH42" s="24"/>
    </row>
    <row r="43" spans="1:34">
      <c r="A43" s="956"/>
      <c r="B43" s="957">
        <v>22</v>
      </c>
      <c r="C43" s="958" t="s">
        <v>54</v>
      </c>
      <c r="D43" s="957">
        <v>-1</v>
      </c>
      <c r="E43" s="957">
        <v>4.3730000000000002</v>
      </c>
      <c r="F43" s="959">
        <v>10.804</v>
      </c>
      <c r="G43" s="960"/>
      <c r="H43" s="961"/>
      <c r="I43" s="962"/>
      <c r="J43" s="963"/>
      <c r="K43" s="963">
        <v>25</v>
      </c>
      <c r="L43" s="961">
        <v>0</v>
      </c>
      <c r="M43" s="964" t="s">
        <v>53</v>
      </c>
      <c r="N43" s="965"/>
      <c r="O43" s="966"/>
      <c r="P43" s="957"/>
      <c r="Q43" s="957"/>
      <c r="R43" s="94"/>
      <c r="S43" s="94"/>
      <c r="T43" s="94"/>
      <c r="U43" s="94"/>
      <c r="V43" s="94"/>
      <c r="W43" s="94"/>
      <c r="X43" s="94"/>
      <c r="Y43" s="94"/>
      <c r="Z43" s="94"/>
      <c r="AA43" s="24"/>
      <c r="AB43" s="24"/>
      <c r="AC43" s="24"/>
      <c r="AD43" s="24"/>
      <c r="AE43" s="24"/>
      <c r="AF43" s="24"/>
      <c r="AG43" s="24"/>
      <c r="AH43" s="24"/>
    </row>
    <row r="44" spans="1:34">
      <c r="A44" s="956"/>
      <c r="B44" s="957">
        <v>23</v>
      </c>
      <c r="C44" s="958" t="s">
        <v>453</v>
      </c>
      <c r="D44" s="957">
        <v>-1</v>
      </c>
      <c r="E44" s="957">
        <v>4.2699999999999996</v>
      </c>
      <c r="F44" s="959">
        <v>10.766</v>
      </c>
      <c r="G44" s="960"/>
      <c r="H44" s="961"/>
      <c r="I44" s="962"/>
      <c r="J44" s="963"/>
      <c r="K44" s="963">
        <v>25</v>
      </c>
      <c r="L44" s="961">
        <v>0</v>
      </c>
      <c r="M44" s="964" t="s">
        <v>452</v>
      </c>
      <c r="N44" s="965"/>
      <c r="O44" s="966"/>
      <c r="P44" s="957"/>
      <c r="Q44" s="957"/>
      <c r="R44" s="94"/>
      <c r="S44" s="94"/>
      <c r="T44" s="94"/>
      <c r="U44" s="94"/>
      <c r="V44" s="94"/>
      <c r="W44" s="94"/>
      <c r="X44" s="94"/>
      <c r="Y44" s="94"/>
      <c r="Z44" s="94"/>
      <c r="AA44" s="24"/>
      <c r="AB44" s="24"/>
      <c r="AC44" s="24"/>
      <c r="AD44" s="24"/>
      <c r="AE44" s="24"/>
      <c r="AF44" s="24"/>
      <c r="AG44" s="24"/>
      <c r="AH44" s="24"/>
    </row>
    <row r="45" spans="1:34">
      <c r="A45" s="956"/>
      <c r="B45" s="957">
        <v>24</v>
      </c>
      <c r="C45" s="958" t="s">
        <v>149</v>
      </c>
      <c r="D45" s="957">
        <v>-1</v>
      </c>
      <c r="E45" s="957">
        <v>4.78</v>
      </c>
      <c r="F45" s="959">
        <v>9.9700000000000006</v>
      </c>
      <c r="G45" s="960"/>
      <c r="H45" s="961"/>
      <c r="I45" s="962"/>
      <c r="J45" s="963"/>
      <c r="K45" s="963">
        <v>20</v>
      </c>
      <c r="L45" s="961">
        <v>0</v>
      </c>
      <c r="M45" s="964" t="s">
        <v>150</v>
      </c>
      <c r="N45" s="965"/>
      <c r="O45" s="966"/>
      <c r="P45" s="957"/>
      <c r="Q45" s="957"/>
      <c r="R45" s="94"/>
      <c r="S45" s="94"/>
      <c r="T45" s="94"/>
      <c r="U45" s="94"/>
      <c r="V45" s="94"/>
      <c r="W45" s="94"/>
      <c r="X45" s="94"/>
      <c r="Y45" s="94"/>
      <c r="Z45" s="94"/>
      <c r="AA45" s="24"/>
      <c r="AB45" s="24"/>
      <c r="AC45" s="24"/>
      <c r="AD45" s="24"/>
      <c r="AE45" s="24"/>
      <c r="AF45" s="24"/>
      <c r="AG45" s="24"/>
      <c r="AH45" s="24"/>
    </row>
    <row r="46" spans="1:34">
      <c r="A46" s="956"/>
      <c r="B46" s="957">
        <v>25</v>
      </c>
      <c r="C46" s="958" t="s">
        <v>151</v>
      </c>
      <c r="D46" s="957">
        <v>-1</v>
      </c>
      <c r="E46" s="957">
        <v>3.55</v>
      </c>
      <c r="F46" s="959">
        <v>10.24</v>
      </c>
      <c r="G46" s="960"/>
      <c r="H46" s="961"/>
      <c r="I46" s="962"/>
      <c r="J46" s="963"/>
      <c r="K46" s="963">
        <v>25</v>
      </c>
      <c r="L46" s="961">
        <v>0</v>
      </c>
      <c r="M46" s="964" t="s">
        <v>393</v>
      </c>
      <c r="N46" s="965"/>
      <c r="O46" s="966"/>
      <c r="P46" s="957"/>
      <c r="Q46" s="957"/>
      <c r="R46" s="94"/>
      <c r="S46" s="94"/>
      <c r="T46" s="94"/>
      <c r="U46" s="94"/>
      <c r="V46" s="94"/>
      <c r="W46" s="94"/>
      <c r="X46" s="94"/>
      <c r="Y46" s="94"/>
      <c r="Z46" s="94"/>
      <c r="AA46" s="24"/>
      <c r="AB46" s="24"/>
      <c r="AC46" s="24"/>
      <c r="AD46" s="24"/>
      <c r="AE46" s="24"/>
      <c r="AF46" s="24"/>
      <c r="AG46" s="24"/>
      <c r="AH46" s="24"/>
    </row>
    <row r="47" spans="1:34">
      <c r="A47" s="956"/>
      <c r="B47" s="957">
        <v>26</v>
      </c>
      <c r="C47" s="958" t="s">
        <v>128</v>
      </c>
      <c r="D47" s="957">
        <v>0</v>
      </c>
      <c r="E47" s="957">
        <v>9.2439999999999998</v>
      </c>
      <c r="F47" s="959"/>
      <c r="G47" s="960"/>
      <c r="H47" s="961"/>
      <c r="I47" s="962"/>
      <c r="J47" s="963"/>
      <c r="K47" s="963">
        <v>25</v>
      </c>
      <c r="L47" s="961">
        <v>0</v>
      </c>
      <c r="M47" s="964" t="s">
        <v>343</v>
      </c>
      <c r="N47" s="965">
        <v>17.026</v>
      </c>
      <c r="O47" s="966"/>
      <c r="P47" s="957"/>
      <c r="Q47" s="957"/>
      <c r="R47" s="94"/>
      <c r="S47" s="94"/>
      <c r="T47" s="94"/>
      <c r="U47" s="94"/>
      <c r="V47" s="94"/>
      <c r="W47" s="94"/>
      <c r="X47" s="94"/>
      <c r="Y47" s="94"/>
      <c r="Z47" s="94"/>
      <c r="AA47" s="24"/>
      <c r="AB47" s="24"/>
      <c r="AC47" s="24"/>
      <c r="AD47" s="24"/>
      <c r="AE47" s="24"/>
      <c r="AF47" s="24"/>
      <c r="AG47" s="24"/>
      <c r="AH47" s="24"/>
    </row>
    <row r="48" spans="1:34">
      <c r="A48" s="956"/>
      <c r="B48" s="957">
        <v>27</v>
      </c>
      <c r="C48" s="958" t="s">
        <v>364</v>
      </c>
      <c r="D48" s="957">
        <v>0</v>
      </c>
      <c r="E48" s="957">
        <v>4.63</v>
      </c>
      <c r="F48" s="959"/>
      <c r="G48" s="960"/>
      <c r="H48" s="961"/>
      <c r="I48" s="962"/>
      <c r="J48" s="963"/>
      <c r="K48" s="963">
        <v>25</v>
      </c>
      <c r="L48" s="961">
        <v>0</v>
      </c>
      <c r="M48" s="964" t="s">
        <v>37</v>
      </c>
      <c r="N48" s="965"/>
      <c r="O48" s="966"/>
      <c r="P48" s="957"/>
      <c r="Q48" s="957"/>
      <c r="R48" s="94"/>
      <c r="S48" s="94"/>
      <c r="T48" s="94"/>
      <c r="U48" s="94"/>
      <c r="V48" s="94"/>
      <c r="W48" s="94"/>
      <c r="X48" s="94"/>
      <c r="Y48" s="94"/>
      <c r="Z48" s="94"/>
      <c r="AA48" s="24"/>
      <c r="AB48" s="24"/>
      <c r="AC48" s="24"/>
      <c r="AD48" s="24"/>
      <c r="AE48" s="24"/>
      <c r="AF48" s="24"/>
      <c r="AG48" s="24"/>
      <c r="AH48" s="24"/>
    </row>
    <row r="49" spans="1:34">
      <c r="A49" s="956"/>
      <c r="B49" s="957">
        <v>28</v>
      </c>
      <c r="C49" s="958" t="s">
        <v>152</v>
      </c>
      <c r="D49" s="957">
        <v>-1</v>
      </c>
      <c r="E49" s="957">
        <v>1.823</v>
      </c>
      <c r="F49" s="959">
        <v>8.9909999999999997</v>
      </c>
      <c r="G49" s="960">
        <v>12.48</v>
      </c>
      <c r="H49" s="961"/>
      <c r="I49" s="962"/>
      <c r="J49" s="963"/>
      <c r="K49" s="963">
        <v>25</v>
      </c>
      <c r="L49" s="961">
        <v>0</v>
      </c>
      <c r="M49" s="964" t="s">
        <v>57</v>
      </c>
      <c r="N49" s="965"/>
      <c r="O49" s="966"/>
      <c r="P49" s="957"/>
      <c r="Q49" s="957"/>
      <c r="R49" s="94"/>
      <c r="S49" s="94"/>
      <c r="T49" s="94"/>
      <c r="U49" s="94"/>
      <c r="V49" s="94"/>
      <c r="W49" s="94"/>
      <c r="X49" s="94"/>
      <c r="Y49" s="94"/>
      <c r="Z49" s="94"/>
      <c r="AA49" s="24"/>
      <c r="AB49" s="24"/>
      <c r="AC49" s="24"/>
      <c r="AD49" s="24"/>
      <c r="AE49" s="24"/>
      <c r="AF49" s="24"/>
      <c r="AG49" s="24"/>
      <c r="AH49" s="24"/>
    </row>
    <row r="50" spans="1:34">
      <c r="A50" s="956"/>
      <c r="B50" s="957">
        <v>29</v>
      </c>
      <c r="C50" s="958" t="s">
        <v>153</v>
      </c>
      <c r="D50" s="957">
        <v>-3</v>
      </c>
      <c r="E50" s="957">
        <v>2.2400000000000002</v>
      </c>
      <c r="F50" s="959">
        <v>6.96</v>
      </c>
      <c r="G50" s="960">
        <v>11.5</v>
      </c>
      <c r="H50" s="961"/>
      <c r="I50" s="962"/>
      <c r="J50" s="963"/>
      <c r="K50" s="963">
        <v>25</v>
      </c>
      <c r="L50" s="961">
        <v>0</v>
      </c>
      <c r="M50" s="964" t="s">
        <v>350</v>
      </c>
      <c r="N50" s="965"/>
      <c r="O50" s="966"/>
      <c r="P50" s="957"/>
      <c r="Q50" s="957"/>
      <c r="R50" s="94"/>
      <c r="S50" s="94"/>
      <c r="T50" s="94"/>
      <c r="U50" s="94"/>
      <c r="V50" s="94"/>
      <c r="W50" s="94"/>
      <c r="X50" s="94"/>
      <c r="Y50" s="94"/>
      <c r="Z50" s="94"/>
      <c r="AA50" s="24"/>
      <c r="AB50" s="24"/>
      <c r="AC50" s="24"/>
      <c r="AD50" s="24"/>
      <c r="AE50" s="24"/>
      <c r="AF50" s="24"/>
      <c r="AG50" s="24"/>
      <c r="AH50" s="24"/>
    </row>
    <row r="51" spans="1:34">
      <c r="A51" s="956"/>
      <c r="B51" s="957">
        <v>30</v>
      </c>
      <c r="C51" s="958" t="s">
        <v>154</v>
      </c>
      <c r="D51" s="957">
        <v>-1</v>
      </c>
      <c r="E51" s="957">
        <v>9.2200000000000006</v>
      </c>
      <c r="F51" s="959"/>
      <c r="G51" s="960"/>
      <c r="H51" s="961"/>
      <c r="I51" s="962"/>
      <c r="J51" s="963"/>
      <c r="K51" s="963"/>
      <c r="L51" s="961">
        <v>0</v>
      </c>
      <c r="M51" s="964" t="s">
        <v>351</v>
      </c>
      <c r="N51" s="965"/>
      <c r="O51" s="966"/>
      <c r="P51" s="957"/>
      <c r="Q51" s="957"/>
      <c r="R51" s="94"/>
      <c r="S51" s="94"/>
      <c r="T51" s="94"/>
      <c r="U51" s="94"/>
      <c r="V51" s="94"/>
      <c r="W51" s="94"/>
      <c r="X51" s="94"/>
      <c r="Y51" s="94"/>
      <c r="Z51" s="94"/>
      <c r="AA51" s="24"/>
      <c r="AB51" s="24"/>
      <c r="AC51" s="24"/>
      <c r="AD51" s="24"/>
      <c r="AE51" s="24"/>
      <c r="AF51" s="24"/>
      <c r="AG51" s="24"/>
      <c r="AH51" s="24"/>
    </row>
    <row r="52" spans="1:34">
      <c r="A52" s="956"/>
      <c r="B52" s="957">
        <v>31</v>
      </c>
      <c r="C52" s="958" t="s">
        <v>42</v>
      </c>
      <c r="D52" s="957">
        <v>-2</v>
      </c>
      <c r="E52" s="957">
        <v>4.0999999999999996</v>
      </c>
      <c r="F52" s="959">
        <v>11.79</v>
      </c>
      <c r="G52" s="960"/>
      <c r="H52" s="961"/>
      <c r="I52" s="962"/>
      <c r="J52" s="963"/>
      <c r="K52" s="963">
        <v>24</v>
      </c>
      <c r="L52" s="961">
        <v>0</v>
      </c>
      <c r="M52" s="964" t="s">
        <v>41</v>
      </c>
      <c r="N52" s="965"/>
      <c r="O52" s="966"/>
      <c r="P52" s="957"/>
      <c r="Q52" s="957"/>
      <c r="R52" s="94"/>
      <c r="S52" s="94"/>
      <c r="T52" s="94"/>
      <c r="U52" s="94"/>
      <c r="V52" s="94"/>
      <c r="W52" s="94"/>
      <c r="X52" s="94"/>
      <c r="Y52" s="94"/>
      <c r="Z52" s="94"/>
      <c r="AA52" s="24"/>
      <c r="AB52" s="24"/>
      <c r="AC52" s="24"/>
      <c r="AD52" s="24"/>
      <c r="AE52" s="24"/>
      <c r="AF52" s="24"/>
      <c r="AG52" s="24"/>
      <c r="AH52" s="24"/>
    </row>
    <row r="53" spans="1:34">
      <c r="A53" s="956"/>
      <c r="B53" s="957">
        <v>32</v>
      </c>
      <c r="C53" s="958" t="s">
        <v>155</v>
      </c>
      <c r="D53" s="957">
        <v>-1</v>
      </c>
      <c r="E53" s="957">
        <v>2.14</v>
      </c>
      <c r="F53" s="959">
        <v>8.93</v>
      </c>
      <c r="G53" s="960"/>
      <c r="H53" s="961"/>
      <c r="I53" s="962"/>
      <c r="J53" s="963"/>
      <c r="K53" s="963">
        <v>25</v>
      </c>
      <c r="L53" s="948">
        <v>0</v>
      </c>
      <c r="M53" s="964" t="s">
        <v>418</v>
      </c>
      <c r="N53" s="965"/>
      <c r="O53" s="966"/>
      <c r="P53" s="957"/>
      <c r="Q53" s="957"/>
      <c r="R53" s="94"/>
      <c r="S53" s="94"/>
      <c r="T53" s="94"/>
      <c r="U53" s="94"/>
      <c r="V53" s="94"/>
      <c r="W53" s="94"/>
      <c r="X53" s="94"/>
      <c r="Y53" s="94"/>
      <c r="Z53" s="94"/>
      <c r="AA53" s="24"/>
      <c r="AB53" s="24"/>
      <c r="AC53" s="24"/>
      <c r="AD53" s="24"/>
      <c r="AE53" s="24"/>
      <c r="AF53" s="24"/>
      <c r="AG53" s="24"/>
      <c r="AH53" s="24"/>
    </row>
    <row r="54" spans="1:34">
      <c r="A54" s="956"/>
      <c r="B54" s="957">
        <v>33</v>
      </c>
      <c r="C54" s="958" t="s">
        <v>415</v>
      </c>
      <c r="D54" s="957">
        <v>-2</v>
      </c>
      <c r="E54" s="957">
        <v>1.99</v>
      </c>
      <c r="F54" s="959">
        <v>3.9</v>
      </c>
      <c r="G54" s="960">
        <v>10.002000000000001</v>
      </c>
      <c r="H54" s="961"/>
      <c r="I54" s="962"/>
      <c r="J54" s="963"/>
      <c r="K54" s="963">
        <v>25</v>
      </c>
      <c r="L54" s="961">
        <v>0</v>
      </c>
      <c r="M54" s="964" t="s">
        <v>414</v>
      </c>
      <c r="N54" s="965"/>
      <c r="O54" s="966"/>
      <c r="P54" s="957"/>
      <c r="Q54" s="957"/>
      <c r="R54" s="94"/>
      <c r="S54" s="94"/>
      <c r="T54" s="94"/>
      <c r="U54" s="94"/>
      <c r="V54" s="94"/>
      <c r="W54" s="94"/>
      <c r="X54" s="94"/>
      <c r="Y54" s="94"/>
      <c r="Z54" s="94"/>
      <c r="AA54" s="24"/>
      <c r="AB54" s="24"/>
      <c r="AC54" s="24"/>
      <c r="AD54" s="24"/>
      <c r="AE54" s="24"/>
      <c r="AF54" s="24"/>
      <c r="AG54" s="24"/>
      <c r="AH54" s="24"/>
    </row>
    <row r="55" spans="1:34">
      <c r="A55" s="956"/>
      <c r="B55" s="957">
        <v>34</v>
      </c>
      <c r="C55" s="958" t="s">
        <v>156</v>
      </c>
      <c r="D55" s="957">
        <v>0</v>
      </c>
      <c r="E55" s="957">
        <v>7.43</v>
      </c>
      <c r="F55" s="959"/>
      <c r="G55" s="960"/>
      <c r="H55" s="961"/>
      <c r="I55" s="962"/>
      <c r="J55" s="963"/>
      <c r="K55" s="963">
        <v>25</v>
      </c>
      <c r="L55" s="961">
        <v>0</v>
      </c>
      <c r="M55" s="964" t="s">
        <v>117</v>
      </c>
      <c r="N55" s="965">
        <v>184.19</v>
      </c>
      <c r="O55" s="966"/>
      <c r="P55" s="957"/>
      <c r="Q55" s="957"/>
      <c r="R55" s="94"/>
      <c r="S55" s="94"/>
      <c r="T55" s="94"/>
      <c r="U55" s="94"/>
      <c r="V55" s="94"/>
      <c r="W55" s="94"/>
      <c r="X55" s="94"/>
      <c r="Y55" s="94"/>
      <c r="Z55" s="94"/>
      <c r="AA55" s="24"/>
      <c r="AB55" s="24"/>
      <c r="AC55" s="24"/>
      <c r="AD55" s="24"/>
      <c r="AE55" s="24"/>
      <c r="AF55" s="24"/>
      <c r="AG55" s="24"/>
      <c r="AH55" s="24"/>
    </row>
    <row r="56" spans="1:34">
      <c r="A56" s="956"/>
      <c r="B56" s="957">
        <v>35</v>
      </c>
      <c r="C56" s="958" t="s">
        <v>400</v>
      </c>
      <c r="D56" s="957">
        <v>-1</v>
      </c>
      <c r="E56" s="957">
        <v>4.01</v>
      </c>
      <c r="F56" s="959"/>
      <c r="G56" s="960"/>
      <c r="H56" s="961"/>
      <c r="I56" s="962"/>
      <c r="J56" s="963"/>
      <c r="K56" s="963">
        <v>25</v>
      </c>
      <c r="L56" s="961">
        <v>0</v>
      </c>
      <c r="M56" s="964" t="s">
        <v>399</v>
      </c>
      <c r="N56" s="965">
        <v>128.09</v>
      </c>
      <c r="O56" s="966"/>
      <c r="P56" s="957"/>
      <c r="Q56" s="957"/>
      <c r="R56" s="94"/>
      <c r="S56" s="94"/>
      <c r="T56" s="94"/>
      <c r="U56" s="94"/>
      <c r="V56" s="94"/>
      <c r="W56" s="94"/>
      <c r="X56" s="94"/>
      <c r="Y56" s="94"/>
      <c r="Z56" s="94"/>
      <c r="AA56" s="24"/>
      <c r="AB56" s="24"/>
      <c r="AC56" s="24"/>
      <c r="AD56" s="24"/>
      <c r="AE56" s="24"/>
      <c r="AF56" s="24"/>
      <c r="AG56" s="24"/>
      <c r="AH56" s="24"/>
    </row>
    <row r="57" spans="1:34">
      <c r="A57" s="956"/>
      <c r="B57" s="957">
        <v>36</v>
      </c>
      <c r="C57" s="958" t="s">
        <v>36</v>
      </c>
      <c r="D57" s="957">
        <v>-1</v>
      </c>
      <c r="E57" s="957">
        <v>0.7</v>
      </c>
      <c r="F57" s="959"/>
      <c r="G57" s="960"/>
      <c r="H57" s="961"/>
      <c r="I57" s="962"/>
      <c r="J57" s="963"/>
      <c r="K57" s="963">
        <v>25</v>
      </c>
      <c r="L57" s="961">
        <v>0</v>
      </c>
      <c r="M57" s="964" t="s">
        <v>35</v>
      </c>
      <c r="N57" s="965"/>
      <c r="O57" s="966"/>
      <c r="P57" s="957"/>
      <c r="Q57" s="957"/>
      <c r="R57" s="94"/>
      <c r="S57" s="94"/>
      <c r="T57" s="94"/>
      <c r="U57" s="94"/>
      <c r="V57" s="94"/>
      <c r="W57" s="94"/>
      <c r="X57" s="94"/>
      <c r="Y57" s="94"/>
      <c r="Z57" s="94"/>
      <c r="AA57" s="24"/>
      <c r="AB57" s="24"/>
      <c r="AC57" s="24"/>
      <c r="AD57" s="24"/>
      <c r="AE57" s="24"/>
      <c r="AF57" s="24"/>
      <c r="AG57" s="24"/>
      <c r="AH57" s="24"/>
    </row>
    <row r="58" spans="1:34">
      <c r="A58" s="956"/>
      <c r="B58" s="957">
        <v>37</v>
      </c>
      <c r="C58" s="958" t="s">
        <v>74</v>
      </c>
      <c r="D58" s="957">
        <v>-1</v>
      </c>
      <c r="E58" s="957">
        <v>4.1900000000000004</v>
      </c>
      <c r="F58" s="959"/>
      <c r="G58" s="960"/>
      <c r="H58" s="961"/>
      <c r="I58" s="962"/>
      <c r="J58" s="963"/>
      <c r="K58" s="963">
        <v>25</v>
      </c>
      <c r="L58" s="961">
        <v>0</v>
      </c>
      <c r="M58" s="964" t="s">
        <v>73</v>
      </c>
      <c r="N58" s="965"/>
      <c r="O58" s="966"/>
      <c r="P58" s="957"/>
      <c r="Q58" s="957"/>
      <c r="R58" s="94"/>
      <c r="S58" s="94"/>
      <c r="T58" s="94"/>
      <c r="U58" s="94"/>
      <c r="V58" s="94"/>
      <c r="W58" s="94"/>
      <c r="X58" s="94"/>
      <c r="Y58" s="94"/>
      <c r="Z58" s="94"/>
      <c r="AA58" s="24"/>
      <c r="AB58" s="24"/>
      <c r="AC58" s="24"/>
      <c r="AD58" s="24"/>
      <c r="AE58" s="24"/>
      <c r="AF58" s="24"/>
      <c r="AG58" s="24"/>
      <c r="AH58" s="24"/>
    </row>
    <row r="59" spans="1:34">
      <c r="A59" s="956"/>
      <c r="B59" s="957">
        <v>38</v>
      </c>
      <c r="C59" s="958" t="s">
        <v>85</v>
      </c>
      <c r="D59" s="957">
        <v>0</v>
      </c>
      <c r="E59" s="957">
        <v>9.33</v>
      </c>
      <c r="F59" s="959"/>
      <c r="G59" s="960"/>
      <c r="H59" s="961"/>
      <c r="I59" s="962"/>
      <c r="J59" s="963"/>
      <c r="K59" s="963">
        <v>25</v>
      </c>
      <c r="L59" s="961">
        <v>0</v>
      </c>
      <c r="M59" s="964" t="s">
        <v>84</v>
      </c>
      <c r="N59" s="965"/>
      <c r="O59" s="966"/>
      <c r="P59" s="957"/>
      <c r="Q59" s="957"/>
      <c r="R59" s="94"/>
      <c r="S59" s="94"/>
      <c r="T59" s="94"/>
      <c r="U59" s="94"/>
      <c r="V59" s="94"/>
      <c r="W59" s="94"/>
      <c r="X59" s="94"/>
      <c r="Y59" s="94"/>
      <c r="Z59" s="94"/>
      <c r="AA59" s="24"/>
      <c r="AB59" s="24"/>
      <c r="AC59" s="24"/>
      <c r="AD59" s="24"/>
      <c r="AE59" s="24"/>
      <c r="AF59" s="24"/>
      <c r="AG59" s="24"/>
      <c r="AH59" s="24"/>
    </row>
    <row r="60" spans="1:34">
      <c r="A60" s="956"/>
      <c r="B60" s="957">
        <v>39</v>
      </c>
      <c r="C60" s="958" t="s">
        <v>291</v>
      </c>
      <c r="D60" s="957">
        <v>0</v>
      </c>
      <c r="E60" s="957">
        <v>5.13</v>
      </c>
      <c r="F60" s="959"/>
      <c r="G60" s="960"/>
      <c r="H60" s="961"/>
      <c r="I60" s="962"/>
      <c r="J60" s="963"/>
      <c r="K60" s="963">
        <v>25</v>
      </c>
      <c r="L60" s="961">
        <v>0</v>
      </c>
      <c r="M60" s="964" t="s">
        <v>290</v>
      </c>
      <c r="N60" s="965"/>
      <c r="O60" s="966"/>
      <c r="P60" s="957"/>
      <c r="Q60" s="957"/>
      <c r="R60" s="94"/>
      <c r="S60" s="94"/>
      <c r="T60" s="94"/>
      <c r="U60" s="94"/>
      <c r="V60" s="94"/>
      <c r="W60" s="94"/>
      <c r="X60" s="94"/>
      <c r="Y60" s="94"/>
      <c r="Z60" s="94"/>
      <c r="AA60" s="24"/>
      <c r="AB60" s="24"/>
      <c r="AC60" s="24"/>
      <c r="AD60" s="24"/>
      <c r="AE60" s="24"/>
      <c r="AF60" s="24"/>
      <c r="AG60" s="24"/>
      <c r="AH60" s="24"/>
    </row>
    <row r="61" spans="1:34">
      <c r="A61" s="956"/>
      <c r="B61" s="957">
        <v>40</v>
      </c>
      <c r="C61" s="958" t="s">
        <v>454</v>
      </c>
      <c r="D61" s="957">
        <v>-1</v>
      </c>
      <c r="E61" s="957">
        <v>1.83</v>
      </c>
      <c r="F61" s="959"/>
      <c r="G61" s="960"/>
      <c r="H61" s="961"/>
      <c r="I61" s="962"/>
      <c r="J61" s="963"/>
      <c r="K61" s="963">
        <v>0</v>
      </c>
      <c r="L61" s="961">
        <v>0</v>
      </c>
      <c r="M61" s="964" t="s">
        <v>452</v>
      </c>
      <c r="N61" s="965"/>
      <c r="O61" s="966"/>
      <c r="P61" s="957"/>
      <c r="Q61" s="957"/>
      <c r="R61" s="94"/>
      <c r="S61" s="94"/>
      <c r="T61" s="94"/>
      <c r="U61" s="94"/>
      <c r="V61" s="94"/>
      <c r="W61" s="94"/>
      <c r="X61" s="94"/>
      <c r="Y61" s="94"/>
      <c r="Z61" s="94"/>
      <c r="AA61" s="24"/>
      <c r="AB61" s="24"/>
      <c r="AC61" s="24"/>
      <c r="AD61" s="24"/>
      <c r="AE61" s="24"/>
      <c r="AF61" s="24"/>
      <c r="AG61" s="24"/>
      <c r="AH61" s="24"/>
    </row>
    <row r="62" spans="1:34">
      <c r="A62" s="956"/>
      <c r="B62" s="957">
        <v>41</v>
      </c>
      <c r="C62" s="958" t="s">
        <v>157</v>
      </c>
      <c r="D62" s="957">
        <v>-3</v>
      </c>
      <c r="E62" s="957">
        <v>9.2360000000000007</v>
      </c>
      <c r="F62" s="959">
        <v>12.74</v>
      </c>
      <c r="G62" s="960">
        <v>13.8</v>
      </c>
      <c r="H62" s="961"/>
      <c r="I62" s="962"/>
      <c r="J62" s="963"/>
      <c r="K62" s="963">
        <v>20</v>
      </c>
      <c r="L62" s="961">
        <v>0</v>
      </c>
      <c r="M62" s="964" t="s">
        <v>158</v>
      </c>
      <c r="N62" s="965"/>
      <c r="O62" s="966"/>
      <c r="P62" s="957"/>
      <c r="Q62" s="957"/>
      <c r="R62" s="94"/>
      <c r="S62" s="94"/>
      <c r="T62" s="94"/>
      <c r="U62" s="94"/>
      <c r="V62" s="94"/>
      <c r="W62" s="94"/>
      <c r="X62" s="94"/>
      <c r="Y62" s="94"/>
      <c r="Z62" s="94"/>
      <c r="AA62" s="24"/>
      <c r="AB62" s="24"/>
      <c r="AC62" s="24"/>
      <c r="AD62" s="24"/>
      <c r="AE62" s="24"/>
      <c r="AF62" s="24"/>
      <c r="AG62" s="24"/>
      <c r="AH62" s="24"/>
    </row>
    <row r="63" spans="1:34">
      <c r="A63" s="956"/>
      <c r="B63" s="957">
        <v>42</v>
      </c>
      <c r="C63" s="958" t="s">
        <v>420</v>
      </c>
      <c r="D63" s="957">
        <v>-1</v>
      </c>
      <c r="E63" s="957">
        <v>4.83</v>
      </c>
      <c r="F63" s="959"/>
      <c r="G63" s="960"/>
      <c r="H63" s="961"/>
      <c r="I63" s="962"/>
      <c r="J63" s="963"/>
      <c r="K63" s="963">
        <v>25</v>
      </c>
      <c r="L63" s="961">
        <v>0</v>
      </c>
      <c r="M63" s="964" t="s">
        <v>419</v>
      </c>
      <c r="N63" s="965"/>
      <c r="O63" s="966"/>
      <c r="P63" s="957"/>
      <c r="Q63" s="957"/>
      <c r="R63" s="94"/>
      <c r="S63" s="94"/>
      <c r="T63" s="94"/>
      <c r="U63" s="94"/>
      <c r="V63" s="94"/>
      <c r="W63" s="94"/>
      <c r="X63" s="94"/>
      <c r="Y63" s="94"/>
      <c r="Z63" s="94"/>
      <c r="AA63" s="24"/>
      <c r="AB63" s="24"/>
      <c r="AC63" s="24"/>
      <c r="AD63" s="24"/>
      <c r="AE63" s="24"/>
      <c r="AF63" s="24"/>
      <c r="AG63" s="24"/>
      <c r="AH63" s="24"/>
    </row>
    <row r="64" spans="1:34">
      <c r="A64" s="956"/>
      <c r="B64" s="957">
        <v>43</v>
      </c>
      <c r="C64" s="958" t="s">
        <v>406</v>
      </c>
      <c r="D64" s="957">
        <v>-1</v>
      </c>
      <c r="E64" s="957">
        <v>4.34</v>
      </c>
      <c r="F64" s="959"/>
      <c r="G64" s="960"/>
      <c r="H64" s="961"/>
      <c r="I64" s="962"/>
      <c r="J64" s="963"/>
      <c r="K64" s="963">
        <v>25</v>
      </c>
      <c r="L64" s="961">
        <v>0</v>
      </c>
      <c r="M64" s="964" t="s">
        <v>405</v>
      </c>
      <c r="N64" s="965"/>
      <c r="O64" s="966"/>
      <c r="P64" s="957"/>
      <c r="Q64" s="957"/>
      <c r="R64" s="94"/>
      <c r="S64" s="94"/>
      <c r="T64" s="94"/>
      <c r="U64" s="94"/>
      <c r="V64" s="94"/>
      <c r="W64" s="94"/>
      <c r="X64" s="94"/>
      <c r="Y64" s="94"/>
      <c r="Z64" s="94"/>
      <c r="AA64" s="24"/>
      <c r="AB64" s="24"/>
      <c r="AC64" s="24"/>
      <c r="AD64" s="24"/>
      <c r="AE64" s="24"/>
      <c r="AF64" s="24"/>
      <c r="AG64" s="24"/>
      <c r="AH64" s="24"/>
    </row>
    <row r="65" spans="1:34">
      <c r="A65" s="956"/>
      <c r="B65" s="957">
        <v>44</v>
      </c>
      <c r="C65" s="958" t="s">
        <v>432</v>
      </c>
      <c r="D65" s="957">
        <v>0</v>
      </c>
      <c r="E65" s="957">
        <v>10.77</v>
      </c>
      <c r="F65" s="959"/>
      <c r="G65" s="960"/>
      <c r="H65" s="961"/>
      <c r="I65" s="962"/>
      <c r="J65" s="963"/>
      <c r="K65" s="963">
        <v>20</v>
      </c>
      <c r="L65" s="961">
        <v>0</v>
      </c>
      <c r="M65" s="964" t="s">
        <v>431</v>
      </c>
      <c r="N65" s="965"/>
      <c r="O65" s="966"/>
      <c r="P65" s="957"/>
      <c r="Q65" s="957"/>
      <c r="R65" s="94"/>
      <c r="S65" s="94"/>
      <c r="T65" s="94"/>
      <c r="U65" s="94"/>
      <c r="V65" s="94"/>
      <c r="W65" s="94"/>
      <c r="X65" s="94"/>
      <c r="Y65" s="94"/>
      <c r="Z65" s="94"/>
      <c r="AA65" s="24"/>
      <c r="AB65" s="24"/>
      <c r="AC65" s="24"/>
      <c r="AD65" s="24"/>
      <c r="AE65" s="24"/>
      <c r="AF65" s="24"/>
      <c r="AG65" s="24"/>
      <c r="AH65" s="24"/>
    </row>
    <row r="66" spans="1:34">
      <c r="A66" s="956"/>
      <c r="B66" s="957">
        <v>45</v>
      </c>
      <c r="C66" s="958" t="s">
        <v>433</v>
      </c>
      <c r="D66" s="957">
        <v>0</v>
      </c>
      <c r="E66" s="957">
        <v>10.56</v>
      </c>
      <c r="F66" s="959"/>
      <c r="G66" s="960"/>
      <c r="H66" s="961"/>
      <c r="I66" s="962"/>
      <c r="J66" s="963"/>
      <c r="K66" s="963">
        <v>25</v>
      </c>
      <c r="L66" s="961">
        <v>0</v>
      </c>
      <c r="M66" s="964" t="s">
        <v>431</v>
      </c>
      <c r="N66" s="965"/>
      <c r="O66" s="966"/>
      <c r="P66" s="957"/>
      <c r="Q66" s="957"/>
      <c r="R66" s="94"/>
      <c r="S66" s="94"/>
      <c r="T66" s="94"/>
      <c r="U66" s="94"/>
      <c r="V66" s="94"/>
      <c r="W66" s="94"/>
      <c r="X66" s="94"/>
      <c r="Y66" s="94"/>
      <c r="Z66" s="94"/>
      <c r="AA66" s="24"/>
      <c r="AB66" s="24"/>
      <c r="AC66" s="24"/>
      <c r="AD66" s="24"/>
      <c r="AE66" s="24"/>
      <c r="AF66" s="24"/>
      <c r="AG66" s="24"/>
      <c r="AH66" s="24"/>
    </row>
    <row r="67" spans="1:34">
      <c r="A67" s="956"/>
      <c r="B67" s="957">
        <v>46</v>
      </c>
      <c r="C67" s="958" t="s">
        <v>434</v>
      </c>
      <c r="D67" s="957">
        <v>0</v>
      </c>
      <c r="E67" s="957">
        <v>10.68</v>
      </c>
      <c r="F67" s="959"/>
      <c r="G67" s="960"/>
      <c r="H67" s="961"/>
      <c r="I67" s="962"/>
      <c r="J67" s="963"/>
      <c r="K67" s="963">
        <v>25</v>
      </c>
      <c r="L67" s="961">
        <v>0</v>
      </c>
      <c r="M67" s="964" t="s">
        <v>431</v>
      </c>
      <c r="N67" s="965"/>
      <c r="O67" s="966"/>
      <c r="P67" s="957"/>
      <c r="Q67" s="957"/>
      <c r="R67" s="94"/>
      <c r="S67" s="94"/>
      <c r="T67" s="94"/>
      <c r="U67" s="94"/>
      <c r="V67" s="94"/>
      <c r="W67" s="94"/>
      <c r="X67" s="94"/>
      <c r="Y67" s="94"/>
      <c r="Z67" s="94"/>
      <c r="AA67" s="24"/>
      <c r="AB67" s="24"/>
      <c r="AC67" s="24"/>
      <c r="AD67" s="24"/>
      <c r="AE67" s="24"/>
      <c r="AF67" s="24"/>
      <c r="AG67" s="24"/>
      <c r="AH67" s="24"/>
    </row>
    <row r="68" spans="1:34">
      <c r="A68" s="956"/>
      <c r="B68" s="957">
        <v>47</v>
      </c>
      <c r="C68" s="958" t="s">
        <v>460</v>
      </c>
      <c r="D68" s="957">
        <v>0</v>
      </c>
      <c r="E68" s="957">
        <v>10.050000000000001</v>
      </c>
      <c r="F68" s="959">
        <v>10.93</v>
      </c>
      <c r="G68" s="960"/>
      <c r="H68" s="961"/>
      <c r="I68" s="962"/>
      <c r="J68" s="963"/>
      <c r="K68" s="963">
        <v>25</v>
      </c>
      <c r="L68" s="961">
        <v>0</v>
      </c>
      <c r="M68" s="964" t="s">
        <v>459</v>
      </c>
      <c r="N68" s="965"/>
      <c r="O68" s="966"/>
      <c r="P68" s="957"/>
      <c r="Q68" s="957"/>
      <c r="R68" s="94"/>
      <c r="S68" s="94"/>
      <c r="T68" s="94"/>
      <c r="U68" s="94"/>
      <c r="V68" s="94"/>
      <c r="W68" s="94"/>
      <c r="X68" s="94"/>
      <c r="Y68" s="94"/>
      <c r="Z68" s="94"/>
      <c r="AA68" s="24"/>
      <c r="AB68" s="24"/>
      <c r="AC68" s="24"/>
      <c r="AD68" s="24"/>
      <c r="AE68" s="24"/>
      <c r="AF68" s="24"/>
      <c r="AG68" s="24"/>
      <c r="AH68" s="24"/>
    </row>
    <row r="69" spans="1:34">
      <c r="A69" s="956"/>
      <c r="B69" s="957">
        <v>48</v>
      </c>
      <c r="C69" s="958" t="s">
        <v>159</v>
      </c>
      <c r="D69" s="957">
        <v>-2</v>
      </c>
      <c r="E69" s="957">
        <v>6.3520000000000003</v>
      </c>
      <c r="F69" s="959">
        <v>10.329000000000001</v>
      </c>
      <c r="G69" s="960"/>
      <c r="H69" s="961"/>
      <c r="I69" s="962"/>
      <c r="J69" s="963"/>
      <c r="K69" s="963">
        <v>25</v>
      </c>
      <c r="L69" s="961">
        <v>0</v>
      </c>
      <c r="M69" s="964" t="s">
        <v>328</v>
      </c>
      <c r="N69" s="965"/>
      <c r="O69" s="966"/>
      <c r="P69" s="957"/>
      <c r="Q69" s="957"/>
      <c r="R69" s="94"/>
      <c r="S69" s="94"/>
      <c r="T69" s="94"/>
      <c r="U69" s="94"/>
      <c r="V69" s="94"/>
      <c r="W69" s="94"/>
      <c r="X69" s="94"/>
      <c r="Y69" s="94"/>
      <c r="Z69" s="94"/>
      <c r="AA69" s="24"/>
      <c r="AB69" s="24"/>
      <c r="AC69" s="24"/>
      <c r="AD69" s="24"/>
      <c r="AE69" s="24"/>
      <c r="AF69" s="24"/>
      <c r="AG69" s="24"/>
      <c r="AH69" s="24"/>
    </row>
    <row r="70" spans="1:34">
      <c r="A70" s="956"/>
      <c r="B70" s="957">
        <v>49</v>
      </c>
      <c r="C70" s="958" t="s">
        <v>160</v>
      </c>
      <c r="D70" s="957">
        <v>-2</v>
      </c>
      <c r="E70" s="957">
        <v>9.4</v>
      </c>
      <c r="F70" s="959">
        <v>12.8</v>
      </c>
      <c r="G70" s="960"/>
      <c r="H70" s="961"/>
      <c r="I70" s="962"/>
      <c r="J70" s="963"/>
      <c r="K70" s="963">
        <v>25</v>
      </c>
      <c r="L70" s="961">
        <v>0</v>
      </c>
      <c r="M70" s="964" t="s">
        <v>161</v>
      </c>
      <c r="N70" s="965">
        <v>110.1</v>
      </c>
      <c r="O70" s="966"/>
      <c r="P70" s="957"/>
      <c r="Q70" s="957"/>
      <c r="R70" s="94"/>
      <c r="S70" s="94"/>
      <c r="T70" s="94"/>
      <c r="U70" s="94"/>
      <c r="V70" s="94"/>
      <c r="W70" s="94"/>
      <c r="X70" s="94"/>
      <c r="Y70" s="94"/>
      <c r="Z70" s="94"/>
      <c r="AA70" s="24"/>
      <c r="AB70" s="24"/>
      <c r="AC70" s="24"/>
      <c r="AD70" s="24"/>
      <c r="AE70" s="24"/>
      <c r="AF70" s="24"/>
      <c r="AG70" s="24"/>
      <c r="AH70" s="24"/>
    </row>
    <row r="71" spans="1:34">
      <c r="A71" s="956"/>
      <c r="B71" s="957">
        <v>50</v>
      </c>
      <c r="C71" s="958" t="s">
        <v>162</v>
      </c>
      <c r="D71" s="957">
        <v>-1</v>
      </c>
      <c r="E71" s="957">
        <v>2.8650000000000002</v>
      </c>
      <c r="F71" s="959"/>
      <c r="G71" s="960"/>
      <c r="H71" s="961"/>
      <c r="I71" s="962"/>
      <c r="J71" s="963"/>
      <c r="K71" s="963">
        <v>25</v>
      </c>
      <c r="L71" s="961">
        <v>0</v>
      </c>
      <c r="M71" s="964" t="s">
        <v>163</v>
      </c>
      <c r="N71" s="965"/>
      <c r="O71" s="966"/>
      <c r="P71" s="957"/>
      <c r="Q71" s="957"/>
      <c r="R71" s="94"/>
      <c r="S71" s="94"/>
      <c r="T71" s="94"/>
      <c r="U71" s="94"/>
      <c r="V71" s="94"/>
      <c r="W71" s="94"/>
      <c r="X71" s="94"/>
      <c r="Y71" s="94"/>
      <c r="Z71" s="94"/>
      <c r="AA71" s="24"/>
      <c r="AB71" s="24"/>
      <c r="AC71" s="24"/>
      <c r="AD71" s="24"/>
      <c r="AE71" s="24"/>
      <c r="AF71" s="24"/>
      <c r="AG71" s="24"/>
      <c r="AH71" s="24"/>
    </row>
    <row r="72" spans="1:34">
      <c r="A72" s="956"/>
      <c r="B72" s="957">
        <v>51</v>
      </c>
      <c r="C72" s="958" t="s">
        <v>476</v>
      </c>
      <c r="D72" s="957">
        <v>0</v>
      </c>
      <c r="E72" s="957">
        <v>2.65</v>
      </c>
      <c r="F72" s="959"/>
      <c r="G72" s="960"/>
      <c r="H72" s="961"/>
      <c r="I72" s="962"/>
      <c r="J72" s="963"/>
      <c r="K72" s="963">
        <v>25</v>
      </c>
      <c r="L72" s="961">
        <v>0</v>
      </c>
      <c r="M72" s="964" t="s">
        <v>475</v>
      </c>
      <c r="N72" s="965"/>
      <c r="O72" s="966"/>
      <c r="P72" s="957"/>
      <c r="Q72" s="957"/>
      <c r="R72" s="94"/>
      <c r="S72" s="94"/>
      <c r="T72" s="94"/>
      <c r="U72" s="94"/>
      <c r="V72" s="94"/>
      <c r="W72" s="94"/>
      <c r="X72" s="94"/>
      <c r="Y72" s="94"/>
      <c r="Z72" s="94"/>
      <c r="AA72" s="24"/>
      <c r="AB72" s="24"/>
      <c r="AC72" s="24"/>
      <c r="AD72" s="24"/>
      <c r="AE72" s="24"/>
      <c r="AF72" s="24"/>
      <c r="AG72" s="24"/>
      <c r="AH72" s="24"/>
    </row>
    <row r="73" spans="1:34">
      <c r="A73" s="956"/>
      <c r="B73" s="957">
        <v>52</v>
      </c>
      <c r="C73" s="958" t="s">
        <v>477</v>
      </c>
      <c r="D73" s="957">
        <v>0</v>
      </c>
      <c r="E73" s="957">
        <v>3.46</v>
      </c>
      <c r="F73" s="959"/>
      <c r="G73" s="960"/>
      <c r="H73" s="961"/>
      <c r="I73" s="962"/>
      <c r="J73" s="963"/>
      <c r="K73" s="963">
        <v>25</v>
      </c>
      <c r="L73" s="961">
        <v>0</v>
      </c>
      <c r="M73" s="964" t="s">
        <v>475</v>
      </c>
      <c r="N73" s="965"/>
      <c r="O73" s="966"/>
      <c r="P73" s="957"/>
      <c r="Q73" s="957"/>
      <c r="R73" s="94"/>
      <c r="S73" s="94"/>
      <c r="T73" s="94"/>
      <c r="U73" s="94"/>
      <c r="V73" s="94"/>
      <c r="W73" s="94"/>
      <c r="X73" s="94"/>
      <c r="Y73" s="94"/>
      <c r="Z73" s="94"/>
      <c r="AA73" s="24"/>
      <c r="AB73" s="24"/>
      <c r="AC73" s="24"/>
      <c r="AD73" s="24"/>
      <c r="AE73" s="24"/>
      <c r="AF73" s="24"/>
      <c r="AG73" s="24"/>
      <c r="AH73" s="24"/>
    </row>
    <row r="74" spans="1:34">
      <c r="A74" s="956"/>
      <c r="B74" s="957">
        <v>53</v>
      </c>
      <c r="C74" s="958" t="s">
        <v>478</v>
      </c>
      <c r="D74" s="957">
        <v>0</v>
      </c>
      <c r="E74" s="957">
        <v>4.1500000000000004</v>
      </c>
      <c r="F74" s="959"/>
      <c r="G74" s="960"/>
      <c r="H74" s="961"/>
      <c r="I74" s="962"/>
      <c r="J74" s="963"/>
      <c r="K74" s="963">
        <v>25</v>
      </c>
      <c r="L74" s="961">
        <v>0</v>
      </c>
      <c r="M74" s="964" t="s">
        <v>475</v>
      </c>
      <c r="N74" s="965"/>
      <c r="O74" s="966"/>
      <c r="P74" s="957"/>
      <c r="Q74" s="957"/>
      <c r="R74" s="94"/>
      <c r="S74" s="94"/>
      <c r="T74" s="94"/>
      <c r="U74" s="94"/>
      <c r="V74" s="94"/>
      <c r="W74" s="94"/>
      <c r="X74" s="94"/>
      <c r="Y74" s="94"/>
      <c r="Z74" s="94"/>
      <c r="AA74" s="24"/>
      <c r="AB74" s="24"/>
      <c r="AC74" s="24"/>
      <c r="AD74" s="24"/>
      <c r="AE74" s="24"/>
      <c r="AF74" s="24"/>
      <c r="AG74" s="24"/>
      <c r="AH74" s="24"/>
    </row>
    <row r="75" spans="1:34">
      <c r="A75" s="956"/>
      <c r="B75" s="957">
        <v>54</v>
      </c>
      <c r="C75" s="958" t="s">
        <v>64</v>
      </c>
      <c r="D75" s="957">
        <v>-1</v>
      </c>
      <c r="E75" s="957">
        <v>2.92</v>
      </c>
      <c r="F75" s="959"/>
      <c r="G75" s="960"/>
      <c r="H75" s="961"/>
      <c r="I75" s="962"/>
      <c r="J75" s="963"/>
      <c r="K75" s="963">
        <v>25</v>
      </c>
      <c r="L75" s="961">
        <v>0</v>
      </c>
      <c r="M75" s="964" t="s">
        <v>63</v>
      </c>
      <c r="N75" s="965"/>
      <c r="O75" s="966"/>
      <c r="P75" s="957"/>
      <c r="Q75" s="957"/>
      <c r="R75" s="94"/>
      <c r="S75" s="94"/>
      <c r="T75" s="94"/>
      <c r="U75" s="94"/>
      <c r="V75" s="94"/>
      <c r="W75" s="94"/>
      <c r="X75" s="94"/>
      <c r="Y75" s="94"/>
      <c r="Z75" s="94"/>
      <c r="AA75" s="24"/>
      <c r="AB75" s="24"/>
      <c r="AC75" s="24"/>
      <c r="AD75" s="24"/>
      <c r="AE75" s="24"/>
      <c r="AF75" s="24"/>
      <c r="AG75" s="24"/>
      <c r="AH75" s="24"/>
    </row>
    <row r="76" spans="1:34">
      <c r="A76" s="956"/>
      <c r="B76" s="957">
        <v>55</v>
      </c>
      <c r="C76" s="958" t="s">
        <v>65</v>
      </c>
      <c r="D76" s="957">
        <v>-1</v>
      </c>
      <c r="E76" s="957">
        <v>3.82</v>
      </c>
      <c r="F76" s="959"/>
      <c r="G76" s="960"/>
      <c r="H76" s="961"/>
      <c r="I76" s="962"/>
      <c r="J76" s="963"/>
      <c r="K76" s="963">
        <v>25</v>
      </c>
      <c r="L76" s="961">
        <v>0</v>
      </c>
      <c r="M76" s="964" t="s">
        <v>63</v>
      </c>
      <c r="N76" s="965"/>
      <c r="O76" s="966"/>
      <c r="P76" s="957"/>
      <c r="Q76" s="957"/>
      <c r="R76" s="94"/>
      <c r="S76" s="94"/>
      <c r="T76" s="94"/>
      <c r="U76" s="94"/>
      <c r="V76" s="94"/>
      <c r="W76" s="94"/>
      <c r="X76" s="94"/>
      <c r="Y76" s="94"/>
      <c r="Z76" s="94"/>
      <c r="AA76" s="24"/>
      <c r="AB76" s="24"/>
      <c r="AC76" s="24"/>
      <c r="AD76" s="24"/>
      <c r="AE76" s="24"/>
      <c r="AF76" s="24"/>
      <c r="AG76" s="24"/>
      <c r="AH76" s="24"/>
    </row>
    <row r="77" spans="1:34">
      <c r="A77" s="956"/>
      <c r="B77" s="957">
        <v>56</v>
      </c>
      <c r="C77" s="958" t="s">
        <v>66</v>
      </c>
      <c r="D77" s="957">
        <v>-1</v>
      </c>
      <c r="E77" s="957">
        <v>3.98</v>
      </c>
      <c r="F77" s="959"/>
      <c r="G77" s="960"/>
      <c r="H77" s="961"/>
      <c r="I77" s="962"/>
      <c r="J77" s="963"/>
      <c r="K77" s="963">
        <v>25</v>
      </c>
      <c r="L77" s="961">
        <v>0</v>
      </c>
      <c r="M77" s="964" t="s">
        <v>63</v>
      </c>
      <c r="N77" s="965"/>
      <c r="O77" s="966"/>
      <c r="P77" s="957"/>
      <c r="Q77" s="957"/>
      <c r="R77" s="94"/>
      <c r="S77" s="94"/>
      <c r="T77" s="94"/>
      <c r="U77" s="94"/>
      <c r="V77" s="94"/>
      <c r="W77" s="94"/>
      <c r="X77" s="94"/>
      <c r="Y77" s="94"/>
      <c r="Z77" s="94"/>
      <c r="AA77" s="24"/>
      <c r="AB77" s="24"/>
      <c r="AC77" s="24"/>
      <c r="AD77" s="24"/>
      <c r="AE77" s="24"/>
      <c r="AF77" s="24"/>
      <c r="AG77" s="24"/>
      <c r="AH77" s="24"/>
    </row>
    <row r="78" spans="1:34">
      <c r="A78" s="956"/>
      <c r="B78" s="957">
        <v>57</v>
      </c>
      <c r="C78" s="958" t="s">
        <v>467</v>
      </c>
      <c r="D78" s="957">
        <v>-1</v>
      </c>
      <c r="E78" s="957">
        <v>8.85</v>
      </c>
      <c r="F78" s="959"/>
      <c r="G78" s="960"/>
      <c r="H78" s="961"/>
      <c r="I78" s="962"/>
      <c r="J78" s="963"/>
      <c r="K78" s="963">
        <v>25</v>
      </c>
      <c r="L78" s="961">
        <v>0</v>
      </c>
      <c r="M78" s="964" t="s">
        <v>465</v>
      </c>
      <c r="N78" s="965"/>
      <c r="O78" s="966"/>
      <c r="P78" s="957"/>
      <c r="Q78" s="957"/>
      <c r="R78" s="94"/>
      <c r="S78" s="94"/>
      <c r="T78" s="94"/>
      <c r="U78" s="94"/>
      <c r="V78" s="94"/>
      <c r="W78" s="94"/>
      <c r="X78" s="94"/>
      <c r="Y78" s="94"/>
      <c r="Z78" s="94"/>
      <c r="AA78" s="24"/>
      <c r="AB78" s="24"/>
      <c r="AC78" s="24"/>
      <c r="AD78" s="24"/>
      <c r="AE78" s="24"/>
      <c r="AF78" s="24"/>
      <c r="AG78" s="24"/>
      <c r="AH78" s="24"/>
    </row>
    <row r="79" spans="1:34">
      <c r="A79" s="956"/>
      <c r="B79" s="957">
        <v>58</v>
      </c>
      <c r="C79" s="958" t="s">
        <v>468</v>
      </c>
      <c r="D79" s="957">
        <v>-1</v>
      </c>
      <c r="E79" s="957">
        <v>9.18</v>
      </c>
      <c r="F79" s="959"/>
      <c r="G79" s="960"/>
      <c r="H79" s="961"/>
      <c r="I79" s="962"/>
      <c r="J79" s="963"/>
      <c r="K79" s="963">
        <v>25</v>
      </c>
      <c r="L79" s="961">
        <v>0</v>
      </c>
      <c r="M79" s="964" t="s">
        <v>465</v>
      </c>
      <c r="N79" s="965"/>
      <c r="O79" s="966"/>
      <c r="P79" s="957"/>
      <c r="Q79" s="957"/>
      <c r="R79" s="94"/>
      <c r="S79" s="94"/>
      <c r="T79" s="94"/>
      <c r="U79" s="94"/>
      <c r="V79" s="94"/>
      <c r="W79" s="94"/>
      <c r="X79" s="94"/>
      <c r="Y79" s="94"/>
      <c r="Z79" s="94"/>
      <c r="AA79" s="24"/>
      <c r="AB79" s="24"/>
      <c r="AC79" s="24"/>
      <c r="AD79" s="24"/>
      <c r="AE79" s="24"/>
      <c r="AF79" s="24"/>
      <c r="AG79" s="24"/>
      <c r="AH79" s="24"/>
    </row>
    <row r="80" spans="1:34">
      <c r="A80" s="956"/>
      <c r="B80" s="957">
        <v>59</v>
      </c>
      <c r="C80" s="958" t="s">
        <v>466</v>
      </c>
      <c r="D80" s="957">
        <v>-1</v>
      </c>
      <c r="E80" s="957">
        <v>8.49</v>
      </c>
      <c r="F80" s="959"/>
      <c r="G80" s="960"/>
      <c r="H80" s="961"/>
      <c r="I80" s="962"/>
      <c r="J80" s="963"/>
      <c r="K80" s="963">
        <v>25</v>
      </c>
      <c r="L80" s="961">
        <v>0</v>
      </c>
      <c r="M80" s="964" t="s">
        <v>465</v>
      </c>
      <c r="N80" s="965"/>
      <c r="O80" s="966"/>
      <c r="P80" s="957"/>
      <c r="Q80" s="957"/>
      <c r="R80" s="94"/>
      <c r="S80" s="94"/>
      <c r="T80" s="94"/>
      <c r="U80" s="94"/>
      <c r="V80" s="94"/>
      <c r="W80" s="94"/>
      <c r="X80" s="94"/>
      <c r="Y80" s="94"/>
      <c r="Z80" s="94"/>
      <c r="AA80" s="24"/>
      <c r="AB80" s="24"/>
      <c r="AC80" s="24"/>
      <c r="AD80" s="24"/>
      <c r="AE80" s="24"/>
      <c r="AF80" s="24"/>
      <c r="AG80" s="24"/>
      <c r="AH80" s="24"/>
    </row>
    <row r="81" spans="1:34">
      <c r="A81" s="956"/>
      <c r="B81" s="957">
        <v>60</v>
      </c>
      <c r="C81" s="958" t="s">
        <v>458</v>
      </c>
      <c r="D81" s="957">
        <v>0</v>
      </c>
      <c r="E81" s="957">
        <v>13.9</v>
      </c>
      <c r="F81" s="959"/>
      <c r="G81" s="960"/>
      <c r="H81" s="961"/>
      <c r="I81" s="962"/>
      <c r="J81" s="963"/>
      <c r="K81" s="963">
        <v>25</v>
      </c>
      <c r="L81" s="961">
        <v>0</v>
      </c>
      <c r="M81" s="964" t="s">
        <v>457</v>
      </c>
      <c r="N81" s="965"/>
      <c r="O81" s="966"/>
      <c r="P81" s="957"/>
      <c r="Q81" s="957"/>
      <c r="R81" s="94"/>
      <c r="S81" s="94"/>
      <c r="T81" s="94"/>
      <c r="U81" s="94"/>
      <c r="V81" s="94"/>
      <c r="W81" s="94"/>
      <c r="X81" s="94"/>
      <c r="Y81" s="94"/>
      <c r="Z81" s="94"/>
      <c r="AA81" s="24"/>
      <c r="AB81" s="24"/>
      <c r="AC81" s="24"/>
      <c r="AD81" s="24"/>
      <c r="AE81" s="24"/>
      <c r="AF81" s="24"/>
      <c r="AG81" s="24"/>
      <c r="AH81" s="24"/>
    </row>
    <row r="82" spans="1:34">
      <c r="A82" s="956"/>
      <c r="B82" s="957">
        <v>61</v>
      </c>
      <c r="C82" s="958" t="s">
        <v>164</v>
      </c>
      <c r="D82" s="957">
        <v>-2</v>
      </c>
      <c r="E82" s="967">
        <v>-0.2</v>
      </c>
      <c r="F82" s="959">
        <v>6.51</v>
      </c>
      <c r="G82" s="960"/>
      <c r="H82" s="961"/>
      <c r="I82" s="962"/>
      <c r="J82" s="963"/>
      <c r="K82" s="963">
        <v>20</v>
      </c>
      <c r="L82" s="961">
        <v>0</v>
      </c>
      <c r="M82" s="964" t="s">
        <v>165</v>
      </c>
      <c r="N82" s="965"/>
      <c r="O82" s="966"/>
      <c r="P82" s="957"/>
      <c r="Q82" s="957"/>
      <c r="R82" s="94"/>
      <c r="S82" s="94"/>
      <c r="T82" s="94"/>
      <c r="U82" s="94"/>
      <c r="V82" s="94"/>
      <c r="W82" s="94"/>
      <c r="X82" s="94"/>
      <c r="Y82" s="94"/>
      <c r="Z82" s="94"/>
      <c r="AA82" s="24"/>
      <c r="AB82" s="24"/>
      <c r="AC82" s="24"/>
      <c r="AD82" s="24"/>
      <c r="AE82" s="24"/>
      <c r="AF82" s="24"/>
      <c r="AG82" s="24"/>
      <c r="AH82" s="24"/>
    </row>
    <row r="83" spans="1:34">
      <c r="A83" s="956"/>
      <c r="B83" s="957">
        <v>62</v>
      </c>
      <c r="C83" s="958" t="s">
        <v>134</v>
      </c>
      <c r="D83" s="957">
        <v>-3</v>
      </c>
      <c r="E83" s="957">
        <v>3.1280000000000001</v>
      </c>
      <c r="F83" s="959">
        <v>4.7610000000000001</v>
      </c>
      <c r="G83" s="960">
        <v>6.3959999999999999</v>
      </c>
      <c r="H83" s="961"/>
      <c r="I83" s="962"/>
      <c r="J83" s="963"/>
      <c r="K83" s="963">
        <v>25</v>
      </c>
      <c r="L83" s="961">
        <v>0</v>
      </c>
      <c r="M83" s="964" t="s">
        <v>352</v>
      </c>
      <c r="N83" s="965"/>
      <c r="O83" s="966"/>
      <c r="P83" s="957"/>
      <c r="Q83" s="957"/>
      <c r="R83" s="94"/>
      <c r="S83" s="94"/>
      <c r="T83" s="94"/>
      <c r="U83" s="94"/>
      <c r="V83" s="94"/>
      <c r="W83" s="94"/>
      <c r="X83" s="94"/>
      <c r="Y83" s="94"/>
      <c r="Z83" s="94"/>
      <c r="AA83" s="24"/>
      <c r="AB83" s="24"/>
      <c r="AC83" s="24"/>
      <c r="AD83" s="24"/>
      <c r="AE83" s="24"/>
      <c r="AF83" s="24"/>
      <c r="AG83" s="24"/>
      <c r="AH83" s="24"/>
    </row>
    <row r="84" spans="1:34">
      <c r="A84" s="956"/>
      <c r="B84" s="957">
        <v>63</v>
      </c>
      <c r="C84" s="958" t="s">
        <v>296</v>
      </c>
      <c r="D84" s="957">
        <v>0</v>
      </c>
      <c r="E84" s="957">
        <v>8.2100000000000009</v>
      </c>
      <c r="F84" s="959"/>
      <c r="G84" s="960"/>
      <c r="H84" s="961"/>
      <c r="I84" s="962"/>
      <c r="J84" s="963"/>
      <c r="K84" s="963">
        <v>25</v>
      </c>
      <c r="L84" s="961">
        <v>0</v>
      </c>
      <c r="M84" s="964" t="s">
        <v>295</v>
      </c>
      <c r="N84" s="965"/>
      <c r="O84" s="966"/>
      <c r="P84" s="957"/>
      <c r="Q84" s="957"/>
      <c r="R84" s="94"/>
      <c r="S84" s="94"/>
      <c r="T84" s="94"/>
      <c r="U84" s="94"/>
      <c r="V84" s="94"/>
      <c r="W84" s="94"/>
      <c r="X84" s="94"/>
      <c r="Y84" s="94"/>
      <c r="Z84" s="94"/>
      <c r="AA84" s="24"/>
      <c r="AB84" s="24"/>
      <c r="AC84" s="24"/>
      <c r="AD84" s="24"/>
      <c r="AE84" s="24"/>
      <c r="AF84" s="24"/>
      <c r="AG84" s="24"/>
      <c r="AH84" s="24"/>
    </row>
    <row r="85" spans="1:34">
      <c r="A85" s="956"/>
      <c r="B85" s="957">
        <v>64</v>
      </c>
      <c r="C85" s="958" t="s">
        <v>417</v>
      </c>
      <c r="D85" s="957">
        <v>0</v>
      </c>
      <c r="E85" s="957">
        <v>4.83</v>
      </c>
      <c r="F85" s="959">
        <v>9.1999999999999993</v>
      </c>
      <c r="G85" s="960"/>
      <c r="H85" s="961"/>
      <c r="I85" s="962"/>
      <c r="J85" s="963"/>
      <c r="K85" s="963">
        <v>25</v>
      </c>
      <c r="L85" s="961">
        <v>0</v>
      </c>
      <c r="M85" s="964" t="s">
        <v>416</v>
      </c>
      <c r="N85" s="965"/>
      <c r="O85" s="966"/>
      <c r="P85" s="957"/>
      <c r="Q85" s="957"/>
      <c r="R85" s="94"/>
      <c r="S85" s="94"/>
      <c r="T85" s="94"/>
      <c r="U85" s="94"/>
      <c r="V85" s="94"/>
      <c r="W85" s="94"/>
      <c r="X85" s="94"/>
      <c r="Y85" s="94"/>
      <c r="Z85" s="94"/>
      <c r="AA85" s="24"/>
      <c r="AB85" s="24"/>
      <c r="AC85" s="24"/>
      <c r="AD85" s="24"/>
      <c r="AE85" s="24"/>
      <c r="AF85" s="24"/>
      <c r="AG85" s="24"/>
      <c r="AH85" s="24"/>
    </row>
    <row r="86" spans="1:34">
      <c r="A86" s="956"/>
      <c r="B86" s="957">
        <v>65</v>
      </c>
      <c r="C86" s="958" t="s">
        <v>82</v>
      </c>
      <c r="D86" s="957">
        <v>-1</v>
      </c>
      <c r="E86" s="957">
        <v>10.01</v>
      </c>
      <c r="F86" s="959"/>
      <c r="G86" s="960"/>
      <c r="H86" s="961"/>
      <c r="I86" s="962"/>
      <c r="J86" s="963"/>
      <c r="K86" s="963">
        <v>25</v>
      </c>
      <c r="L86" s="961">
        <v>0</v>
      </c>
      <c r="M86" s="964" t="s">
        <v>81</v>
      </c>
      <c r="N86" s="965"/>
      <c r="O86" s="966"/>
      <c r="P86" s="957"/>
      <c r="Q86" s="957"/>
      <c r="R86" s="94"/>
      <c r="S86" s="94"/>
      <c r="T86" s="94"/>
      <c r="U86" s="94"/>
      <c r="V86" s="94"/>
      <c r="W86" s="94"/>
      <c r="X86" s="94"/>
      <c r="Y86" s="94"/>
      <c r="Z86" s="94"/>
      <c r="AA86" s="24"/>
      <c r="AB86" s="24"/>
      <c r="AC86" s="24"/>
      <c r="AD86" s="24"/>
      <c r="AE86" s="24"/>
      <c r="AF86" s="24"/>
      <c r="AG86" s="24"/>
      <c r="AH86" s="24"/>
    </row>
    <row r="87" spans="1:34">
      <c r="A87" s="956"/>
      <c r="B87" s="957">
        <v>66</v>
      </c>
      <c r="C87" s="958" t="s">
        <v>166</v>
      </c>
      <c r="D87" s="957">
        <v>-1</v>
      </c>
      <c r="E87" s="957">
        <v>10.199999999999999</v>
      </c>
      <c r="F87" s="959"/>
      <c r="G87" s="960"/>
      <c r="H87" s="961"/>
      <c r="I87" s="962"/>
      <c r="J87" s="963"/>
      <c r="K87" s="963">
        <v>25</v>
      </c>
      <c r="L87" s="961">
        <v>0</v>
      </c>
      <c r="M87" s="964" t="s">
        <v>81</v>
      </c>
      <c r="N87" s="965"/>
      <c r="O87" s="966"/>
      <c r="P87" s="957"/>
      <c r="Q87" s="957"/>
      <c r="R87" s="94"/>
      <c r="S87" s="94"/>
      <c r="T87" s="94"/>
      <c r="U87" s="94"/>
      <c r="V87" s="94"/>
      <c r="W87" s="94"/>
      <c r="X87" s="94"/>
      <c r="Y87" s="94"/>
      <c r="Z87" s="94"/>
      <c r="AA87" s="24"/>
      <c r="AB87" s="24"/>
      <c r="AC87" s="24"/>
      <c r="AD87" s="24"/>
      <c r="AE87" s="24"/>
      <c r="AF87" s="24"/>
      <c r="AG87" s="24"/>
      <c r="AH87" s="24"/>
    </row>
    <row r="88" spans="1:34">
      <c r="A88" s="956"/>
      <c r="B88" s="957">
        <v>67</v>
      </c>
      <c r="C88" s="958" t="s">
        <v>83</v>
      </c>
      <c r="D88" s="957">
        <v>-1</v>
      </c>
      <c r="E88" s="957">
        <v>10.17</v>
      </c>
      <c r="F88" s="959"/>
      <c r="G88" s="960"/>
      <c r="H88" s="961"/>
      <c r="I88" s="962"/>
      <c r="J88" s="963"/>
      <c r="K88" s="963">
        <v>25</v>
      </c>
      <c r="L88" s="961">
        <v>0</v>
      </c>
      <c r="M88" s="964" t="s">
        <v>81</v>
      </c>
      <c r="N88" s="965"/>
      <c r="O88" s="966"/>
      <c r="P88" s="957"/>
      <c r="Q88" s="957"/>
      <c r="R88" s="94"/>
      <c r="S88" s="94"/>
      <c r="T88" s="94"/>
      <c r="U88" s="94"/>
      <c r="V88" s="94"/>
      <c r="W88" s="94"/>
      <c r="X88" s="94"/>
      <c r="Y88" s="94"/>
      <c r="Z88" s="94"/>
      <c r="AA88" s="24"/>
      <c r="AB88" s="24"/>
      <c r="AC88" s="24"/>
      <c r="AD88" s="24"/>
      <c r="AE88" s="24"/>
      <c r="AF88" s="24"/>
      <c r="AG88" s="24"/>
      <c r="AH88" s="24"/>
    </row>
    <row r="89" spans="1:34">
      <c r="A89" s="956"/>
      <c r="B89" s="957">
        <v>68</v>
      </c>
      <c r="C89" s="958" t="s">
        <v>167</v>
      </c>
      <c r="D89" s="957">
        <v>-1</v>
      </c>
      <c r="E89" s="957">
        <v>4.37</v>
      </c>
      <c r="F89" s="959"/>
      <c r="G89" s="960"/>
      <c r="H89" s="961"/>
      <c r="I89" s="962"/>
      <c r="J89" s="963"/>
      <c r="K89" s="963">
        <v>25</v>
      </c>
      <c r="L89" s="948">
        <v>0</v>
      </c>
      <c r="M89" s="964" t="s">
        <v>168</v>
      </c>
      <c r="N89" s="965"/>
      <c r="O89" s="966"/>
      <c r="P89" s="957"/>
      <c r="Q89" s="957"/>
      <c r="R89" s="94"/>
      <c r="S89" s="94"/>
      <c r="T89" s="94"/>
      <c r="U89" s="94"/>
      <c r="V89" s="94"/>
      <c r="W89" s="94"/>
      <c r="X89" s="94"/>
      <c r="Y89" s="94"/>
      <c r="Z89" s="94"/>
      <c r="AA89" s="24"/>
      <c r="AB89" s="24"/>
      <c r="AC89" s="24"/>
      <c r="AD89" s="24"/>
      <c r="AE89" s="24"/>
      <c r="AF89" s="24"/>
      <c r="AG89" s="24"/>
      <c r="AH89" s="24"/>
    </row>
    <row r="90" spans="1:34">
      <c r="A90" s="956"/>
      <c r="B90" s="957">
        <v>69</v>
      </c>
      <c r="C90" s="958" t="s">
        <v>169</v>
      </c>
      <c r="D90" s="957">
        <v>-1</v>
      </c>
      <c r="E90" s="957">
        <v>3.46</v>
      </c>
      <c r="F90" s="959"/>
      <c r="G90" s="960"/>
      <c r="H90" s="961"/>
      <c r="I90" s="962"/>
      <c r="J90" s="963"/>
      <c r="K90" s="963"/>
      <c r="L90" s="961"/>
      <c r="M90" s="964" t="s">
        <v>353</v>
      </c>
      <c r="N90" s="965"/>
      <c r="O90" s="966"/>
      <c r="P90" s="957"/>
      <c r="Q90" s="957"/>
      <c r="R90" s="94"/>
      <c r="S90" s="94"/>
      <c r="T90" s="94"/>
      <c r="U90" s="94"/>
      <c r="V90" s="94"/>
      <c r="W90" s="94"/>
      <c r="X90" s="94"/>
      <c r="Y90" s="94"/>
      <c r="Z90" s="94"/>
      <c r="AA90" s="24"/>
      <c r="AB90" s="24"/>
      <c r="AC90" s="24"/>
      <c r="AD90" s="24"/>
      <c r="AE90" s="24"/>
      <c r="AF90" s="24"/>
      <c r="AG90" s="24"/>
      <c r="AH90" s="24"/>
    </row>
    <row r="91" spans="1:34">
      <c r="A91" s="956"/>
      <c r="B91" s="957">
        <v>70</v>
      </c>
      <c r="C91" s="958" t="s">
        <v>395</v>
      </c>
      <c r="D91" s="957">
        <v>-2</v>
      </c>
      <c r="E91" s="957">
        <v>1.71</v>
      </c>
      <c r="F91" s="959">
        <v>8.36</v>
      </c>
      <c r="G91" s="960">
        <v>10.77</v>
      </c>
      <c r="H91" s="961"/>
      <c r="I91" s="962"/>
      <c r="J91" s="963"/>
      <c r="K91" s="963">
        <v>25</v>
      </c>
      <c r="L91" s="961">
        <v>0</v>
      </c>
      <c r="M91" s="964" t="s">
        <v>394</v>
      </c>
      <c r="N91" s="965"/>
      <c r="O91" s="966"/>
      <c r="P91" s="957"/>
      <c r="Q91" s="957"/>
      <c r="R91" s="94"/>
      <c r="S91" s="94"/>
      <c r="T91" s="94"/>
      <c r="U91" s="94"/>
      <c r="V91" s="94"/>
      <c r="W91" s="94"/>
      <c r="X91" s="94"/>
      <c r="Y91" s="94"/>
      <c r="Z91" s="94"/>
      <c r="AA91" s="24"/>
      <c r="AB91" s="24"/>
      <c r="AC91" s="24"/>
      <c r="AD91" s="24"/>
      <c r="AE91" s="24"/>
      <c r="AF91" s="24"/>
      <c r="AG91" s="24"/>
      <c r="AH91" s="24"/>
    </row>
    <row r="92" spans="1:34">
      <c r="A92" s="956"/>
      <c r="B92" s="957">
        <v>71</v>
      </c>
      <c r="C92" s="958" t="s">
        <v>282</v>
      </c>
      <c r="D92" s="957">
        <v>0</v>
      </c>
      <c r="E92" s="957">
        <v>10.64</v>
      </c>
      <c r="F92" s="959"/>
      <c r="G92" s="960"/>
      <c r="H92" s="961"/>
      <c r="I92" s="962"/>
      <c r="J92" s="963"/>
      <c r="K92" s="963">
        <v>25</v>
      </c>
      <c r="L92" s="961">
        <v>0</v>
      </c>
      <c r="M92" s="964" t="s">
        <v>281</v>
      </c>
      <c r="N92" s="965"/>
      <c r="O92" s="966"/>
      <c r="P92" s="957"/>
      <c r="Q92" s="957"/>
      <c r="R92" s="94"/>
      <c r="S92" s="94"/>
      <c r="T92" s="94"/>
      <c r="U92" s="94"/>
      <c r="V92" s="94"/>
      <c r="W92" s="94"/>
      <c r="X92" s="94"/>
      <c r="Y92" s="94"/>
      <c r="Z92" s="94"/>
      <c r="AA92" s="24"/>
      <c r="AB92" s="24"/>
      <c r="AC92" s="24"/>
      <c r="AD92" s="24"/>
      <c r="AE92" s="24"/>
      <c r="AF92" s="24"/>
      <c r="AG92" s="24"/>
      <c r="AH92" s="24"/>
    </row>
    <row r="93" spans="1:34">
      <c r="A93" s="956"/>
      <c r="B93" s="957">
        <v>72</v>
      </c>
      <c r="C93" s="958" t="s">
        <v>430</v>
      </c>
      <c r="D93" s="957">
        <v>-1</v>
      </c>
      <c r="E93" s="957">
        <v>1.85</v>
      </c>
      <c r="F93" s="959">
        <v>8.24</v>
      </c>
      <c r="G93" s="960">
        <v>10.44</v>
      </c>
      <c r="H93" s="961"/>
      <c r="I93" s="962"/>
      <c r="J93" s="963"/>
      <c r="K93" s="963">
        <v>25</v>
      </c>
      <c r="L93" s="961">
        <v>0</v>
      </c>
      <c r="M93" s="964" t="s">
        <v>429</v>
      </c>
      <c r="N93" s="965"/>
      <c r="O93" s="966"/>
      <c r="P93" s="957"/>
      <c r="Q93" s="957"/>
      <c r="R93" s="94"/>
      <c r="S93" s="94"/>
      <c r="T93" s="94"/>
      <c r="U93" s="94"/>
      <c r="V93" s="94"/>
      <c r="W93" s="94"/>
      <c r="X93" s="94"/>
      <c r="Y93" s="94"/>
      <c r="Z93" s="94"/>
      <c r="AA93" s="24"/>
      <c r="AB93" s="24"/>
      <c r="AC93" s="24"/>
      <c r="AD93" s="24"/>
      <c r="AE93" s="24"/>
      <c r="AF93" s="24"/>
      <c r="AG93" s="24"/>
      <c r="AH93" s="24"/>
    </row>
    <row r="94" spans="1:34">
      <c r="A94" s="956"/>
      <c r="B94" s="957">
        <v>73</v>
      </c>
      <c r="C94" s="958" t="s">
        <v>170</v>
      </c>
      <c r="D94" s="957">
        <v>-1</v>
      </c>
      <c r="E94" s="957">
        <v>1.3</v>
      </c>
      <c r="F94" s="959"/>
      <c r="G94" s="960"/>
      <c r="H94" s="961"/>
      <c r="I94" s="962"/>
      <c r="J94" s="963"/>
      <c r="K94" s="963">
        <v>25</v>
      </c>
      <c r="L94" s="961">
        <v>0</v>
      </c>
      <c r="M94" s="964" t="s">
        <v>171</v>
      </c>
      <c r="N94" s="965"/>
      <c r="O94" s="966"/>
      <c r="P94" s="957"/>
      <c r="Q94" s="957"/>
      <c r="R94" s="94"/>
      <c r="S94" s="94"/>
      <c r="T94" s="94"/>
      <c r="U94" s="94"/>
      <c r="V94" s="94"/>
      <c r="W94" s="94"/>
      <c r="X94" s="94"/>
      <c r="Y94" s="94"/>
      <c r="Z94" s="94"/>
      <c r="AA94" s="24"/>
      <c r="AB94" s="24"/>
      <c r="AC94" s="24"/>
      <c r="AD94" s="24"/>
      <c r="AE94" s="24"/>
      <c r="AF94" s="24"/>
      <c r="AG94" s="24"/>
      <c r="AH94" s="24"/>
    </row>
    <row r="95" spans="1:34">
      <c r="A95" s="956"/>
      <c r="B95" s="957">
        <v>74</v>
      </c>
      <c r="C95" s="958" t="s">
        <v>464</v>
      </c>
      <c r="D95" s="957">
        <v>-1</v>
      </c>
      <c r="E95" s="957">
        <v>7.46</v>
      </c>
      <c r="F95" s="959"/>
      <c r="G95" s="960"/>
      <c r="H95" s="961"/>
      <c r="I95" s="962"/>
      <c r="J95" s="963"/>
      <c r="K95" s="963">
        <v>25</v>
      </c>
      <c r="L95" s="961">
        <v>0</v>
      </c>
      <c r="M95" s="964" t="s">
        <v>463</v>
      </c>
      <c r="N95" s="965"/>
      <c r="O95" s="966"/>
      <c r="P95" s="957"/>
      <c r="Q95" s="957"/>
      <c r="R95" s="94"/>
      <c r="S95" s="94"/>
      <c r="T95" s="94"/>
      <c r="U95" s="94"/>
      <c r="V95" s="94"/>
      <c r="W95" s="94"/>
      <c r="X95" s="94"/>
      <c r="Y95" s="94"/>
      <c r="Z95" s="94"/>
      <c r="AA95" s="24"/>
      <c r="AB95" s="24"/>
      <c r="AC95" s="24"/>
      <c r="AD95" s="24"/>
      <c r="AE95" s="24"/>
      <c r="AF95" s="24"/>
      <c r="AG95" s="24"/>
      <c r="AH95" s="24"/>
    </row>
    <row r="96" spans="1:34">
      <c r="A96" s="956"/>
      <c r="B96" s="957">
        <v>75</v>
      </c>
      <c r="C96" s="958" t="s">
        <v>172</v>
      </c>
      <c r="D96" s="957">
        <v>0</v>
      </c>
      <c r="E96" s="957">
        <v>10.933</v>
      </c>
      <c r="F96" s="959"/>
      <c r="G96" s="960"/>
      <c r="H96" s="961"/>
      <c r="I96" s="962"/>
      <c r="J96" s="963"/>
      <c r="K96" s="963">
        <v>25</v>
      </c>
      <c r="L96" s="961">
        <v>0</v>
      </c>
      <c r="M96" s="964" t="s">
        <v>173</v>
      </c>
      <c r="N96" s="965"/>
      <c r="O96" s="966"/>
      <c r="P96" s="957"/>
      <c r="Q96" s="957"/>
      <c r="R96" s="94"/>
      <c r="S96" s="94"/>
      <c r="T96" s="94"/>
      <c r="U96" s="94"/>
      <c r="V96" s="94"/>
      <c r="W96" s="94"/>
      <c r="X96" s="94"/>
      <c r="Y96" s="94"/>
      <c r="Z96" s="94"/>
      <c r="AA96" s="24"/>
      <c r="AB96" s="24"/>
      <c r="AC96" s="24"/>
      <c r="AD96" s="24"/>
      <c r="AE96" s="24"/>
      <c r="AF96" s="24"/>
      <c r="AG96" s="24"/>
      <c r="AH96" s="24"/>
    </row>
    <row r="97" spans="1:34">
      <c r="A97" s="956"/>
      <c r="B97" s="957">
        <v>76</v>
      </c>
      <c r="C97" s="958" t="s">
        <v>59</v>
      </c>
      <c r="D97" s="957">
        <v>0</v>
      </c>
      <c r="E97" s="957">
        <v>11.05</v>
      </c>
      <c r="F97" s="959"/>
      <c r="G97" s="960"/>
      <c r="H97" s="961"/>
      <c r="I97" s="962"/>
      <c r="J97" s="963"/>
      <c r="K97" s="963">
        <v>25</v>
      </c>
      <c r="L97" s="961">
        <v>0</v>
      </c>
      <c r="M97" s="964" t="s">
        <v>58</v>
      </c>
      <c r="N97" s="965"/>
      <c r="O97" s="966"/>
      <c r="P97" s="957"/>
      <c r="Q97" s="957"/>
      <c r="R97" s="94"/>
      <c r="S97" s="94"/>
      <c r="T97" s="94"/>
      <c r="U97" s="94"/>
      <c r="V97" s="94"/>
      <c r="W97" s="94"/>
      <c r="X97" s="94"/>
      <c r="Y97" s="94"/>
      <c r="Z97" s="94"/>
      <c r="AA97" s="24"/>
      <c r="AB97" s="24"/>
      <c r="AC97" s="24"/>
      <c r="AD97" s="24"/>
      <c r="AE97" s="24"/>
      <c r="AF97" s="24"/>
      <c r="AG97" s="24"/>
      <c r="AH97" s="24"/>
    </row>
    <row r="98" spans="1:34">
      <c r="A98" s="956"/>
      <c r="B98" s="957">
        <v>77</v>
      </c>
      <c r="C98" s="958" t="s">
        <v>174</v>
      </c>
      <c r="D98" s="957">
        <v>0</v>
      </c>
      <c r="E98" s="957">
        <v>10.773999999999999</v>
      </c>
      <c r="F98" s="959"/>
      <c r="G98" s="960"/>
      <c r="H98" s="961"/>
      <c r="I98" s="962"/>
      <c r="J98" s="963"/>
      <c r="K98" s="963">
        <v>25</v>
      </c>
      <c r="L98" s="961">
        <v>0</v>
      </c>
      <c r="M98" s="964" t="s">
        <v>175</v>
      </c>
      <c r="N98" s="965"/>
      <c r="O98" s="966"/>
      <c r="P98" s="957"/>
      <c r="Q98" s="957"/>
      <c r="R98" s="94"/>
      <c r="S98" s="94"/>
      <c r="T98" s="94"/>
      <c r="U98" s="94"/>
      <c r="V98" s="94"/>
      <c r="W98" s="94"/>
      <c r="X98" s="94"/>
      <c r="Y98" s="94"/>
      <c r="Z98" s="94"/>
      <c r="AA98" s="24"/>
      <c r="AB98" s="24"/>
      <c r="AC98" s="24"/>
      <c r="AD98" s="24"/>
      <c r="AE98" s="24"/>
      <c r="AF98" s="24"/>
      <c r="AG98" s="24"/>
      <c r="AH98" s="24"/>
    </row>
    <row r="99" spans="1:34">
      <c r="A99" s="956"/>
      <c r="B99" s="957">
        <v>78</v>
      </c>
      <c r="C99" s="958" t="s">
        <v>690</v>
      </c>
      <c r="D99" s="957">
        <v>-2</v>
      </c>
      <c r="E99" s="957">
        <v>10.66</v>
      </c>
      <c r="F99" s="959">
        <v>12</v>
      </c>
      <c r="G99" s="960"/>
      <c r="H99" s="961"/>
      <c r="I99" s="962"/>
      <c r="J99" s="963"/>
      <c r="K99" s="963">
        <v>25</v>
      </c>
      <c r="L99" s="961">
        <v>0</v>
      </c>
      <c r="M99" s="964" t="s">
        <v>176</v>
      </c>
      <c r="N99" s="965"/>
      <c r="O99" s="966"/>
      <c r="P99" s="957"/>
      <c r="Q99" s="957"/>
      <c r="R99" s="94"/>
      <c r="S99" s="94"/>
      <c r="T99" s="94"/>
      <c r="U99" s="94"/>
      <c r="V99" s="94"/>
      <c r="W99" s="94"/>
      <c r="X99" s="94"/>
      <c r="Y99" s="94"/>
      <c r="Z99" s="94"/>
      <c r="AA99" s="24"/>
      <c r="AB99" s="24"/>
      <c r="AC99" s="24"/>
      <c r="AD99" s="24"/>
      <c r="AE99" s="24"/>
      <c r="AF99" s="24"/>
      <c r="AG99" s="24"/>
      <c r="AH99" s="24"/>
    </row>
    <row r="100" spans="1:34">
      <c r="A100" s="956"/>
      <c r="B100" s="957">
        <v>79</v>
      </c>
      <c r="C100" s="958" t="s">
        <v>556</v>
      </c>
      <c r="D100" s="957">
        <v>0</v>
      </c>
      <c r="E100" s="957">
        <v>6.58</v>
      </c>
      <c r="F100" s="959"/>
      <c r="G100" s="960"/>
      <c r="H100" s="961"/>
      <c r="I100" s="962"/>
      <c r="J100" s="963"/>
      <c r="K100" s="963">
        <v>25</v>
      </c>
      <c r="L100" s="961">
        <v>0</v>
      </c>
      <c r="M100" s="964" t="s">
        <v>84</v>
      </c>
      <c r="N100" s="965"/>
      <c r="O100" s="966"/>
      <c r="P100" s="957"/>
      <c r="Q100" s="957"/>
      <c r="R100" s="94"/>
      <c r="S100" s="94"/>
      <c r="T100" s="94"/>
      <c r="U100" s="94"/>
      <c r="V100" s="94"/>
      <c r="W100" s="94"/>
      <c r="X100" s="94"/>
      <c r="Y100" s="94"/>
      <c r="Z100" s="94"/>
      <c r="AA100" s="24"/>
      <c r="AB100" s="24"/>
      <c r="AC100" s="24"/>
      <c r="AD100" s="24"/>
      <c r="AE100" s="24"/>
      <c r="AF100" s="24"/>
      <c r="AG100" s="24"/>
      <c r="AH100" s="24"/>
    </row>
    <row r="101" spans="1:34">
      <c r="A101" s="956"/>
      <c r="B101" s="957">
        <v>80</v>
      </c>
      <c r="C101" s="958" t="s">
        <v>557</v>
      </c>
      <c r="D101" s="957">
        <v>0</v>
      </c>
      <c r="E101" s="957">
        <v>6.99</v>
      </c>
      <c r="F101" s="959"/>
      <c r="G101" s="960"/>
      <c r="H101" s="961"/>
      <c r="I101" s="962"/>
      <c r="J101" s="963"/>
      <c r="K101" s="963">
        <v>25</v>
      </c>
      <c r="L101" s="961">
        <v>0</v>
      </c>
      <c r="M101" s="964" t="s">
        <v>84</v>
      </c>
      <c r="N101" s="965"/>
      <c r="O101" s="966"/>
      <c r="P101" s="957"/>
      <c r="Q101" s="957"/>
      <c r="R101" s="94"/>
      <c r="S101" s="94"/>
      <c r="T101" s="94"/>
      <c r="U101" s="94"/>
      <c r="V101" s="94"/>
      <c r="W101" s="94"/>
      <c r="X101" s="94"/>
      <c r="Y101" s="94"/>
      <c r="Z101" s="94"/>
      <c r="AA101" s="24"/>
      <c r="AB101" s="24"/>
      <c r="AC101" s="24"/>
      <c r="AD101" s="24"/>
      <c r="AE101" s="24"/>
      <c r="AF101" s="24"/>
      <c r="AG101" s="24"/>
      <c r="AH101" s="24"/>
    </row>
    <row r="102" spans="1:34">
      <c r="A102" s="956"/>
      <c r="B102" s="957">
        <v>81</v>
      </c>
      <c r="C102" s="958" t="s">
        <v>558</v>
      </c>
      <c r="D102" s="957">
        <v>0</v>
      </c>
      <c r="E102" s="957">
        <v>6.4</v>
      </c>
      <c r="F102" s="959"/>
      <c r="G102" s="960"/>
      <c r="H102" s="961"/>
      <c r="I102" s="962"/>
      <c r="J102" s="963"/>
      <c r="K102" s="963">
        <v>25</v>
      </c>
      <c r="L102" s="961">
        <v>0</v>
      </c>
      <c r="M102" s="964" t="s">
        <v>84</v>
      </c>
      <c r="N102" s="965"/>
      <c r="O102" s="966"/>
      <c r="P102" s="957"/>
      <c r="Q102" s="957"/>
      <c r="R102" s="94"/>
      <c r="S102" s="94"/>
      <c r="T102" s="94"/>
      <c r="U102" s="94"/>
      <c r="V102" s="94"/>
      <c r="W102" s="94"/>
      <c r="X102" s="94"/>
      <c r="Y102" s="94"/>
      <c r="Z102" s="94"/>
      <c r="AA102" s="24"/>
      <c r="AB102" s="24"/>
      <c r="AC102" s="24"/>
      <c r="AD102" s="24"/>
      <c r="AE102" s="24"/>
      <c r="AF102" s="24"/>
      <c r="AG102" s="24"/>
      <c r="AH102" s="24"/>
    </row>
    <row r="103" spans="1:34">
      <c r="A103" s="956"/>
      <c r="B103" s="957">
        <v>82</v>
      </c>
      <c r="C103" s="958" t="s">
        <v>559</v>
      </c>
      <c r="D103" s="957">
        <v>0</v>
      </c>
      <c r="E103" s="957">
        <v>6.65</v>
      </c>
      <c r="F103" s="959"/>
      <c r="G103" s="960"/>
      <c r="H103" s="961"/>
      <c r="I103" s="962"/>
      <c r="J103" s="963"/>
      <c r="K103" s="963">
        <v>25</v>
      </c>
      <c r="L103" s="961">
        <v>0</v>
      </c>
      <c r="M103" s="964" t="s">
        <v>84</v>
      </c>
      <c r="N103" s="965"/>
      <c r="O103" s="966"/>
      <c r="P103" s="957"/>
      <c r="Q103" s="957"/>
      <c r="R103" s="94"/>
      <c r="S103" s="94"/>
      <c r="T103" s="94"/>
      <c r="U103" s="94"/>
      <c r="V103" s="94"/>
      <c r="W103" s="94"/>
      <c r="X103" s="94"/>
      <c r="Y103" s="94"/>
      <c r="Z103" s="94"/>
      <c r="AA103" s="24"/>
      <c r="AB103" s="24"/>
      <c r="AC103" s="24"/>
      <c r="AD103" s="24"/>
      <c r="AE103" s="24"/>
      <c r="AF103" s="24"/>
      <c r="AG103" s="24"/>
      <c r="AH103" s="24"/>
    </row>
    <row r="104" spans="1:34">
      <c r="A104" s="956"/>
      <c r="B104" s="957">
        <v>83</v>
      </c>
      <c r="C104" s="958" t="s">
        <v>560</v>
      </c>
      <c r="D104" s="957">
        <v>0</v>
      </c>
      <c r="E104" s="957">
        <v>6.46</v>
      </c>
      <c r="F104" s="959"/>
      <c r="G104" s="960"/>
      <c r="H104" s="961"/>
      <c r="I104" s="962"/>
      <c r="J104" s="963"/>
      <c r="K104" s="963">
        <v>25</v>
      </c>
      <c r="L104" s="961">
        <v>0</v>
      </c>
      <c r="M104" s="964" t="s">
        <v>84</v>
      </c>
      <c r="N104" s="965"/>
      <c r="O104" s="966"/>
      <c r="P104" s="957"/>
      <c r="Q104" s="957"/>
      <c r="R104" s="94"/>
      <c r="S104" s="94"/>
      <c r="T104" s="94"/>
      <c r="U104" s="94"/>
      <c r="V104" s="94"/>
      <c r="W104" s="94"/>
      <c r="X104" s="94"/>
      <c r="Y104" s="94"/>
      <c r="Z104" s="94"/>
      <c r="AA104" s="24"/>
      <c r="AB104" s="24"/>
      <c r="AC104" s="24"/>
      <c r="AD104" s="24"/>
      <c r="AE104" s="24"/>
      <c r="AF104" s="24"/>
      <c r="AG104" s="24"/>
      <c r="AH104" s="24"/>
    </row>
    <row r="105" spans="1:34">
      <c r="A105" s="956"/>
      <c r="B105" s="957">
        <v>84</v>
      </c>
      <c r="C105" s="958" t="s">
        <v>561</v>
      </c>
      <c r="D105" s="957">
        <v>0</v>
      </c>
      <c r="E105" s="957">
        <v>6.15</v>
      </c>
      <c r="F105" s="959"/>
      <c r="G105" s="960"/>
      <c r="H105" s="961"/>
      <c r="I105" s="962"/>
      <c r="J105" s="963"/>
      <c r="K105" s="963">
        <v>25</v>
      </c>
      <c r="L105" s="961">
        <v>0</v>
      </c>
      <c r="M105" s="964" t="s">
        <v>84</v>
      </c>
      <c r="N105" s="965"/>
      <c r="O105" s="966"/>
      <c r="P105" s="957"/>
      <c r="Q105" s="957"/>
      <c r="R105" s="94"/>
      <c r="S105" s="94"/>
      <c r="T105" s="94"/>
      <c r="U105" s="94"/>
      <c r="V105" s="94"/>
      <c r="W105" s="94"/>
      <c r="X105" s="94"/>
      <c r="Y105" s="94"/>
      <c r="Z105" s="94"/>
      <c r="AA105" s="24"/>
      <c r="AB105" s="24"/>
      <c r="AC105" s="24"/>
      <c r="AD105" s="24"/>
      <c r="AE105" s="24"/>
      <c r="AF105" s="24"/>
      <c r="AG105" s="24"/>
      <c r="AH105" s="24"/>
    </row>
    <row r="106" spans="1:34">
      <c r="A106" s="956"/>
      <c r="B106" s="957">
        <v>85</v>
      </c>
      <c r="C106" s="958" t="s">
        <v>70</v>
      </c>
      <c r="D106" s="957">
        <v>-1</v>
      </c>
      <c r="E106" s="957">
        <v>2.8</v>
      </c>
      <c r="F106" s="959"/>
      <c r="G106" s="960"/>
      <c r="H106" s="961"/>
      <c r="I106" s="962"/>
      <c r="J106" s="963"/>
      <c r="K106" s="963">
        <v>25</v>
      </c>
      <c r="L106" s="961">
        <v>0</v>
      </c>
      <c r="M106" s="964" t="s">
        <v>69</v>
      </c>
      <c r="N106" s="965"/>
      <c r="O106" s="966"/>
      <c r="P106" s="957"/>
      <c r="Q106" s="957"/>
      <c r="R106" s="94"/>
      <c r="S106" s="94"/>
      <c r="T106" s="94"/>
      <c r="U106" s="94"/>
      <c r="V106" s="94"/>
      <c r="W106" s="94"/>
      <c r="X106" s="94"/>
      <c r="Y106" s="94"/>
      <c r="Z106" s="94"/>
      <c r="AA106" s="24"/>
      <c r="AB106" s="24"/>
      <c r="AC106" s="24"/>
      <c r="AD106" s="24"/>
      <c r="AE106" s="24"/>
      <c r="AF106" s="24"/>
      <c r="AG106" s="24"/>
      <c r="AH106" s="24"/>
    </row>
    <row r="107" spans="1:34">
      <c r="A107" s="956"/>
      <c r="B107" s="957">
        <v>86</v>
      </c>
      <c r="C107" s="958" t="s">
        <v>292</v>
      </c>
      <c r="D107" s="957">
        <v>0</v>
      </c>
      <c r="E107" s="957">
        <v>0.79</v>
      </c>
      <c r="F107" s="959"/>
      <c r="G107" s="960"/>
      <c r="H107" s="961"/>
      <c r="I107" s="962"/>
      <c r="J107" s="963"/>
      <c r="K107" s="963">
        <v>25</v>
      </c>
      <c r="L107" s="961">
        <v>0</v>
      </c>
      <c r="M107" s="964" t="s">
        <v>290</v>
      </c>
      <c r="N107" s="965"/>
      <c r="O107" s="966"/>
      <c r="P107" s="957"/>
      <c r="Q107" s="957"/>
      <c r="R107" s="94"/>
      <c r="S107" s="94"/>
      <c r="T107" s="94"/>
      <c r="U107" s="94"/>
      <c r="V107" s="94"/>
      <c r="W107" s="94"/>
      <c r="X107" s="94"/>
      <c r="Y107" s="94"/>
      <c r="Z107" s="94"/>
      <c r="AA107" s="24"/>
      <c r="AB107" s="24"/>
      <c r="AC107" s="24"/>
      <c r="AD107" s="24"/>
      <c r="AE107" s="24"/>
      <c r="AF107" s="24"/>
      <c r="AG107" s="24"/>
      <c r="AH107" s="24"/>
    </row>
    <row r="108" spans="1:34">
      <c r="A108" s="956"/>
      <c r="B108" s="957">
        <v>87</v>
      </c>
      <c r="C108" s="958" t="s">
        <v>71</v>
      </c>
      <c r="D108" s="957">
        <v>-2</v>
      </c>
      <c r="E108" s="957">
        <v>2.16</v>
      </c>
      <c r="F108" s="959">
        <v>4.76</v>
      </c>
      <c r="G108" s="960"/>
      <c r="H108" s="961"/>
      <c r="I108" s="962"/>
      <c r="J108" s="963"/>
      <c r="K108" s="963">
        <v>25</v>
      </c>
      <c r="L108" s="961">
        <v>0</v>
      </c>
      <c r="M108" s="964" t="s">
        <v>69</v>
      </c>
      <c r="N108" s="965"/>
      <c r="O108" s="966"/>
      <c r="P108" s="957"/>
      <c r="Q108" s="957"/>
      <c r="R108" s="94"/>
      <c r="S108" s="94"/>
      <c r="T108" s="94"/>
      <c r="U108" s="94"/>
      <c r="V108" s="94"/>
      <c r="W108" s="94"/>
      <c r="X108" s="94"/>
      <c r="Y108" s="94"/>
      <c r="Z108" s="94"/>
      <c r="AA108" s="24"/>
      <c r="AB108" s="24"/>
      <c r="AC108" s="24"/>
      <c r="AD108" s="24"/>
      <c r="AE108" s="24"/>
      <c r="AF108" s="24"/>
      <c r="AG108" s="24"/>
      <c r="AH108" s="24"/>
    </row>
    <row r="109" spans="1:34">
      <c r="A109" s="956"/>
      <c r="B109" s="957">
        <v>88</v>
      </c>
      <c r="C109" s="958" t="s">
        <v>114</v>
      </c>
      <c r="D109" s="957">
        <v>-1</v>
      </c>
      <c r="E109" s="957">
        <v>8.9</v>
      </c>
      <c r="F109" s="959">
        <v>10.6</v>
      </c>
      <c r="G109" s="960"/>
      <c r="H109" s="961"/>
      <c r="I109" s="962"/>
      <c r="J109" s="963"/>
      <c r="K109" s="963">
        <v>25</v>
      </c>
      <c r="L109" s="961">
        <v>0</v>
      </c>
      <c r="M109" s="964" t="s">
        <v>113</v>
      </c>
      <c r="N109" s="965">
        <v>153.18</v>
      </c>
      <c r="O109" s="966"/>
      <c r="P109" s="957"/>
      <c r="Q109" s="957"/>
      <c r="R109" s="94"/>
      <c r="S109" s="94"/>
      <c r="T109" s="94"/>
      <c r="U109" s="94"/>
      <c r="V109" s="94"/>
      <c r="W109" s="94"/>
      <c r="X109" s="94"/>
      <c r="Y109" s="94"/>
      <c r="Z109" s="94"/>
      <c r="AA109" s="24"/>
      <c r="AB109" s="24"/>
      <c r="AC109" s="24"/>
      <c r="AD109" s="24"/>
      <c r="AE109" s="24"/>
      <c r="AF109" s="24"/>
      <c r="AG109" s="24"/>
      <c r="AH109" s="24"/>
    </row>
    <row r="110" spans="1:34">
      <c r="A110" s="956"/>
      <c r="B110" s="957">
        <v>89</v>
      </c>
      <c r="C110" s="958" t="s">
        <v>278</v>
      </c>
      <c r="D110" s="957">
        <v>0</v>
      </c>
      <c r="E110" s="957">
        <v>10.138999999999999</v>
      </c>
      <c r="F110" s="959"/>
      <c r="G110" s="960"/>
      <c r="H110" s="961"/>
      <c r="I110" s="962"/>
      <c r="J110" s="963"/>
      <c r="K110" s="963">
        <v>10</v>
      </c>
      <c r="L110" s="961">
        <v>0</v>
      </c>
      <c r="M110" s="964" t="s">
        <v>277</v>
      </c>
      <c r="N110" s="965">
        <v>165.23</v>
      </c>
      <c r="O110" s="966"/>
      <c r="P110" s="957"/>
      <c r="Q110" s="957"/>
      <c r="R110" s="94"/>
      <c r="S110" s="94"/>
      <c r="T110" s="94"/>
      <c r="U110" s="94"/>
      <c r="V110" s="94"/>
      <c r="W110" s="94"/>
      <c r="X110" s="94"/>
      <c r="Y110" s="94"/>
      <c r="Z110" s="94"/>
      <c r="AA110" s="24"/>
      <c r="AB110" s="24"/>
      <c r="AC110" s="24"/>
      <c r="AD110" s="24"/>
      <c r="AE110" s="24"/>
      <c r="AF110" s="24"/>
      <c r="AG110" s="24"/>
      <c r="AH110" s="24"/>
    </row>
    <row r="111" spans="1:34">
      <c r="A111" s="956"/>
      <c r="B111" s="957">
        <v>90</v>
      </c>
      <c r="C111" s="958" t="s">
        <v>380</v>
      </c>
      <c r="D111" s="957">
        <v>0</v>
      </c>
      <c r="E111" s="957">
        <v>9.5</v>
      </c>
      <c r="F111" s="959"/>
      <c r="G111" s="960"/>
      <c r="H111" s="961"/>
      <c r="I111" s="962"/>
      <c r="J111" s="963"/>
      <c r="K111" s="963">
        <v>25</v>
      </c>
      <c r="L111" s="961">
        <v>0</v>
      </c>
      <c r="M111" s="964" t="s">
        <v>379</v>
      </c>
      <c r="N111" s="965"/>
      <c r="O111" s="966"/>
      <c r="P111" s="957"/>
      <c r="Q111" s="957"/>
      <c r="R111" s="94"/>
      <c r="S111" s="94"/>
      <c r="T111" s="94"/>
      <c r="U111" s="94"/>
      <c r="V111" s="94"/>
      <c r="W111" s="94"/>
      <c r="X111" s="94"/>
      <c r="Y111" s="94"/>
      <c r="Z111" s="94"/>
      <c r="AA111" s="24"/>
      <c r="AB111" s="24"/>
      <c r="AC111" s="24"/>
      <c r="AD111" s="24"/>
      <c r="AE111" s="24"/>
      <c r="AF111" s="24"/>
      <c r="AG111" s="24"/>
      <c r="AH111" s="24"/>
    </row>
    <row r="112" spans="1:34">
      <c r="A112" s="956"/>
      <c r="B112" s="957">
        <v>91</v>
      </c>
      <c r="C112" s="958" t="s">
        <v>177</v>
      </c>
      <c r="D112" s="957">
        <v>0</v>
      </c>
      <c r="E112" s="957">
        <v>10.635999999999999</v>
      </c>
      <c r="F112" s="959"/>
      <c r="G112" s="960"/>
      <c r="H112" s="961"/>
      <c r="I112" s="962"/>
      <c r="J112" s="963"/>
      <c r="K112" s="963">
        <v>25</v>
      </c>
      <c r="L112" s="961">
        <v>0</v>
      </c>
      <c r="M112" s="964" t="s">
        <v>178</v>
      </c>
      <c r="N112" s="965"/>
      <c r="O112" s="966"/>
      <c r="P112" s="957"/>
      <c r="Q112" s="957"/>
      <c r="R112" s="94"/>
      <c r="S112" s="94"/>
      <c r="T112" s="94"/>
      <c r="U112" s="94"/>
      <c r="V112" s="94"/>
      <c r="W112" s="94"/>
      <c r="X112" s="94"/>
      <c r="Y112" s="94"/>
      <c r="Z112" s="94"/>
      <c r="AA112" s="24"/>
      <c r="AB112" s="24"/>
      <c r="AC112" s="24"/>
      <c r="AD112" s="24"/>
      <c r="AE112" s="24"/>
      <c r="AF112" s="24"/>
      <c r="AG112" s="24"/>
      <c r="AH112" s="24"/>
    </row>
    <row r="113" spans="1:34">
      <c r="A113" s="956"/>
      <c r="B113" s="957">
        <v>92</v>
      </c>
      <c r="C113" s="958" t="s">
        <v>179</v>
      </c>
      <c r="D113" s="957">
        <v>0</v>
      </c>
      <c r="E113" s="957">
        <v>6.8479999999999999</v>
      </c>
      <c r="F113" s="959">
        <v>9.9280000000000008</v>
      </c>
      <c r="G113" s="960"/>
      <c r="H113" s="961"/>
      <c r="I113" s="962"/>
      <c r="J113" s="963"/>
      <c r="K113" s="963">
        <v>25</v>
      </c>
      <c r="L113" s="961">
        <v>0</v>
      </c>
      <c r="M113" s="964" t="s">
        <v>180</v>
      </c>
      <c r="N113" s="965"/>
      <c r="O113" s="966"/>
      <c r="P113" s="957"/>
      <c r="Q113" s="957"/>
      <c r="R113" s="94"/>
      <c r="S113" s="94"/>
      <c r="T113" s="94"/>
      <c r="U113" s="94"/>
      <c r="V113" s="94"/>
      <c r="W113" s="94"/>
      <c r="X113" s="94"/>
      <c r="Y113" s="94"/>
      <c r="Z113" s="94"/>
      <c r="AA113" s="24"/>
      <c r="AB113" s="24"/>
      <c r="AC113" s="24"/>
      <c r="AD113" s="24"/>
      <c r="AE113" s="24"/>
      <c r="AF113" s="24"/>
      <c r="AG113" s="24"/>
      <c r="AH113" s="24"/>
    </row>
    <row r="114" spans="1:34">
      <c r="A114" s="956"/>
      <c r="B114" s="957">
        <v>93</v>
      </c>
      <c r="C114" s="958" t="s">
        <v>181</v>
      </c>
      <c r="D114" s="957">
        <v>-4</v>
      </c>
      <c r="E114" s="1125">
        <v>-0.21</v>
      </c>
      <c r="F114" s="1121">
        <v>1.5</v>
      </c>
      <c r="G114" s="1122">
        <v>2.21</v>
      </c>
      <c r="H114" s="1123">
        <v>3.11</v>
      </c>
      <c r="I114" s="1124">
        <v>6.75</v>
      </c>
      <c r="J114" s="1124">
        <v>11.03</v>
      </c>
      <c r="K114" s="1124">
        <v>25</v>
      </c>
      <c r="L114" s="948">
        <v>0</v>
      </c>
      <c r="M114" s="964" t="s">
        <v>144</v>
      </c>
      <c r="N114" s="965"/>
      <c r="O114" s="966"/>
      <c r="P114" s="957"/>
      <c r="Q114" s="957"/>
      <c r="R114" s="94"/>
      <c r="S114" s="94"/>
      <c r="T114" s="94"/>
      <c r="U114" s="94"/>
      <c r="V114" s="94"/>
      <c r="W114" s="94"/>
      <c r="X114" s="94"/>
      <c r="Y114" s="94"/>
      <c r="Z114" s="94"/>
      <c r="AA114" s="24"/>
      <c r="AB114" s="24"/>
      <c r="AC114" s="24"/>
      <c r="AD114" s="24"/>
      <c r="AE114" s="24"/>
      <c r="AF114" s="24"/>
      <c r="AG114" s="24"/>
      <c r="AH114" s="24"/>
    </row>
    <row r="115" spans="1:34">
      <c r="A115" s="956"/>
      <c r="B115" s="957">
        <v>94</v>
      </c>
      <c r="C115" s="958" t="s">
        <v>376</v>
      </c>
      <c r="D115" s="957">
        <v>0</v>
      </c>
      <c r="E115" s="957">
        <v>8.01</v>
      </c>
      <c r="F115" s="959"/>
      <c r="G115" s="960"/>
      <c r="H115" s="961"/>
      <c r="I115" s="962"/>
      <c r="J115" s="963"/>
      <c r="K115" s="963">
        <v>25</v>
      </c>
      <c r="L115" s="961">
        <v>0</v>
      </c>
      <c r="M115" s="964" t="s">
        <v>375</v>
      </c>
      <c r="N115" s="965"/>
      <c r="O115" s="966"/>
      <c r="P115" s="957"/>
      <c r="Q115" s="957"/>
      <c r="R115" s="94"/>
      <c r="S115" s="94"/>
      <c r="T115" s="94"/>
      <c r="U115" s="94"/>
      <c r="V115" s="94"/>
      <c r="W115" s="94"/>
      <c r="X115" s="94"/>
      <c r="Y115" s="94"/>
      <c r="Z115" s="94"/>
      <c r="AA115" s="24"/>
      <c r="AB115" s="24"/>
      <c r="AC115" s="24"/>
      <c r="AD115" s="24"/>
      <c r="AE115" s="24"/>
      <c r="AF115" s="24"/>
      <c r="AG115" s="24"/>
      <c r="AH115" s="24"/>
    </row>
    <row r="116" spans="1:34">
      <c r="A116" s="956"/>
      <c r="B116" s="957">
        <v>95</v>
      </c>
      <c r="C116" s="958" t="s">
        <v>86</v>
      </c>
      <c r="D116" s="957">
        <v>0</v>
      </c>
      <c r="E116" s="957">
        <v>5.89</v>
      </c>
      <c r="F116" s="959"/>
      <c r="G116" s="960"/>
      <c r="H116" s="961"/>
      <c r="I116" s="962"/>
      <c r="J116" s="963"/>
      <c r="K116" s="963">
        <v>25</v>
      </c>
      <c r="L116" s="961">
        <v>0</v>
      </c>
      <c r="M116" s="964" t="s">
        <v>84</v>
      </c>
      <c r="N116" s="965"/>
      <c r="O116" s="966"/>
      <c r="P116" s="957"/>
      <c r="Q116" s="957"/>
      <c r="R116" s="94"/>
      <c r="S116" s="94"/>
      <c r="T116" s="94"/>
      <c r="U116" s="94"/>
      <c r="V116" s="94"/>
      <c r="W116" s="94"/>
      <c r="X116" s="94"/>
      <c r="Y116" s="94"/>
      <c r="Z116" s="94"/>
      <c r="AA116" s="24"/>
      <c r="AB116" s="24"/>
      <c r="AC116" s="24"/>
      <c r="AD116" s="24"/>
      <c r="AE116" s="24"/>
      <c r="AF116" s="24"/>
      <c r="AG116" s="24"/>
      <c r="AH116" s="24"/>
    </row>
    <row r="117" spans="1:34">
      <c r="A117" s="956"/>
      <c r="B117" s="957">
        <v>96</v>
      </c>
      <c r="C117" s="958" t="s">
        <v>367</v>
      </c>
      <c r="D117" s="957">
        <v>-1</v>
      </c>
      <c r="E117" s="957">
        <v>3.7450000000000001</v>
      </c>
      <c r="F117" s="959"/>
      <c r="G117" s="960"/>
      <c r="H117" s="961"/>
      <c r="I117" s="962"/>
      <c r="J117" s="963"/>
      <c r="K117" s="963">
        <v>20</v>
      </c>
      <c r="L117" s="961">
        <v>0</v>
      </c>
      <c r="M117" s="964" t="s">
        <v>182</v>
      </c>
      <c r="N117" s="965"/>
      <c r="O117" s="966"/>
      <c r="P117" s="957"/>
      <c r="Q117" s="957"/>
      <c r="R117" s="94"/>
      <c r="S117" s="94"/>
      <c r="T117" s="94"/>
      <c r="U117" s="94"/>
      <c r="V117" s="94"/>
      <c r="W117" s="94"/>
      <c r="X117" s="94"/>
      <c r="Y117" s="94"/>
      <c r="Z117" s="94"/>
      <c r="AA117" s="24"/>
      <c r="AB117" s="24"/>
      <c r="AC117" s="24"/>
      <c r="AD117" s="24"/>
      <c r="AE117" s="24"/>
      <c r="AF117" s="24"/>
      <c r="AG117" s="24"/>
      <c r="AH117" s="24"/>
    </row>
    <row r="118" spans="1:34">
      <c r="A118" s="956"/>
      <c r="B118" s="957">
        <v>97</v>
      </c>
      <c r="C118" s="958" t="s">
        <v>183</v>
      </c>
      <c r="D118" s="957">
        <v>-2</v>
      </c>
      <c r="E118" s="957">
        <v>3.0529999999999999</v>
      </c>
      <c r="F118" s="959">
        <v>4.4939999999999998</v>
      </c>
      <c r="G118" s="960"/>
      <c r="H118" s="961"/>
      <c r="I118" s="962"/>
      <c r="J118" s="963"/>
      <c r="K118" s="963">
        <v>25</v>
      </c>
      <c r="L118" s="961">
        <v>0</v>
      </c>
      <c r="M118" s="964" t="s">
        <v>401</v>
      </c>
      <c r="N118" s="965">
        <v>116.07</v>
      </c>
      <c r="O118" s="966"/>
      <c r="P118" s="957"/>
      <c r="Q118" s="957"/>
      <c r="R118" s="94"/>
      <c r="S118" s="94"/>
      <c r="T118" s="94"/>
      <c r="U118" s="94"/>
      <c r="V118" s="94"/>
      <c r="W118" s="94"/>
      <c r="X118" s="94"/>
      <c r="Y118" s="94"/>
      <c r="Z118" s="94"/>
      <c r="AA118" s="24"/>
      <c r="AB118" s="24"/>
      <c r="AC118" s="24"/>
      <c r="AD118" s="24"/>
      <c r="AE118" s="24"/>
      <c r="AF118" s="24"/>
      <c r="AG118" s="24"/>
      <c r="AH118" s="24"/>
    </row>
    <row r="119" spans="1:34">
      <c r="A119" s="956"/>
      <c r="B119" s="957">
        <v>98</v>
      </c>
      <c r="C119" s="958" t="s">
        <v>442</v>
      </c>
      <c r="D119" s="957">
        <v>-2</v>
      </c>
      <c r="E119" s="957">
        <v>2.23</v>
      </c>
      <c r="F119" s="959">
        <v>4.42</v>
      </c>
      <c r="G119" s="960">
        <v>9.9499999999999993</v>
      </c>
      <c r="H119" s="961"/>
      <c r="I119" s="962"/>
      <c r="J119" s="963"/>
      <c r="K119" s="963">
        <v>25</v>
      </c>
      <c r="L119" s="961">
        <v>0</v>
      </c>
      <c r="M119" s="964" t="s">
        <v>441</v>
      </c>
      <c r="N119" s="965">
        <v>147.13</v>
      </c>
      <c r="O119" s="966"/>
      <c r="P119" s="957"/>
      <c r="Q119" s="957"/>
      <c r="R119" s="94"/>
      <c r="S119" s="94"/>
      <c r="T119" s="94"/>
      <c r="U119" s="94"/>
      <c r="V119" s="94"/>
      <c r="W119" s="94"/>
      <c r="X119" s="94"/>
      <c r="Y119" s="94"/>
      <c r="Z119" s="94"/>
      <c r="AA119" s="24"/>
      <c r="AB119" s="24"/>
      <c r="AC119" s="24"/>
      <c r="AD119" s="24"/>
      <c r="AE119" s="24"/>
      <c r="AF119" s="24"/>
      <c r="AG119" s="24"/>
      <c r="AH119" s="24"/>
    </row>
    <row r="120" spans="1:34">
      <c r="A120" s="956"/>
      <c r="B120" s="957">
        <v>99</v>
      </c>
      <c r="C120" s="958" t="s">
        <v>446</v>
      </c>
      <c r="D120" s="957">
        <v>-1</v>
      </c>
      <c r="E120" s="957">
        <v>2.17</v>
      </c>
      <c r="F120" s="959">
        <v>9.1300000000000008</v>
      </c>
      <c r="G120" s="960"/>
      <c r="H120" s="961"/>
      <c r="I120" s="962"/>
      <c r="J120" s="963"/>
      <c r="K120" s="963">
        <v>25</v>
      </c>
      <c r="L120" s="961">
        <v>0</v>
      </c>
      <c r="M120" s="964" t="s">
        <v>445</v>
      </c>
      <c r="N120" s="965">
        <v>146.15</v>
      </c>
      <c r="O120" s="966"/>
      <c r="P120" s="957"/>
      <c r="Q120" s="957"/>
      <c r="R120" s="94"/>
      <c r="S120" s="94"/>
      <c r="T120" s="94"/>
      <c r="U120" s="94"/>
      <c r="V120" s="94"/>
      <c r="W120" s="94"/>
      <c r="X120" s="94"/>
      <c r="Y120" s="94"/>
      <c r="Z120" s="94"/>
      <c r="AA120" s="24"/>
      <c r="AB120" s="24"/>
      <c r="AC120" s="24"/>
      <c r="AD120" s="24"/>
      <c r="AE120" s="24"/>
      <c r="AF120" s="24"/>
      <c r="AG120" s="24"/>
      <c r="AH120" s="24"/>
    </row>
    <row r="121" spans="1:34">
      <c r="A121" s="956"/>
      <c r="B121" s="957">
        <v>100</v>
      </c>
      <c r="C121" s="958" t="s">
        <v>184</v>
      </c>
      <c r="D121" s="957">
        <v>-2</v>
      </c>
      <c r="E121" s="957">
        <v>2.12</v>
      </c>
      <c r="F121" s="959">
        <v>3.59</v>
      </c>
      <c r="G121" s="960">
        <v>8.75</v>
      </c>
      <c r="H121" s="961">
        <v>9.65</v>
      </c>
      <c r="I121" s="962"/>
      <c r="J121" s="963"/>
      <c r="K121" s="963">
        <v>25</v>
      </c>
      <c r="L121" s="961">
        <v>0</v>
      </c>
      <c r="M121" s="964" t="s">
        <v>280</v>
      </c>
      <c r="N121" s="965"/>
      <c r="O121" s="966"/>
      <c r="P121" s="957"/>
      <c r="Q121" s="957"/>
      <c r="R121" s="94"/>
      <c r="S121" s="94"/>
      <c r="T121" s="94"/>
      <c r="U121" s="94"/>
      <c r="V121" s="94"/>
      <c r="W121" s="94"/>
      <c r="X121" s="94"/>
      <c r="Y121" s="94"/>
      <c r="Z121" s="94"/>
      <c r="AA121" s="24"/>
      <c r="AB121" s="24"/>
      <c r="AC121" s="24"/>
      <c r="AD121" s="24"/>
      <c r="AE121" s="24"/>
      <c r="AF121" s="24"/>
      <c r="AG121" s="24"/>
      <c r="AH121" s="24"/>
    </row>
    <row r="122" spans="1:34">
      <c r="A122" s="956"/>
      <c r="B122" s="957">
        <v>101</v>
      </c>
      <c r="C122" s="958" t="s">
        <v>392</v>
      </c>
      <c r="D122" s="957">
        <v>-1</v>
      </c>
      <c r="E122" s="957">
        <v>3.52</v>
      </c>
      <c r="F122" s="959"/>
      <c r="G122" s="960"/>
      <c r="H122" s="961"/>
      <c r="I122" s="962"/>
      <c r="J122" s="963"/>
      <c r="K122" s="963">
        <v>25</v>
      </c>
      <c r="L122" s="961">
        <v>0</v>
      </c>
      <c r="M122" s="964" t="s">
        <v>391</v>
      </c>
      <c r="N122" s="965"/>
      <c r="O122" s="966"/>
      <c r="P122" s="957"/>
      <c r="Q122" s="957"/>
      <c r="R122" s="94"/>
      <c r="S122" s="94"/>
      <c r="T122" s="94"/>
      <c r="U122" s="94"/>
      <c r="V122" s="94"/>
      <c r="W122" s="94"/>
      <c r="X122" s="94"/>
      <c r="Y122" s="94"/>
      <c r="Z122" s="94"/>
      <c r="AA122" s="24"/>
      <c r="AB122" s="24"/>
      <c r="AC122" s="24"/>
      <c r="AD122" s="24"/>
      <c r="AE122" s="24"/>
      <c r="AF122" s="24"/>
      <c r="AG122" s="24"/>
      <c r="AH122" s="24"/>
    </row>
    <row r="123" spans="1:34">
      <c r="A123" s="956"/>
      <c r="B123" s="957">
        <v>102</v>
      </c>
      <c r="C123" s="958" t="s">
        <v>398</v>
      </c>
      <c r="D123" s="957">
        <v>-1</v>
      </c>
      <c r="E123" s="957">
        <v>14.15</v>
      </c>
      <c r="F123" s="959"/>
      <c r="G123" s="960"/>
      <c r="H123" s="961"/>
      <c r="I123" s="962"/>
      <c r="J123" s="963"/>
      <c r="K123" s="963">
        <v>25</v>
      </c>
      <c r="L123" s="961">
        <v>0</v>
      </c>
      <c r="M123" s="964" t="s">
        <v>397</v>
      </c>
      <c r="N123" s="965"/>
      <c r="O123" s="966"/>
      <c r="P123" s="957"/>
      <c r="Q123" s="957"/>
      <c r="R123" s="94"/>
      <c r="S123" s="94"/>
      <c r="T123" s="94"/>
      <c r="U123" s="94"/>
      <c r="V123" s="94"/>
      <c r="W123" s="94"/>
      <c r="X123" s="94"/>
      <c r="Y123" s="94"/>
      <c r="Z123" s="94"/>
      <c r="AA123" s="24"/>
      <c r="AB123" s="24"/>
      <c r="AC123" s="24"/>
      <c r="AD123" s="24"/>
      <c r="AE123" s="24"/>
      <c r="AF123" s="24"/>
      <c r="AG123" s="24"/>
      <c r="AH123" s="24"/>
    </row>
    <row r="124" spans="1:34">
      <c r="A124" s="956"/>
      <c r="B124" s="957">
        <v>103</v>
      </c>
      <c r="C124" s="958" t="s">
        <v>185</v>
      </c>
      <c r="D124" s="957">
        <v>-1</v>
      </c>
      <c r="E124" s="957">
        <v>2.35</v>
      </c>
      <c r="F124" s="959">
        <v>9.7780000000000005</v>
      </c>
      <c r="G124" s="960"/>
      <c r="H124" s="961"/>
      <c r="I124" s="962"/>
      <c r="J124" s="963"/>
      <c r="K124" s="963">
        <v>25</v>
      </c>
      <c r="L124" s="961">
        <v>0</v>
      </c>
      <c r="M124" s="964" t="s">
        <v>186</v>
      </c>
      <c r="N124" s="965">
        <v>75.069999999999993</v>
      </c>
      <c r="O124" s="966"/>
      <c r="P124" s="957"/>
      <c r="Q124" s="957"/>
      <c r="R124" s="94"/>
      <c r="S124" s="94"/>
      <c r="T124" s="94"/>
      <c r="U124" s="94"/>
      <c r="V124" s="94"/>
      <c r="W124" s="94"/>
      <c r="X124" s="94"/>
      <c r="Y124" s="94"/>
      <c r="Z124" s="94"/>
      <c r="AA124" s="24"/>
      <c r="AB124" s="24"/>
      <c r="AC124" s="24"/>
      <c r="AD124" s="24"/>
      <c r="AE124" s="24"/>
      <c r="AF124" s="24"/>
      <c r="AG124" s="24"/>
      <c r="AH124" s="24"/>
    </row>
    <row r="125" spans="1:34">
      <c r="A125" s="956"/>
      <c r="B125" s="957">
        <v>104</v>
      </c>
      <c r="C125" s="958" t="s">
        <v>187</v>
      </c>
      <c r="D125" s="957">
        <v>-1</v>
      </c>
      <c r="E125" s="957">
        <v>3.831</v>
      </c>
      <c r="F125" s="959"/>
      <c r="G125" s="960"/>
      <c r="H125" s="961"/>
      <c r="I125" s="962"/>
      <c r="J125" s="963"/>
      <c r="K125" s="963">
        <v>25</v>
      </c>
      <c r="L125" s="961">
        <v>0</v>
      </c>
      <c r="M125" s="964" t="s">
        <v>188</v>
      </c>
      <c r="N125" s="965"/>
      <c r="O125" s="966"/>
      <c r="P125" s="957"/>
      <c r="Q125" s="957"/>
      <c r="R125" s="94"/>
      <c r="S125" s="94"/>
      <c r="T125" s="94"/>
      <c r="U125" s="94"/>
      <c r="V125" s="94"/>
      <c r="W125" s="94"/>
      <c r="X125" s="94"/>
      <c r="Y125" s="94"/>
      <c r="Z125" s="94"/>
      <c r="AA125" s="24"/>
      <c r="AB125" s="24"/>
      <c r="AC125" s="24"/>
      <c r="AD125" s="24"/>
      <c r="AE125" s="24"/>
      <c r="AF125" s="24"/>
      <c r="AG125" s="24"/>
      <c r="AH125" s="24"/>
    </row>
    <row r="126" spans="1:34">
      <c r="A126" s="956"/>
      <c r="B126" s="957">
        <v>105</v>
      </c>
      <c r="C126" s="958" t="s">
        <v>189</v>
      </c>
      <c r="D126" s="957">
        <v>-1</v>
      </c>
      <c r="E126" s="957">
        <v>3.18</v>
      </c>
      <c r="F126" s="959"/>
      <c r="G126" s="960"/>
      <c r="H126" s="961"/>
      <c r="I126" s="962"/>
      <c r="J126" s="963"/>
      <c r="K126" s="963">
        <v>25</v>
      </c>
      <c r="L126" s="961">
        <v>0</v>
      </c>
      <c r="M126" s="964" t="s">
        <v>371</v>
      </c>
      <c r="N126" s="965"/>
      <c r="O126" s="966"/>
      <c r="P126" s="957"/>
      <c r="Q126" s="957"/>
      <c r="R126" s="94"/>
      <c r="S126" s="94"/>
      <c r="T126" s="94"/>
      <c r="U126" s="94"/>
      <c r="V126" s="94"/>
      <c r="W126" s="94"/>
      <c r="X126" s="94"/>
      <c r="Y126" s="94"/>
      <c r="Z126" s="94"/>
      <c r="AA126" s="24"/>
      <c r="AB126" s="24"/>
      <c r="AC126" s="24"/>
      <c r="AD126" s="24"/>
      <c r="AE126" s="24"/>
      <c r="AF126" s="24"/>
      <c r="AG126" s="24"/>
      <c r="AH126" s="24"/>
    </row>
    <row r="127" spans="1:34">
      <c r="A127" s="956"/>
      <c r="B127" s="957">
        <v>106</v>
      </c>
      <c r="C127" s="958" t="s">
        <v>88</v>
      </c>
      <c r="D127" s="957">
        <v>-1</v>
      </c>
      <c r="E127" s="957">
        <v>4.71</v>
      </c>
      <c r="F127" s="959"/>
      <c r="G127" s="960"/>
      <c r="H127" s="961"/>
      <c r="I127" s="962"/>
      <c r="J127" s="963"/>
      <c r="K127" s="963">
        <v>25</v>
      </c>
      <c r="L127" s="961">
        <v>0</v>
      </c>
      <c r="M127" s="964" t="s">
        <v>87</v>
      </c>
      <c r="N127" s="965"/>
      <c r="O127" s="966"/>
      <c r="P127" s="957"/>
      <c r="Q127" s="957"/>
      <c r="R127" s="94"/>
      <c r="S127" s="94"/>
      <c r="T127" s="94"/>
      <c r="U127" s="94"/>
      <c r="V127" s="94"/>
      <c r="W127" s="94"/>
      <c r="X127" s="94"/>
      <c r="Y127" s="94"/>
      <c r="Z127" s="94"/>
      <c r="AA127" s="24"/>
      <c r="AB127" s="24"/>
      <c r="AC127" s="24"/>
      <c r="AD127" s="24"/>
      <c r="AE127" s="24"/>
      <c r="AF127" s="24"/>
      <c r="AG127" s="24"/>
      <c r="AH127" s="24"/>
    </row>
    <row r="128" spans="1:34">
      <c r="A128" s="956"/>
      <c r="B128" s="957">
        <v>107</v>
      </c>
      <c r="C128" s="958" t="s">
        <v>90</v>
      </c>
      <c r="D128" s="957">
        <v>-1</v>
      </c>
      <c r="E128" s="957">
        <v>4.8899999999999997</v>
      </c>
      <c r="F128" s="959"/>
      <c r="G128" s="960"/>
      <c r="H128" s="961"/>
      <c r="I128" s="962"/>
      <c r="J128" s="963"/>
      <c r="K128" s="963">
        <v>25</v>
      </c>
      <c r="L128" s="961">
        <v>0</v>
      </c>
      <c r="M128" s="964" t="s">
        <v>89</v>
      </c>
      <c r="N128" s="965"/>
      <c r="O128" s="966"/>
      <c r="P128" s="957"/>
      <c r="Q128" s="957"/>
      <c r="R128" s="94"/>
      <c r="S128" s="94"/>
      <c r="T128" s="94"/>
      <c r="U128" s="94"/>
      <c r="V128" s="94"/>
      <c r="W128" s="94"/>
      <c r="X128" s="94"/>
      <c r="Y128" s="94"/>
      <c r="Z128" s="94"/>
      <c r="AA128" s="24"/>
      <c r="AB128" s="24"/>
      <c r="AC128" s="24"/>
      <c r="AD128" s="24"/>
      <c r="AE128" s="24"/>
      <c r="AF128" s="24"/>
      <c r="AG128" s="24"/>
      <c r="AH128" s="24"/>
    </row>
    <row r="129" spans="1:34">
      <c r="A129" s="956"/>
      <c r="B129" s="957">
        <v>108</v>
      </c>
      <c r="C129" s="958" t="s">
        <v>92</v>
      </c>
      <c r="D129" s="957">
        <v>0</v>
      </c>
      <c r="E129" s="957">
        <v>10.67</v>
      </c>
      <c r="F129" s="959"/>
      <c r="G129" s="960"/>
      <c r="H129" s="961"/>
      <c r="I129" s="962"/>
      <c r="J129" s="963"/>
      <c r="K129" s="963">
        <v>25</v>
      </c>
      <c r="L129" s="961">
        <v>0</v>
      </c>
      <c r="M129" s="964" t="s">
        <v>91</v>
      </c>
      <c r="N129" s="965"/>
      <c r="O129" s="966"/>
      <c r="P129" s="957"/>
      <c r="Q129" s="957"/>
      <c r="R129" s="94"/>
      <c r="S129" s="94"/>
      <c r="T129" s="94"/>
      <c r="U129" s="94"/>
      <c r="V129" s="94"/>
      <c r="W129" s="94"/>
      <c r="X129" s="94"/>
      <c r="Y129" s="94"/>
      <c r="Z129" s="94"/>
      <c r="AA129" s="24"/>
      <c r="AB129" s="24"/>
      <c r="AC129" s="24"/>
      <c r="AD129" s="24"/>
      <c r="AE129" s="24"/>
      <c r="AF129" s="24"/>
      <c r="AG129" s="24"/>
      <c r="AH129" s="24"/>
    </row>
    <row r="130" spans="1:34">
      <c r="A130" s="956"/>
      <c r="B130" s="957">
        <v>109</v>
      </c>
      <c r="C130" s="958" t="s">
        <v>62</v>
      </c>
      <c r="D130" s="957">
        <v>0</v>
      </c>
      <c r="E130" s="957">
        <v>11.856999999999999</v>
      </c>
      <c r="F130" s="959">
        <v>10.762</v>
      </c>
      <c r="G130" s="960"/>
      <c r="H130" s="961"/>
      <c r="I130" s="962"/>
      <c r="J130" s="963"/>
      <c r="K130" s="963">
        <v>0</v>
      </c>
      <c r="L130" s="961">
        <v>0</v>
      </c>
      <c r="M130" s="964" t="s">
        <v>61</v>
      </c>
      <c r="N130" s="965"/>
      <c r="O130" s="966"/>
      <c r="P130" s="957"/>
      <c r="Q130" s="957"/>
      <c r="R130" s="94"/>
      <c r="S130" s="94"/>
      <c r="T130" s="94"/>
      <c r="U130" s="94"/>
      <c r="V130" s="94"/>
      <c r="W130" s="94"/>
      <c r="X130" s="94"/>
      <c r="Y130" s="94"/>
      <c r="Z130" s="94"/>
      <c r="AA130" s="24"/>
      <c r="AB130" s="24"/>
      <c r="AC130" s="24"/>
      <c r="AD130" s="24"/>
      <c r="AE130" s="24"/>
      <c r="AF130" s="24"/>
      <c r="AG130" s="24"/>
      <c r="AH130" s="24"/>
    </row>
    <row r="131" spans="1:34">
      <c r="A131" s="956"/>
      <c r="B131" s="957">
        <v>110</v>
      </c>
      <c r="C131" s="958" t="s">
        <v>49</v>
      </c>
      <c r="D131" s="957">
        <v>-1</v>
      </c>
      <c r="E131" s="957">
        <v>4.8499999999999996</v>
      </c>
      <c r="F131" s="959"/>
      <c r="G131" s="960"/>
      <c r="H131" s="961"/>
      <c r="I131" s="962"/>
      <c r="J131" s="963"/>
      <c r="K131" s="963">
        <v>25</v>
      </c>
      <c r="L131" s="961">
        <v>0</v>
      </c>
      <c r="M131" s="964" t="s">
        <v>48</v>
      </c>
      <c r="N131" s="965"/>
      <c r="O131" s="966"/>
      <c r="P131" s="957"/>
      <c r="Q131" s="957"/>
      <c r="R131" s="94"/>
      <c r="S131" s="94"/>
      <c r="T131" s="94"/>
      <c r="U131" s="94"/>
      <c r="V131" s="94"/>
      <c r="W131" s="94"/>
      <c r="X131" s="94"/>
      <c r="Y131" s="94"/>
      <c r="Z131" s="94"/>
      <c r="AA131" s="24"/>
      <c r="AB131" s="24"/>
      <c r="AC131" s="24"/>
      <c r="AD131" s="24"/>
      <c r="AE131" s="24"/>
      <c r="AF131" s="24"/>
      <c r="AG131" s="24"/>
      <c r="AH131" s="24"/>
    </row>
    <row r="132" spans="1:34">
      <c r="A132" s="956"/>
      <c r="B132" s="957">
        <v>111</v>
      </c>
      <c r="C132" s="958" t="s">
        <v>60</v>
      </c>
      <c r="D132" s="957">
        <v>0</v>
      </c>
      <c r="E132" s="957">
        <v>10.56</v>
      </c>
      <c r="F132" s="959"/>
      <c r="G132" s="960"/>
      <c r="H132" s="961"/>
      <c r="I132" s="962"/>
      <c r="J132" s="963"/>
      <c r="K132" s="963">
        <v>25</v>
      </c>
      <c r="L132" s="961">
        <v>0</v>
      </c>
      <c r="M132" s="964" t="s">
        <v>58</v>
      </c>
      <c r="N132" s="965"/>
      <c r="O132" s="966"/>
      <c r="P132" s="957"/>
      <c r="Q132" s="957"/>
      <c r="R132" s="94"/>
      <c r="S132" s="94"/>
      <c r="T132" s="94"/>
      <c r="U132" s="94"/>
      <c r="V132" s="94"/>
      <c r="W132" s="94"/>
      <c r="X132" s="94"/>
      <c r="Y132" s="94"/>
      <c r="Z132" s="94"/>
      <c r="AA132" s="24"/>
      <c r="AB132" s="24"/>
      <c r="AC132" s="24"/>
      <c r="AD132" s="24"/>
      <c r="AE132" s="24"/>
      <c r="AF132" s="24"/>
      <c r="AG132" s="24"/>
      <c r="AH132" s="24"/>
    </row>
    <row r="133" spans="1:34">
      <c r="A133" s="956"/>
      <c r="B133" s="957">
        <v>112</v>
      </c>
      <c r="C133" s="958" t="s">
        <v>444</v>
      </c>
      <c r="D133" s="957">
        <v>0</v>
      </c>
      <c r="E133" s="957">
        <v>6.04</v>
      </c>
      <c r="F133" s="959">
        <v>9.75</v>
      </c>
      <c r="G133" s="960"/>
      <c r="H133" s="961"/>
      <c r="I133" s="962"/>
      <c r="J133" s="963"/>
      <c r="K133" s="963">
        <v>25</v>
      </c>
      <c r="L133" s="961">
        <v>0</v>
      </c>
      <c r="M133" s="964" t="s">
        <v>443</v>
      </c>
      <c r="N133" s="965"/>
      <c r="O133" s="966"/>
      <c r="P133" s="957"/>
      <c r="Q133" s="957"/>
      <c r="R133" s="94"/>
      <c r="S133" s="94"/>
      <c r="T133" s="94"/>
      <c r="U133" s="94"/>
      <c r="V133" s="94"/>
      <c r="W133" s="94"/>
      <c r="X133" s="94"/>
      <c r="Y133" s="94"/>
      <c r="Z133" s="94"/>
      <c r="AA133" s="24"/>
      <c r="AB133" s="24"/>
      <c r="AC133" s="24"/>
      <c r="AD133" s="24"/>
      <c r="AE133" s="24"/>
      <c r="AF133" s="24"/>
      <c r="AG133" s="24"/>
      <c r="AH133" s="24"/>
    </row>
    <row r="134" spans="1:34">
      <c r="A134" s="956"/>
      <c r="B134" s="957">
        <v>113</v>
      </c>
      <c r="C134" s="958" t="s">
        <v>190</v>
      </c>
      <c r="D134" s="957">
        <v>-1</v>
      </c>
      <c r="E134" s="957">
        <v>1.49</v>
      </c>
      <c r="F134" s="959">
        <v>6.02</v>
      </c>
      <c r="G134" s="960">
        <v>9.2899999999999991</v>
      </c>
      <c r="H134" s="961"/>
      <c r="I134" s="962"/>
      <c r="J134" s="963"/>
      <c r="K134" s="963">
        <v>25</v>
      </c>
      <c r="L134" s="948">
        <v>0</v>
      </c>
      <c r="M134" s="964" t="s">
        <v>45</v>
      </c>
      <c r="N134" s="965"/>
      <c r="O134" s="966"/>
      <c r="P134" s="957"/>
      <c r="Q134" s="957"/>
      <c r="R134" s="94"/>
      <c r="S134" s="94"/>
      <c r="T134" s="94"/>
      <c r="U134" s="94"/>
      <c r="V134" s="94"/>
      <c r="W134" s="94"/>
      <c r="X134" s="94"/>
      <c r="Y134" s="94"/>
      <c r="Z134" s="94"/>
      <c r="AA134" s="24"/>
      <c r="AB134" s="24"/>
      <c r="AC134" s="24"/>
      <c r="AD134" s="24"/>
      <c r="AE134" s="24"/>
      <c r="AF134" s="24"/>
      <c r="AG134" s="24"/>
      <c r="AH134" s="24"/>
    </row>
    <row r="135" spans="1:34">
      <c r="A135" s="956"/>
      <c r="B135" s="957">
        <v>114</v>
      </c>
      <c r="C135" s="958" t="s">
        <v>562</v>
      </c>
      <c r="D135" s="957">
        <v>0</v>
      </c>
      <c r="E135" s="957">
        <v>8.07</v>
      </c>
      <c r="F135" s="959"/>
      <c r="G135" s="960"/>
      <c r="H135" s="961"/>
      <c r="I135" s="962"/>
      <c r="J135" s="963"/>
      <c r="K135" s="963">
        <v>30</v>
      </c>
      <c r="L135" s="961"/>
      <c r="M135" s="964" t="s">
        <v>563</v>
      </c>
      <c r="N135" s="965"/>
      <c r="O135" s="966"/>
      <c r="P135" s="957"/>
      <c r="Q135" s="957"/>
      <c r="R135" s="94"/>
      <c r="S135" s="94"/>
      <c r="T135" s="94"/>
      <c r="U135" s="94"/>
      <c r="V135" s="94"/>
      <c r="W135" s="94"/>
      <c r="X135" s="94"/>
      <c r="Y135" s="94"/>
      <c r="Z135" s="94"/>
      <c r="AA135" s="24"/>
      <c r="AB135" s="24"/>
      <c r="AC135" s="24"/>
      <c r="AD135" s="24"/>
      <c r="AE135" s="24"/>
      <c r="AF135" s="24"/>
      <c r="AG135" s="24"/>
      <c r="AH135" s="24"/>
    </row>
    <row r="136" spans="1:34">
      <c r="A136" s="956"/>
      <c r="B136" s="957">
        <v>115</v>
      </c>
      <c r="C136" s="958" t="s">
        <v>354</v>
      </c>
      <c r="D136" s="957">
        <v>-1</v>
      </c>
      <c r="E136" s="957">
        <v>4.72</v>
      </c>
      <c r="F136" s="959"/>
      <c r="G136" s="960"/>
      <c r="H136" s="961"/>
      <c r="I136" s="962"/>
      <c r="J136" s="963"/>
      <c r="K136" s="963"/>
      <c r="L136" s="961"/>
      <c r="M136" s="964" t="s">
        <v>355</v>
      </c>
      <c r="N136" s="965"/>
      <c r="O136" s="966"/>
      <c r="P136" s="957"/>
      <c r="Q136" s="957"/>
      <c r="R136" s="94"/>
      <c r="S136" s="94"/>
      <c r="T136" s="94"/>
      <c r="U136" s="94"/>
      <c r="V136" s="94"/>
      <c r="W136" s="94"/>
      <c r="X136" s="94"/>
      <c r="Y136" s="94"/>
      <c r="Z136" s="94"/>
      <c r="AA136" s="24"/>
      <c r="AB136" s="24"/>
      <c r="AC136" s="24"/>
      <c r="AD136" s="24"/>
      <c r="AE136" s="24"/>
      <c r="AF136" s="24"/>
      <c r="AG136" s="24"/>
      <c r="AH136" s="24"/>
    </row>
    <row r="137" spans="1:34">
      <c r="A137" s="956"/>
      <c r="B137" s="957">
        <v>116</v>
      </c>
      <c r="C137" s="958" t="s">
        <v>191</v>
      </c>
      <c r="D137" s="957">
        <v>-1</v>
      </c>
      <c r="E137" s="968">
        <v>-9</v>
      </c>
      <c r="F137" s="969"/>
      <c r="G137" s="969"/>
      <c r="H137" s="969"/>
      <c r="I137" s="969"/>
      <c r="J137" s="969"/>
      <c r="K137" s="970">
        <v>25</v>
      </c>
      <c r="L137" s="967">
        <v>0</v>
      </c>
      <c r="M137" s="964" t="s">
        <v>325</v>
      </c>
      <c r="N137" s="965"/>
      <c r="O137" s="966"/>
      <c r="P137" s="957"/>
      <c r="Q137" s="957"/>
      <c r="R137" s="94"/>
      <c r="S137" s="94"/>
      <c r="T137" s="94"/>
      <c r="U137" s="94"/>
      <c r="V137" s="94"/>
      <c r="W137" s="94"/>
      <c r="X137" s="94"/>
      <c r="Y137" s="94"/>
      <c r="Z137" s="94"/>
      <c r="AA137" s="24"/>
      <c r="AB137" s="24"/>
      <c r="AC137" s="24"/>
      <c r="AD137" s="24"/>
      <c r="AE137" s="24"/>
      <c r="AF137" s="24"/>
      <c r="AG137" s="24"/>
      <c r="AH137" s="24"/>
    </row>
    <row r="138" spans="1:34">
      <c r="A138" s="956"/>
      <c r="B138" s="957">
        <v>117</v>
      </c>
      <c r="C138" s="958" t="s">
        <v>192</v>
      </c>
      <c r="D138" s="957">
        <v>-1</v>
      </c>
      <c r="E138" s="968">
        <v>-7</v>
      </c>
      <c r="F138" s="969"/>
      <c r="G138" s="969"/>
      <c r="H138" s="969"/>
      <c r="I138" s="969"/>
      <c r="J138" s="969"/>
      <c r="K138" s="970">
        <v>25</v>
      </c>
      <c r="L138" s="967">
        <v>0</v>
      </c>
      <c r="M138" s="964" t="s">
        <v>326</v>
      </c>
      <c r="N138" s="965"/>
      <c r="O138" s="966"/>
      <c r="P138" s="957"/>
      <c r="Q138" s="957"/>
      <c r="R138" s="94"/>
      <c r="S138" s="94"/>
      <c r="T138" s="94"/>
      <c r="U138" s="94"/>
      <c r="V138" s="94"/>
      <c r="W138" s="94"/>
      <c r="X138" s="94"/>
      <c r="Y138" s="94"/>
      <c r="Z138" s="94"/>
      <c r="AA138" s="24"/>
      <c r="AB138" s="24"/>
      <c r="AC138" s="24"/>
      <c r="AD138" s="24"/>
      <c r="AE138" s="24"/>
      <c r="AF138" s="24"/>
      <c r="AG138" s="24"/>
      <c r="AH138" s="24"/>
    </row>
    <row r="139" spans="1:34" ht="15.75">
      <c r="A139" s="956"/>
      <c r="B139" s="957">
        <v>118</v>
      </c>
      <c r="C139" s="958" t="s">
        <v>193</v>
      </c>
      <c r="D139" s="957">
        <v>-1</v>
      </c>
      <c r="E139" s="957">
        <v>6.52</v>
      </c>
      <c r="F139" s="959"/>
      <c r="G139" s="960"/>
      <c r="H139" s="961"/>
      <c r="I139" s="962"/>
      <c r="J139" s="963"/>
      <c r="K139" s="963"/>
      <c r="L139" s="961"/>
      <c r="M139" s="964" t="s">
        <v>564</v>
      </c>
      <c r="N139" s="965"/>
      <c r="O139" s="966"/>
      <c r="P139" s="957"/>
      <c r="Q139" s="957"/>
      <c r="R139" s="94"/>
      <c r="S139" s="94"/>
      <c r="T139" s="94"/>
      <c r="U139" s="94"/>
      <c r="V139" s="94"/>
      <c r="W139" s="94"/>
      <c r="X139" s="94"/>
      <c r="Y139" s="94"/>
      <c r="Z139" s="94"/>
      <c r="AA139" s="24"/>
      <c r="AB139" s="24"/>
      <c r="AC139" s="24"/>
      <c r="AD139" s="24"/>
      <c r="AE139" s="24"/>
      <c r="AF139" s="24"/>
      <c r="AG139" s="24"/>
      <c r="AH139" s="24"/>
    </row>
    <row r="140" spans="1:34">
      <c r="A140" s="956"/>
      <c r="B140" s="957">
        <v>119</v>
      </c>
      <c r="C140" s="958" t="s">
        <v>194</v>
      </c>
      <c r="D140" s="957">
        <v>-1</v>
      </c>
      <c r="E140" s="957">
        <v>9.2100000000000009</v>
      </c>
      <c r="F140" s="959"/>
      <c r="G140" s="960"/>
      <c r="H140" s="961"/>
      <c r="I140" s="962"/>
      <c r="J140" s="963"/>
      <c r="K140" s="963">
        <v>25</v>
      </c>
      <c r="L140" s="961">
        <v>0</v>
      </c>
      <c r="M140" s="964" t="s">
        <v>329</v>
      </c>
      <c r="N140" s="965"/>
      <c r="O140" s="966"/>
      <c r="P140" s="957"/>
      <c r="Q140" s="957"/>
      <c r="R140" s="94"/>
      <c r="S140" s="94"/>
      <c r="T140" s="94"/>
      <c r="U140" s="94"/>
      <c r="V140" s="94"/>
      <c r="W140" s="94"/>
      <c r="X140" s="94"/>
      <c r="Y140" s="94"/>
      <c r="Z140" s="94"/>
      <c r="AA140" s="24"/>
      <c r="AB140" s="24"/>
      <c r="AC140" s="24"/>
      <c r="AD140" s="24"/>
      <c r="AE140" s="24"/>
      <c r="AF140" s="24"/>
      <c r="AG140" s="24"/>
      <c r="AH140" s="24"/>
    </row>
    <row r="141" spans="1:34">
      <c r="A141" s="956"/>
      <c r="B141" s="957">
        <v>120</v>
      </c>
      <c r="C141" s="958" t="s">
        <v>195</v>
      </c>
      <c r="D141" s="957">
        <v>-1</v>
      </c>
      <c r="E141" s="957">
        <v>3.17</v>
      </c>
      <c r="F141" s="959"/>
      <c r="G141" s="960"/>
      <c r="H141" s="961"/>
      <c r="I141" s="962"/>
      <c r="J141" s="963"/>
      <c r="K141" s="963">
        <v>25</v>
      </c>
      <c r="L141" s="961">
        <v>0</v>
      </c>
      <c r="M141" s="964" t="s">
        <v>327</v>
      </c>
      <c r="N141" s="965"/>
      <c r="O141" s="966"/>
      <c r="P141" s="957"/>
      <c r="Q141" s="957"/>
      <c r="R141" s="94"/>
      <c r="S141" s="94"/>
      <c r="T141" s="94"/>
      <c r="U141" s="94"/>
      <c r="V141" s="94"/>
      <c r="W141" s="94"/>
      <c r="X141" s="94"/>
      <c r="Y141" s="94"/>
      <c r="Z141" s="94"/>
      <c r="AA141" s="24"/>
      <c r="AB141" s="24"/>
      <c r="AC141" s="24"/>
      <c r="AD141" s="24"/>
      <c r="AE141" s="24"/>
      <c r="AF141" s="24"/>
      <c r="AG141" s="24"/>
      <c r="AH141" s="24"/>
    </row>
    <row r="142" spans="1:34">
      <c r="A142" s="956"/>
      <c r="B142" s="957">
        <v>121</v>
      </c>
      <c r="C142" s="958" t="s">
        <v>310</v>
      </c>
      <c r="D142" s="957">
        <v>-1</v>
      </c>
      <c r="E142" s="957">
        <v>11.65</v>
      </c>
      <c r="F142" s="959"/>
      <c r="G142" s="960"/>
      <c r="H142" s="961"/>
      <c r="I142" s="962"/>
      <c r="J142" s="963"/>
      <c r="K142" s="963">
        <v>25</v>
      </c>
      <c r="L142" s="961">
        <v>0</v>
      </c>
      <c r="M142" s="964" t="s">
        <v>196</v>
      </c>
      <c r="N142" s="965"/>
      <c r="O142" s="966"/>
      <c r="P142" s="957"/>
      <c r="Q142" s="957"/>
      <c r="R142" s="94"/>
      <c r="S142" s="94"/>
      <c r="T142" s="94"/>
      <c r="U142" s="94"/>
      <c r="V142" s="94"/>
      <c r="W142" s="94"/>
      <c r="X142" s="94"/>
      <c r="Y142" s="94"/>
      <c r="Z142" s="94"/>
      <c r="AA142" s="24"/>
      <c r="AB142" s="24"/>
      <c r="AC142" s="24"/>
      <c r="AD142" s="24"/>
      <c r="AE142" s="24"/>
      <c r="AF142" s="24"/>
      <c r="AG142" s="24"/>
      <c r="AH142" s="24"/>
    </row>
    <row r="143" spans="1:34" ht="15.75">
      <c r="A143" s="956"/>
      <c r="B143" s="957">
        <v>122</v>
      </c>
      <c r="C143" s="958" t="s">
        <v>356</v>
      </c>
      <c r="D143" s="957">
        <v>-1</v>
      </c>
      <c r="E143" s="957">
        <v>1.66</v>
      </c>
      <c r="F143" s="959"/>
      <c r="G143" s="960"/>
      <c r="H143" s="961"/>
      <c r="I143" s="962"/>
      <c r="J143" s="963"/>
      <c r="K143" s="963"/>
      <c r="L143" s="961"/>
      <c r="M143" s="964" t="s">
        <v>565</v>
      </c>
      <c r="N143" s="965"/>
      <c r="O143" s="966"/>
      <c r="P143" s="957"/>
      <c r="Q143" s="957"/>
      <c r="R143" s="94"/>
      <c r="S143" s="94"/>
      <c r="T143" s="94"/>
      <c r="U143" s="94"/>
      <c r="V143" s="94"/>
      <c r="W143" s="94"/>
      <c r="X143" s="94"/>
      <c r="Y143" s="94"/>
      <c r="Z143" s="94"/>
      <c r="AA143" s="24"/>
      <c r="AB143" s="24"/>
      <c r="AC143" s="24"/>
      <c r="AD143" s="24"/>
      <c r="AE143" s="24"/>
      <c r="AF143" s="24"/>
      <c r="AG143" s="24"/>
      <c r="AH143" s="24"/>
    </row>
    <row r="144" spans="1:34">
      <c r="A144" s="956"/>
      <c r="B144" s="957">
        <v>123</v>
      </c>
      <c r="C144" s="958" t="s">
        <v>309</v>
      </c>
      <c r="D144" s="957">
        <v>-2</v>
      </c>
      <c r="E144" s="957">
        <v>7.02</v>
      </c>
      <c r="F144" s="959">
        <v>13.9</v>
      </c>
      <c r="G144" s="960"/>
      <c r="H144" s="961"/>
      <c r="I144" s="962"/>
      <c r="J144" s="963"/>
      <c r="K144" s="963">
        <v>25</v>
      </c>
      <c r="L144" s="961">
        <v>0</v>
      </c>
      <c r="M144" s="964" t="s">
        <v>197</v>
      </c>
      <c r="N144" s="965"/>
      <c r="O144" s="966"/>
      <c r="P144" s="957"/>
      <c r="Q144" s="957"/>
      <c r="R144" s="94"/>
      <c r="S144" s="94"/>
      <c r="T144" s="94"/>
      <c r="U144" s="94"/>
      <c r="V144" s="94"/>
      <c r="W144" s="94"/>
      <c r="X144" s="94"/>
      <c r="Y144" s="94"/>
      <c r="Z144" s="94"/>
      <c r="AA144" s="24"/>
      <c r="AB144" s="24"/>
      <c r="AC144" s="24"/>
      <c r="AD144" s="24"/>
      <c r="AE144" s="24"/>
      <c r="AF144" s="24"/>
      <c r="AG144" s="24"/>
      <c r="AH144" s="24"/>
    </row>
    <row r="145" spans="1:34">
      <c r="A145" s="956"/>
      <c r="B145" s="957">
        <v>124</v>
      </c>
      <c r="C145" s="958" t="s">
        <v>198</v>
      </c>
      <c r="D145" s="957">
        <v>-1</v>
      </c>
      <c r="E145" s="957">
        <v>0.9</v>
      </c>
      <c r="F145" s="959"/>
      <c r="G145" s="960"/>
      <c r="H145" s="961"/>
      <c r="I145" s="962"/>
      <c r="J145" s="963"/>
      <c r="K145" s="963">
        <v>25</v>
      </c>
      <c r="L145" s="961">
        <v>0</v>
      </c>
      <c r="M145" s="964" t="s">
        <v>199</v>
      </c>
      <c r="N145" s="965"/>
      <c r="O145" s="966"/>
      <c r="P145" s="957"/>
      <c r="Q145" s="957"/>
      <c r="R145" s="94"/>
      <c r="S145" s="94"/>
      <c r="T145" s="94"/>
      <c r="U145" s="94"/>
      <c r="V145" s="94"/>
      <c r="W145" s="94"/>
      <c r="X145" s="94"/>
      <c r="Y145" s="94"/>
      <c r="Z145" s="94"/>
      <c r="AA145" s="24"/>
      <c r="AB145" s="24"/>
      <c r="AC145" s="24"/>
      <c r="AD145" s="24"/>
      <c r="AE145" s="24"/>
      <c r="AF145" s="24"/>
      <c r="AG145" s="24"/>
      <c r="AH145" s="24"/>
    </row>
    <row r="146" spans="1:34">
      <c r="A146" s="956"/>
      <c r="B146" s="957">
        <v>125</v>
      </c>
      <c r="C146" s="958" t="s">
        <v>484</v>
      </c>
      <c r="D146" s="957">
        <v>0</v>
      </c>
      <c r="E146" s="957">
        <v>10.35</v>
      </c>
      <c r="F146" s="959"/>
      <c r="G146" s="960"/>
      <c r="H146" s="961"/>
      <c r="I146" s="962"/>
      <c r="J146" s="963"/>
      <c r="K146" s="963">
        <v>20</v>
      </c>
      <c r="L146" s="961"/>
      <c r="M146" s="964" t="s">
        <v>483</v>
      </c>
      <c r="N146" s="965"/>
      <c r="O146" s="966"/>
      <c r="P146" s="957"/>
      <c r="Q146" s="957"/>
      <c r="R146" s="94"/>
      <c r="S146" s="94"/>
      <c r="T146" s="94"/>
      <c r="U146" s="94"/>
      <c r="V146" s="94"/>
      <c r="W146" s="94"/>
      <c r="X146" s="94"/>
      <c r="Y146" s="94"/>
      <c r="Z146" s="94"/>
      <c r="AA146" s="24"/>
      <c r="AB146" s="24"/>
      <c r="AC146" s="24"/>
      <c r="AD146" s="24"/>
      <c r="AE146" s="24"/>
      <c r="AF146" s="24"/>
      <c r="AG146" s="24"/>
      <c r="AH146" s="24"/>
    </row>
    <row r="147" spans="1:34">
      <c r="A147" s="956"/>
      <c r="B147" s="957">
        <v>126</v>
      </c>
      <c r="C147" s="958" t="s">
        <v>200</v>
      </c>
      <c r="D147" s="957">
        <v>0</v>
      </c>
      <c r="E147" s="957">
        <v>5.96</v>
      </c>
      <c r="F147" s="959"/>
      <c r="G147" s="960"/>
      <c r="H147" s="961"/>
      <c r="I147" s="962"/>
      <c r="J147" s="963"/>
      <c r="K147" s="963">
        <v>25</v>
      </c>
      <c r="L147" s="961">
        <v>0</v>
      </c>
      <c r="M147" s="964" t="s">
        <v>201</v>
      </c>
      <c r="N147" s="965"/>
      <c r="O147" s="966"/>
      <c r="P147" s="957"/>
      <c r="Q147" s="957"/>
      <c r="R147" s="94"/>
      <c r="S147" s="94"/>
      <c r="T147" s="94"/>
      <c r="U147" s="94"/>
      <c r="V147" s="94"/>
      <c r="W147" s="94"/>
      <c r="X147" s="94"/>
      <c r="Y147" s="94"/>
      <c r="Z147" s="94"/>
      <c r="AA147" s="24"/>
      <c r="AB147" s="24"/>
      <c r="AC147" s="24"/>
      <c r="AD147" s="24"/>
      <c r="AE147" s="24"/>
      <c r="AF147" s="24"/>
      <c r="AG147" s="24"/>
      <c r="AH147" s="24"/>
    </row>
    <row r="148" spans="1:34">
      <c r="A148" s="956"/>
      <c r="B148" s="957">
        <v>127</v>
      </c>
      <c r="C148" s="958" t="s">
        <v>76</v>
      </c>
      <c r="D148" s="957">
        <v>-2</v>
      </c>
      <c r="E148" s="957">
        <v>4.0599999999999996</v>
      </c>
      <c r="F148" s="959">
        <v>9.92</v>
      </c>
      <c r="G148" s="960"/>
      <c r="H148" s="961"/>
      <c r="I148" s="962"/>
      <c r="J148" s="963"/>
      <c r="K148" s="963">
        <v>19</v>
      </c>
      <c r="L148" s="961">
        <v>0</v>
      </c>
      <c r="M148" s="964" t="s">
        <v>75</v>
      </c>
      <c r="N148" s="965"/>
      <c r="O148" s="966"/>
      <c r="P148" s="957"/>
      <c r="Q148" s="957"/>
      <c r="R148" s="94"/>
      <c r="S148" s="94"/>
      <c r="T148" s="94"/>
      <c r="U148" s="94"/>
      <c r="V148" s="94"/>
      <c r="W148" s="94"/>
      <c r="X148" s="94"/>
      <c r="Y148" s="94"/>
      <c r="Z148" s="94"/>
      <c r="AA148" s="24"/>
      <c r="AB148" s="24"/>
      <c r="AC148" s="24"/>
      <c r="AD148" s="24"/>
      <c r="AE148" s="24"/>
      <c r="AF148" s="24"/>
      <c r="AG148" s="24"/>
      <c r="AH148" s="24"/>
    </row>
    <row r="149" spans="1:34">
      <c r="A149" s="956"/>
      <c r="B149" s="957">
        <v>128</v>
      </c>
      <c r="C149" s="958" t="s">
        <v>77</v>
      </c>
      <c r="D149" s="957">
        <v>-2</v>
      </c>
      <c r="E149" s="957">
        <v>4.4800000000000004</v>
      </c>
      <c r="F149" s="959">
        <v>9.32</v>
      </c>
      <c r="G149" s="960"/>
      <c r="H149" s="961"/>
      <c r="I149" s="962"/>
      <c r="J149" s="963"/>
      <c r="K149" s="963">
        <v>19</v>
      </c>
      <c r="L149" s="961">
        <v>0</v>
      </c>
      <c r="M149" s="964" t="s">
        <v>75</v>
      </c>
      <c r="N149" s="965"/>
      <c r="O149" s="966"/>
      <c r="P149" s="957"/>
      <c r="Q149" s="957"/>
      <c r="R149" s="94"/>
      <c r="S149" s="94"/>
      <c r="T149" s="94"/>
      <c r="U149" s="94"/>
      <c r="V149" s="94"/>
      <c r="W149" s="94"/>
      <c r="X149" s="94"/>
      <c r="Y149" s="94"/>
      <c r="Z149" s="94"/>
      <c r="AA149" s="24"/>
      <c r="AB149" s="24"/>
      <c r="AC149" s="24"/>
      <c r="AD149" s="24"/>
      <c r="AE149" s="24"/>
      <c r="AF149" s="24"/>
      <c r="AG149" s="24"/>
      <c r="AH149" s="24"/>
    </row>
    <row r="150" spans="1:34">
      <c r="A150" s="956"/>
      <c r="B150" s="957">
        <v>129</v>
      </c>
      <c r="C150" s="958" t="s">
        <v>390</v>
      </c>
      <c r="D150" s="957">
        <v>-1</v>
      </c>
      <c r="E150" s="957">
        <v>4.51</v>
      </c>
      <c r="F150" s="959"/>
      <c r="G150" s="960"/>
      <c r="H150" s="961"/>
      <c r="I150" s="962"/>
      <c r="J150" s="963"/>
      <c r="K150" s="963">
        <v>25</v>
      </c>
      <c r="L150" s="961">
        <v>0</v>
      </c>
      <c r="M150" s="964" t="s">
        <v>389</v>
      </c>
      <c r="N150" s="965"/>
      <c r="O150" s="966"/>
      <c r="P150" s="957"/>
      <c r="Q150" s="957"/>
      <c r="R150" s="94"/>
      <c r="S150" s="94"/>
      <c r="T150" s="94"/>
      <c r="U150" s="94"/>
      <c r="V150" s="94"/>
      <c r="W150" s="94"/>
      <c r="X150" s="94"/>
      <c r="Y150" s="94"/>
      <c r="Z150" s="94"/>
      <c r="AA150" s="24"/>
      <c r="AB150" s="24"/>
      <c r="AC150" s="24"/>
      <c r="AD150" s="24"/>
      <c r="AE150" s="24"/>
      <c r="AF150" s="24"/>
      <c r="AG150" s="24"/>
      <c r="AH150" s="24"/>
    </row>
    <row r="151" spans="1:34">
      <c r="A151" s="956"/>
      <c r="B151" s="957">
        <v>130</v>
      </c>
      <c r="C151" s="958" t="s">
        <v>202</v>
      </c>
      <c r="D151" s="957">
        <v>-1</v>
      </c>
      <c r="E151" s="957">
        <v>4.91</v>
      </c>
      <c r="F151" s="959">
        <v>9.81</v>
      </c>
      <c r="G151" s="960"/>
      <c r="H151" s="961"/>
      <c r="I151" s="962"/>
      <c r="J151" s="963"/>
      <c r="K151" s="963">
        <v>25</v>
      </c>
      <c r="L151" s="961">
        <v>0</v>
      </c>
      <c r="M151" s="964"/>
      <c r="N151" s="965"/>
      <c r="O151" s="966"/>
      <c r="P151" s="957"/>
      <c r="Q151" s="957"/>
      <c r="R151" s="94"/>
      <c r="S151" s="94"/>
      <c r="T151" s="94"/>
      <c r="U151" s="94"/>
      <c r="V151" s="94"/>
      <c r="W151" s="94"/>
      <c r="X151" s="94"/>
      <c r="Y151" s="94"/>
      <c r="Z151" s="94"/>
      <c r="AA151" s="24"/>
      <c r="AB151" s="24"/>
      <c r="AC151" s="24"/>
      <c r="AD151" s="24"/>
      <c r="AE151" s="24"/>
      <c r="AF151" s="24"/>
      <c r="AG151" s="24"/>
      <c r="AH151" s="24"/>
    </row>
    <row r="152" spans="1:34">
      <c r="A152" s="956"/>
      <c r="B152" s="957">
        <v>131</v>
      </c>
      <c r="C152" s="958" t="s">
        <v>307</v>
      </c>
      <c r="D152" s="957">
        <v>-1</v>
      </c>
      <c r="E152" s="957">
        <v>8.6300000000000008</v>
      </c>
      <c r="F152" s="959"/>
      <c r="G152" s="960"/>
      <c r="H152" s="961"/>
      <c r="I152" s="962"/>
      <c r="J152" s="963"/>
      <c r="K152" s="963">
        <v>25</v>
      </c>
      <c r="L152" s="961">
        <v>0</v>
      </c>
      <c r="M152" s="964" t="s">
        <v>203</v>
      </c>
      <c r="N152" s="965"/>
      <c r="O152" s="966"/>
      <c r="P152" s="957"/>
      <c r="Q152" s="957"/>
      <c r="R152" s="94"/>
      <c r="S152" s="94"/>
      <c r="T152" s="94"/>
      <c r="U152" s="94"/>
      <c r="V152" s="94"/>
      <c r="W152" s="94"/>
      <c r="X152" s="94"/>
      <c r="Y152" s="94"/>
      <c r="Z152" s="94"/>
      <c r="AA152" s="24"/>
      <c r="AB152" s="24"/>
      <c r="AC152" s="24"/>
      <c r="AD152" s="24"/>
      <c r="AE152" s="24"/>
      <c r="AF152" s="24"/>
      <c r="AG152" s="24"/>
      <c r="AH152" s="24"/>
    </row>
    <row r="153" spans="1:34">
      <c r="A153" s="956"/>
      <c r="B153" s="957">
        <v>132</v>
      </c>
      <c r="C153" s="958" t="s">
        <v>306</v>
      </c>
      <c r="D153" s="957">
        <v>-1</v>
      </c>
      <c r="E153" s="957">
        <v>7.53</v>
      </c>
      <c r="F153" s="959"/>
      <c r="G153" s="960"/>
      <c r="H153" s="961"/>
      <c r="I153" s="962"/>
      <c r="J153" s="963"/>
      <c r="K153" s="963">
        <v>25</v>
      </c>
      <c r="L153" s="961">
        <v>0</v>
      </c>
      <c r="M153" s="964" t="s">
        <v>204</v>
      </c>
      <c r="N153" s="965"/>
      <c r="O153" s="966"/>
      <c r="P153" s="957"/>
      <c r="Q153" s="957"/>
      <c r="R153" s="94"/>
      <c r="S153" s="94"/>
      <c r="T153" s="94"/>
      <c r="U153" s="94"/>
      <c r="V153" s="94"/>
      <c r="W153" s="94"/>
      <c r="X153" s="94"/>
      <c r="Y153" s="94"/>
      <c r="Z153" s="94"/>
      <c r="AA153" s="24"/>
      <c r="AB153" s="24"/>
      <c r="AC153" s="24"/>
      <c r="AD153" s="24"/>
      <c r="AE153" s="24"/>
      <c r="AF153" s="24"/>
      <c r="AG153" s="24"/>
      <c r="AH153" s="24"/>
    </row>
    <row r="154" spans="1:34">
      <c r="A154" s="956"/>
      <c r="B154" s="957">
        <v>133</v>
      </c>
      <c r="C154" s="958" t="s">
        <v>308</v>
      </c>
      <c r="D154" s="957">
        <v>-1</v>
      </c>
      <c r="E154" s="957">
        <v>10.64</v>
      </c>
      <c r="F154" s="959"/>
      <c r="G154" s="960"/>
      <c r="H154" s="961"/>
      <c r="I154" s="962"/>
      <c r="J154" s="963"/>
      <c r="K154" s="963">
        <v>25</v>
      </c>
      <c r="L154" s="961">
        <v>0</v>
      </c>
      <c r="M154" s="964" t="s">
        <v>205</v>
      </c>
      <c r="N154" s="965"/>
      <c r="O154" s="966"/>
      <c r="P154" s="957"/>
      <c r="Q154" s="957"/>
      <c r="R154" s="94"/>
      <c r="S154" s="94"/>
      <c r="T154" s="94"/>
      <c r="U154" s="94"/>
      <c r="V154" s="94"/>
      <c r="W154" s="94"/>
      <c r="X154" s="94"/>
      <c r="Y154" s="94"/>
      <c r="Z154" s="94"/>
      <c r="AA154" s="24"/>
      <c r="AB154" s="24"/>
      <c r="AC154" s="24"/>
      <c r="AD154" s="24"/>
      <c r="AE154" s="24"/>
      <c r="AF154" s="24"/>
      <c r="AG154" s="24"/>
      <c r="AH154" s="24"/>
    </row>
    <row r="155" spans="1:34">
      <c r="A155" s="956"/>
      <c r="B155" s="957">
        <v>134</v>
      </c>
      <c r="C155" s="958" t="s">
        <v>206</v>
      </c>
      <c r="D155" s="957">
        <v>0</v>
      </c>
      <c r="E155" s="957">
        <v>6.9530000000000003</v>
      </c>
      <c r="F155" s="959"/>
      <c r="G155" s="960"/>
      <c r="H155" s="961"/>
      <c r="I155" s="962"/>
      <c r="J155" s="963"/>
      <c r="K155" s="963">
        <v>25</v>
      </c>
      <c r="L155" s="961">
        <v>0</v>
      </c>
      <c r="M155" s="964" t="s">
        <v>383</v>
      </c>
      <c r="N155" s="965">
        <v>68.08</v>
      </c>
      <c r="O155" s="966"/>
      <c r="P155" s="957"/>
      <c r="Q155" s="957"/>
      <c r="R155" s="94"/>
      <c r="S155" s="94"/>
      <c r="T155" s="94"/>
      <c r="U155" s="94"/>
      <c r="V155" s="94"/>
      <c r="W155" s="94"/>
      <c r="X155" s="94"/>
      <c r="Y155" s="94"/>
      <c r="Z155" s="94"/>
      <c r="AA155" s="24"/>
      <c r="AB155" s="24"/>
      <c r="AC155" s="24"/>
      <c r="AD155" s="24"/>
      <c r="AE155" s="24"/>
      <c r="AF155" s="24"/>
      <c r="AG155" s="24"/>
      <c r="AH155" s="24"/>
    </row>
    <row r="156" spans="1:34">
      <c r="A156" s="956"/>
      <c r="B156" s="957">
        <v>135</v>
      </c>
      <c r="C156" s="958" t="s">
        <v>207</v>
      </c>
      <c r="D156" s="957">
        <v>-1</v>
      </c>
      <c r="E156" s="957">
        <v>0.77</v>
      </c>
      <c r="F156" s="959"/>
      <c r="G156" s="960"/>
      <c r="H156" s="961"/>
      <c r="I156" s="962"/>
      <c r="J156" s="963"/>
      <c r="K156" s="963">
        <v>25</v>
      </c>
      <c r="L156" s="961">
        <v>0</v>
      </c>
      <c r="M156" s="964" t="s">
        <v>208</v>
      </c>
      <c r="N156" s="965"/>
      <c r="O156" s="966"/>
      <c r="P156" s="957"/>
      <c r="Q156" s="957"/>
      <c r="R156" s="94"/>
      <c r="S156" s="94"/>
      <c r="T156" s="94"/>
      <c r="U156" s="94"/>
      <c r="V156" s="94"/>
      <c r="W156" s="94"/>
      <c r="X156" s="94"/>
      <c r="Y156" s="94"/>
      <c r="Z156" s="94"/>
      <c r="AA156" s="24"/>
      <c r="AB156" s="24"/>
      <c r="AC156" s="24"/>
      <c r="AD156" s="24"/>
      <c r="AE156" s="24"/>
      <c r="AF156" s="24"/>
      <c r="AG156" s="24"/>
      <c r="AH156" s="24"/>
    </row>
    <row r="157" spans="1:34">
      <c r="A157" s="956"/>
      <c r="B157" s="957">
        <v>136</v>
      </c>
      <c r="C157" s="958" t="s">
        <v>44</v>
      </c>
      <c r="D157" s="957">
        <v>-3</v>
      </c>
      <c r="E157" s="957">
        <v>3.29</v>
      </c>
      <c r="F157" s="959">
        <v>4.71</v>
      </c>
      <c r="G157" s="960">
        <v>6.4</v>
      </c>
      <c r="H157" s="961"/>
      <c r="I157" s="962"/>
      <c r="J157" s="963"/>
      <c r="K157" s="963">
        <v>25</v>
      </c>
      <c r="L157" s="961">
        <v>0</v>
      </c>
      <c r="M157" s="964" t="s">
        <v>43</v>
      </c>
      <c r="N157" s="965"/>
      <c r="O157" s="966"/>
      <c r="P157" s="957"/>
      <c r="Q157" s="957"/>
      <c r="R157" s="94"/>
      <c r="S157" s="94"/>
      <c r="T157" s="94"/>
      <c r="U157" s="94"/>
      <c r="V157" s="94"/>
      <c r="W157" s="94"/>
      <c r="X157" s="94"/>
      <c r="Y157" s="94"/>
      <c r="Z157" s="94"/>
      <c r="AA157" s="24"/>
      <c r="AB157" s="24"/>
      <c r="AC157" s="24"/>
      <c r="AD157" s="24"/>
      <c r="AE157" s="24"/>
      <c r="AF157" s="24"/>
      <c r="AG157" s="24"/>
      <c r="AH157" s="24"/>
    </row>
    <row r="158" spans="1:34">
      <c r="A158" s="956"/>
      <c r="B158" s="957">
        <v>137</v>
      </c>
      <c r="C158" s="958" t="s">
        <v>209</v>
      </c>
      <c r="D158" s="957">
        <v>-1</v>
      </c>
      <c r="E158" s="957">
        <v>2.319</v>
      </c>
      <c r="F158" s="959">
        <v>9.7539999999999996</v>
      </c>
      <c r="G158" s="960"/>
      <c r="H158" s="961"/>
      <c r="I158" s="962"/>
      <c r="J158" s="963"/>
      <c r="K158" s="963">
        <v>25</v>
      </c>
      <c r="L158" s="961">
        <v>0</v>
      </c>
      <c r="M158" s="964" t="s">
        <v>53</v>
      </c>
      <c r="N158" s="965">
        <v>131.18</v>
      </c>
      <c r="O158" s="966"/>
      <c r="P158" s="957"/>
      <c r="Q158" s="957"/>
      <c r="R158" s="94"/>
      <c r="S158" s="94"/>
      <c r="T158" s="94"/>
      <c r="U158" s="94"/>
      <c r="V158" s="94"/>
      <c r="W158" s="94"/>
      <c r="X158" s="94"/>
      <c r="Y158" s="94"/>
      <c r="Z158" s="94"/>
      <c r="AA158" s="24"/>
      <c r="AB158" s="24"/>
      <c r="AC158" s="24"/>
      <c r="AD158" s="24"/>
      <c r="AE158" s="24"/>
      <c r="AF158" s="24"/>
      <c r="AG158" s="24"/>
      <c r="AH158" s="24"/>
    </row>
    <row r="159" spans="1:34">
      <c r="A159" s="956"/>
      <c r="B159" s="957">
        <v>138</v>
      </c>
      <c r="C159" s="958" t="s">
        <v>210</v>
      </c>
      <c r="D159" s="957">
        <v>-1</v>
      </c>
      <c r="E159" s="957">
        <v>3.86</v>
      </c>
      <c r="F159" s="959"/>
      <c r="G159" s="960"/>
      <c r="H159" s="961"/>
      <c r="I159" s="962"/>
      <c r="J159" s="963"/>
      <c r="K159" s="963"/>
      <c r="L159" s="961"/>
      <c r="M159" s="964" t="s">
        <v>357</v>
      </c>
      <c r="N159" s="965"/>
      <c r="O159" s="966"/>
      <c r="P159" s="957"/>
      <c r="Q159" s="957"/>
      <c r="R159" s="94"/>
      <c r="S159" s="94"/>
      <c r="T159" s="94"/>
      <c r="U159" s="94"/>
      <c r="V159" s="94"/>
      <c r="W159" s="94"/>
      <c r="X159" s="94"/>
      <c r="Y159" s="94"/>
      <c r="Z159" s="94"/>
      <c r="AA159" s="24"/>
      <c r="AB159" s="24"/>
      <c r="AC159" s="24"/>
      <c r="AD159" s="24"/>
      <c r="AE159" s="24"/>
      <c r="AF159" s="24"/>
      <c r="AG159" s="24"/>
      <c r="AH159" s="24"/>
    </row>
    <row r="160" spans="1:34">
      <c r="A160" s="956"/>
      <c r="B160" s="957">
        <v>139</v>
      </c>
      <c r="C160" s="958" t="s">
        <v>279</v>
      </c>
      <c r="D160" s="957">
        <v>0</v>
      </c>
      <c r="E160" s="957">
        <v>9.9580000000000002</v>
      </c>
      <c r="F160" s="959"/>
      <c r="G160" s="960"/>
      <c r="H160" s="961"/>
      <c r="I160" s="962"/>
      <c r="J160" s="963"/>
      <c r="K160" s="963">
        <v>10</v>
      </c>
      <c r="L160" s="961">
        <v>0</v>
      </c>
      <c r="M160" s="964" t="s">
        <v>277</v>
      </c>
      <c r="N160" s="965">
        <v>165.23</v>
      </c>
      <c r="O160" s="966"/>
      <c r="P160" s="957"/>
      <c r="Q160" s="957"/>
      <c r="R160" s="94"/>
      <c r="S160" s="94"/>
      <c r="T160" s="94"/>
      <c r="U160" s="94"/>
      <c r="V160" s="94"/>
      <c r="W160" s="94"/>
      <c r="X160" s="94"/>
      <c r="Y160" s="94"/>
      <c r="Z160" s="94"/>
      <c r="AA160" s="24"/>
      <c r="AB160" s="24"/>
      <c r="AC160" s="24"/>
      <c r="AD160" s="24"/>
      <c r="AE160" s="24"/>
      <c r="AF160" s="24"/>
      <c r="AG160" s="24"/>
      <c r="AH160" s="24"/>
    </row>
    <row r="161" spans="1:34">
      <c r="A161" s="956"/>
      <c r="B161" s="957">
        <v>140</v>
      </c>
      <c r="C161" s="958" t="s">
        <v>211</v>
      </c>
      <c r="D161" s="957">
        <v>-1</v>
      </c>
      <c r="E161" s="957">
        <v>2.3279999999999998</v>
      </c>
      <c r="F161" s="959">
        <v>9.7439999999999998</v>
      </c>
      <c r="G161" s="960"/>
      <c r="H161" s="961"/>
      <c r="I161" s="962"/>
      <c r="J161" s="963"/>
      <c r="K161" s="963">
        <v>25</v>
      </c>
      <c r="L161" s="961">
        <v>0</v>
      </c>
      <c r="M161" s="964" t="s">
        <v>53</v>
      </c>
      <c r="N161" s="965"/>
      <c r="O161" s="966"/>
      <c r="P161" s="957"/>
      <c r="Q161" s="957"/>
      <c r="R161" s="94"/>
      <c r="S161" s="94"/>
      <c r="T161" s="94"/>
      <c r="U161" s="94"/>
      <c r="V161" s="94"/>
      <c r="W161" s="94"/>
      <c r="X161" s="94"/>
      <c r="Y161" s="94"/>
      <c r="Z161" s="94"/>
      <c r="AA161" s="24"/>
      <c r="AB161" s="24"/>
      <c r="AC161" s="24"/>
      <c r="AD161" s="24"/>
      <c r="AE161" s="24"/>
      <c r="AF161" s="24"/>
      <c r="AG161" s="24"/>
      <c r="AH161" s="24"/>
    </row>
    <row r="162" spans="1:34">
      <c r="A162" s="956"/>
      <c r="B162" s="957">
        <v>141</v>
      </c>
      <c r="C162" s="958" t="s">
        <v>56</v>
      </c>
      <c r="D162" s="957">
        <v>-1</v>
      </c>
      <c r="E162" s="957">
        <v>1.83</v>
      </c>
      <c r="F162" s="959">
        <v>9.08</v>
      </c>
      <c r="G162" s="960">
        <v>10.9</v>
      </c>
      <c r="H162" s="961"/>
      <c r="I162" s="962"/>
      <c r="J162" s="963"/>
      <c r="K162" s="963">
        <v>25</v>
      </c>
      <c r="L162" s="948">
        <v>0</v>
      </c>
      <c r="M162" s="964" t="s">
        <v>55</v>
      </c>
      <c r="N162" s="965"/>
      <c r="O162" s="966"/>
      <c r="P162" s="957"/>
      <c r="Q162" s="957"/>
      <c r="R162" s="94"/>
      <c r="S162" s="94"/>
      <c r="T162" s="94"/>
      <c r="U162" s="94"/>
      <c r="V162" s="94"/>
      <c r="W162" s="94"/>
      <c r="X162" s="94"/>
      <c r="Y162" s="94"/>
      <c r="Z162" s="94"/>
      <c r="AA162" s="24"/>
      <c r="AB162" s="24"/>
      <c r="AC162" s="24"/>
      <c r="AD162" s="24"/>
      <c r="AE162" s="24"/>
      <c r="AF162" s="24"/>
      <c r="AG162" s="24"/>
      <c r="AH162" s="24"/>
    </row>
    <row r="163" spans="1:34">
      <c r="A163" s="956"/>
      <c r="B163" s="957">
        <v>142</v>
      </c>
      <c r="C163" s="958" t="s">
        <v>402</v>
      </c>
      <c r="D163" s="957">
        <v>-2</v>
      </c>
      <c r="E163" s="957">
        <v>1.91</v>
      </c>
      <c r="F163" s="959">
        <v>6.3319999999999999</v>
      </c>
      <c r="G163" s="960"/>
      <c r="H163" s="961"/>
      <c r="I163" s="962"/>
      <c r="J163" s="963"/>
      <c r="K163" s="963">
        <v>25</v>
      </c>
      <c r="L163" s="961">
        <v>0</v>
      </c>
      <c r="M163" s="964" t="s">
        <v>401</v>
      </c>
      <c r="N163" s="965"/>
      <c r="O163" s="966"/>
      <c r="P163" s="957"/>
      <c r="Q163" s="957"/>
      <c r="R163" s="94"/>
      <c r="S163" s="94"/>
      <c r="T163" s="94"/>
      <c r="U163" s="94"/>
      <c r="V163" s="94"/>
      <c r="W163" s="94"/>
      <c r="X163" s="94"/>
      <c r="Y163" s="94"/>
      <c r="Z163" s="94"/>
      <c r="AA163" s="24"/>
      <c r="AB163" s="24"/>
      <c r="AC163" s="24"/>
      <c r="AD163" s="24"/>
      <c r="AE163" s="24"/>
      <c r="AF163" s="24"/>
      <c r="AG163" s="24"/>
      <c r="AH163" s="24"/>
    </row>
    <row r="164" spans="1:34">
      <c r="A164" s="956"/>
      <c r="B164" s="957">
        <v>143</v>
      </c>
      <c r="C164" s="958" t="s">
        <v>411</v>
      </c>
      <c r="D164" s="957">
        <v>-2</v>
      </c>
      <c r="E164" s="957">
        <v>3.4590000000000001</v>
      </c>
      <c r="F164" s="959">
        <v>5.0970000000000004</v>
      </c>
      <c r="G164" s="960"/>
      <c r="H164" s="961"/>
      <c r="I164" s="962"/>
      <c r="J164" s="963"/>
      <c r="K164" s="963">
        <v>25</v>
      </c>
      <c r="L164" s="961">
        <v>0</v>
      </c>
      <c r="M164" s="964" t="s">
        <v>410</v>
      </c>
      <c r="N164" s="965"/>
      <c r="O164" s="966"/>
      <c r="P164" s="957"/>
      <c r="Q164" s="957"/>
      <c r="R164" s="94"/>
      <c r="S164" s="94"/>
      <c r="T164" s="94"/>
      <c r="U164" s="94"/>
      <c r="V164" s="94"/>
      <c r="W164" s="94"/>
      <c r="X164" s="94"/>
      <c r="Y164" s="94"/>
      <c r="Z164" s="94"/>
      <c r="AA164" s="24"/>
      <c r="AB164" s="24"/>
      <c r="AC164" s="24"/>
      <c r="AD164" s="24"/>
      <c r="AE164" s="24"/>
      <c r="AF164" s="24"/>
      <c r="AG164" s="24"/>
      <c r="AH164" s="24"/>
    </row>
    <row r="165" spans="1:34">
      <c r="A165" s="956"/>
      <c r="B165" s="957">
        <v>144</v>
      </c>
      <c r="C165" s="958" t="s">
        <v>212</v>
      </c>
      <c r="D165" s="957">
        <v>-2</v>
      </c>
      <c r="E165" s="957">
        <v>2.847</v>
      </c>
      <c r="F165" s="959">
        <v>5.6959999999999997</v>
      </c>
      <c r="G165" s="960"/>
      <c r="H165" s="961"/>
      <c r="I165" s="962"/>
      <c r="J165" s="963"/>
      <c r="K165" s="963">
        <v>25</v>
      </c>
      <c r="L165" s="961">
        <v>0</v>
      </c>
      <c r="M165" s="964" t="s">
        <v>213</v>
      </c>
      <c r="N165" s="965"/>
      <c r="O165" s="966"/>
      <c r="P165" s="957"/>
      <c r="Q165" s="957"/>
      <c r="R165" s="94"/>
      <c r="S165" s="94"/>
      <c r="T165" s="94"/>
      <c r="U165" s="94"/>
      <c r="V165" s="94"/>
      <c r="W165" s="94"/>
      <c r="X165" s="94"/>
      <c r="Y165" s="94"/>
      <c r="Z165" s="94"/>
      <c r="AA165" s="24"/>
      <c r="AB165" s="24"/>
      <c r="AC165" s="24"/>
      <c r="AD165" s="24"/>
      <c r="AE165" s="24"/>
      <c r="AF165" s="24"/>
      <c r="AG165" s="24"/>
      <c r="AH165" s="24"/>
    </row>
    <row r="166" spans="1:34">
      <c r="A166" s="956"/>
      <c r="B166" s="957">
        <v>145</v>
      </c>
      <c r="C166" s="958" t="s">
        <v>566</v>
      </c>
      <c r="D166" s="957">
        <v>0</v>
      </c>
      <c r="E166" s="957">
        <v>5</v>
      </c>
      <c r="F166" s="959"/>
      <c r="G166" s="960"/>
      <c r="H166" s="961"/>
      <c r="I166" s="962"/>
      <c r="J166" s="963"/>
      <c r="K166" s="963">
        <v>25</v>
      </c>
      <c r="L166" s="961">
        <v>0</v>
      </c>
      <c r="M166" s="964" t="s">
        <v>388</v>
      </c>
      <c r="N166" s="965"/>
      <c r="O166" s="966"/>
      <c r="P166" s="957"/>
      <c r="Q166" s="957"/>
      <c r="R166" s="94"/>
      <c r="S166" s="94"/>
      <c r="T166" s="94"/>
      <c r="U166" s="94"/>
      <c r="V166" s="94"/>
      <c r="W166" s="94"/>
      <c r="X166" s="94"/>
      <c r="Y166" s="94"/>
      <c r="Z166" s="94"/>
      <c r="AA166" s="24"/>
      <c r="AB166" s="24"/>
      <c r="AC166" s="24"/>
      <c r="AD166" s="24"/>
      <c r="AE166" s="24"/>
      <c r="AF166" s="24"/>
      <c r="AG166" s="24"/>
      <c r="AH166" s="24"/>
    </row>
    <row r="167" spans="1:34">
      <c r="A167" s="956"/>
      <c r="B167" s="957">
        <v>146</v>
      </c>
      <c r="C167" s="958" t="s">
        <v>567</v>
      </c>
      <c r="D167" s="957">
        <v>-1</v>
      </c>
      <c r="E167" s="957">
        <v>2.13</v>
      </c>
      <c r="F167" s="959">
        <v>9.27</v>
      </c>
      <c r="G167" s="960"/>
      <c r="H167" s="961"/>
      <c r="I167" s="962"/>
      <c r="J167" s="963"/>
      <c r="K167" s="963">
        <v>25</v>
      </c>
      <c r="L167" s="961">
        <v>0</v>
      </c>
      <c r="M167" s="964" t="s">
        <v>456</v>
      </c>
      <c r="N167" s="965"/>
      <c r="O167" s="966"/>
      <c r="P167" s="957"/>
      <c r="Q167" s="957"/>
      <c r="R167" s="94"/>
      <c r="S167" s="94"/>
      <c r="T167" s="94"/>
      <c r="U167" s="94"/>
      <c r="V167" s="94"/>
      <c r="W167" s="94"/>
      <c r="X167" s="94"/>
      <c r="Y167" s="94"/>
      <c r="Z167" s="94"/>
      <c r="AA167" s="24"/>
      <c r="AB167" s="24"/>
      <c r="AC167" s="24"/>
      <c r="AD167" s="24"/>
      <c r="AE167" s="24"/>
      <c r="AF167" s="24"/>
      <c r="AG167" s="24"/>
      <c r="AH167" s="24"/>
    </row>
    <row r="168" spans="1:34">
      <c r="A168" s="956"/>
      <c r="B168" s="957">
        <v>147</v>
      </c>
      <c r="C168" s="958" t="s">
        <v>365</v>
      </c>
      <c r="D168" s="957">
        <v>0</v>
      </c>
      <c r="E168" s="957">
        <v>10.63</v>
      </c>
      <c r="F168" s="959"/>
      <c r="G168" s="960"/>
      <c r="H168" s="961"/>
      <c r="I168" s="962"/>
      <c r="J168" s="963"/>
      <c r="K168" s="963">
        <v>25</v>
      </c>
      <c r="L168" s="961">
        <v>0</v>
      </c>
      <c r="M168" s="964" t="s">
        <v>370</v>
      </c>
      <c r="N168" s="965">
        <v>31.1</v>
      </c>
      <c r="O168" s="966"/>
      <c r="P168" s="957"/>
      <c r="Q168" s="957"/>
      <c r="R168" s="94"/>
      <c r="S168" s="94"/>
      <c r="T168" s="94"/>
      <c r="U168" s="94"/>
      <c r="V168" s="94"/>
      <c r="W168" s="94"/>
      <c r="X168" s="94"/>
      <c r="Y168" s="94"/>
      <c r="Z168" s="94"/>
      <c r="AA168" s="24"/>
      <c r="AB168" s="24"/>
      <c r="AC168" s="24"/>
      <c r="AD168" s="24"/>
      <c r="AE168" s="24"/>
      <c r="AF168" s="24"/>
      <c r="AG168" s="24"/>
      <c r="AH168" s="24"/>
    </row>
    <row r="169" spans="1:34">
      <c r="A169" s="956"/>
      <c r="B169" s="957">
        <v>148</v>
      </c>
      <c r="C169" s="958" t="s">
        <v>568</v>
      </c>
      <c r="D169" s="957">
        <v>0</v>
      </c>
      <c r="E169" s="957">
        <v>4.4470000000000001</v>
      </c>
      <c r="F169" s="959"/>
      <c r="G169" s="960"/>
      <c r="H169" s="961"/>
      <c r="I169" s="962"/>
      <c r="J169" s="963"/>
      <c r="K169" s="963">
        <v>25</v>
      </c>
      <c r="L169" s="961">
        <v>0</v>
      </c>
      <c r="M169" s="964" t="s">
        <v>569</v>
      </c>
      <c r="N169" s="965" t="s">
        <v>570</v>
      </c>
      <c r="O169" s="966"/>
      <c r="P169" s="957"/>
      <c r="Q169" s="957"/>
      <c r="R169" s="94"/>
      <c r="S169" s="94"/>
      <c r="T169" s="94"/>
      <c r="U169" s="94"/>
      <c r="V169" s="94"/>
      <c r="W169" s="94"/>
      <c r="X169" s="94"/>
      <c r="Y169" s="94"/>
      <c r="Z169" s="94"/>
      <c r="AA169" s="24"/>
      <c r="AB169" s="24"/>
      <c r="AC169" s="24"/>
      <c r="AD169" s="24"/>
      <c r="AE169" s="24"/>
      <c r="AF169" s="24"/>
      <c r="AG169" s="24"/>
      <c r="AH169" s="24"/>
    </row>
    <row r="170" spans="1:34">
      <c r="A170" s="956"/>
      <c r="B170" s="957">
        <v>149</v>
      </c>
      <c r="C170" s="958" t="s">
        <v>571</v>
      </c>
      <c r="D170" s="957">
        <v>0</v>
      </c>
      <c r="E170" s="957">
        <v>5.0839999999999996</v>
      </c>
      <c r="F170" s="959"/>
      <c r="G170" s="960"/>
      <c r="H170" s="961"/>
      <c r="I170" s="962"/>
      <c r="J170" s="963"/>
      <c r="K170" s="963">
        <v>25</v>
      </c>
      <c r="L170" s="961">
        <v>0</v>
      </c>
      <c r="M170" s="964" t="s">
        <v>569</v>
      </c>
      <c r="N170" s="965" t="s">
        <v>570</v>
      </c>
      <c r="O170" s="966"/>
      <c r="P170" s="957"/>
      <c r="Q170" s="957"/>
      <c r="R170" s="94"/>
      <c r="S170" s="94"/>
      <c r="T170" s="94"/>
      <c r="U170" s="94"/>
      <c r="V170" s="94"/>
      <c r="W170" s="94"/>
      <c r="X170" s="94"/>
      <c r="Y170" s="94"/>
      <c r="Z170" s="94"/>
      <c r="AA170" s="24"/>
      <c r="AB170" s="24"/>
      <c r="AC170" s="24"/>
      <c r="AD170" s="24"/>
      <c r="AE170" s="24"/>
      <c r="AF170" s="24"/>
      <c r="AG170" s="24"/>
      <c r="AH170" s="24"/>
    </row>
    <row r="171" spans="1:34">
      <c r="A171" s="956"/>
      <c r="B171" s="957">
        <v>150</v>
      </c>
      <c r="C171" s="958" t="s">
        <v>98</v>
      </c>
      <c r="D171" s="957">
        <v>0</v>
      </c>
      <c r="E171" s="957">
        <v>6.19</v>
      </c>
      <c r="F171" s="959"/>
      <c r="G171" s="960"/>
      <c r="H171" s="961"/>
      <c r="I171" s="962"/>
      <c r="J171" s="963"/>
      <c r="K171" s="963">
        <v>25</v>
      </c>
      <c r="L171" s="961">
        <v>0</v>
      </c>
      <c r="M171" s="964" t="s">
        <v>97</v>
      </c>
      <c r="N171" s="965"/>
      <c r="O171" s="966"/>
      <c r="P171" s="957"/>
      <c r="Q171" s="957"/>
      <c r="R171" s="94"/>
      <c r="S171" s="94"/>
      <c r="T171" s="94"/>
      <c r="U171" s="94"/>
      <c r="V171" s="94"/>
      <c r="W171" s="94"/>
      <c r="X171" s="94"/>
      <c r="Y171" s="94"/>
      <c r="Z171" s="94"/>
      <c r="AA171" s="24"/>
      <c r="AB171" s="24"/>
      <c r="AC171" s="24"/>
      <c r="AD171" s="24"/>
      <c r="AE171" s="24"/>
      <c r="AF171" s="24"/>
      <c r="AG171" s="24"/>
      <c r="AH171" s="24"/>
    </row>
    <row r="172" spans="1:34">
      <c r="A172" s="956"/>
      <c r="B172" s="957">
        <v>151</v>
      </c>
      <c r="C172" s="958" t="s">
        <v>448</v>
      </c>
      <c r="D172" s="957">
        <v>-1</v>
      </c>
      <c r="E172" s="1363">
        <v>4.8</v>
      </c>
      <c r="F172" s="959"/>
      <c r="G172" s="960"/>
      <c r="H172" s="961"/>
      <c r="I172" s="962"/>
      <c r="J172" s="963"/>
      <c r="K172" s="963">
        <v>25</v>
      </c>
      <c r="L172" s="961">
        <v>0</v>
      </c>
      <c r="M172" s="964" t="s">
        <v>447</v>
      </c>
      <c r="N172" s="965"/>
      <c r="O172" s="966"/>
      <c r="P172" s="957"/>
      <c r="Q172" s="957"/>
      <c r="R172" s="94"/>
      <c r="S172" s="94"/>
      <c r="T172" s="94"/>
      <c r="U172" s="94"/>
      <c r="V172" s="94"/>
      <c r="W172" s="94"/>
      <c r="X172" s="94"/>
      <c r="Y172" s="94"/>
      <c r="Z172" s="94"/>
      <c r="AA172" s="24"/>
      <c r="AB172" s="24"/>
      <c r="AC172" s="24"/>
      <c r="AD172" s="24"/>
      <c r="AE172" s="24"/>
      <c r="AF172" s="24"/>
      <c r="AG172" s="24"/>
      <c r="AH172" s="24"/>
    </row>
    <row r="173" spans="1:34">
      <c r="A173" s="956"/>
      <c r="B173" s="957">
        <v>152</v>
      </c>
      <c r="C173" s="958" t="s">
        <v>449</v>
      </c>
      <c r="D173" s="957">
        <v>-1</v>
      </c>
      <c r="E173" s="957">
        <v>4.7699999999999996</v>
      </c>
      <c r="F173" s="959"/>
      <c r="G173" s="960"/>
      <c r="H173" s="961"/>
      <c r="I173" s="962"/>
      <c r="J173" s="963"/>
      <c r="K173" s="963">
        <v>25</v>
      </c>
      <c r="L173" s="961">
        <v>0</v>
      </c>
      <c r="M173" s="964" t="s">
        <v>447</v>
      </c>
      <c r="N173" s="965"/>
      <c r="O173" s="966"/>
      <c r="P173" s="957"/>
      <c r="Q173" s="957"/>
      <c r="R173" s="94"/>
      <c r="S173" s="94"/>
      <c r="T173" s="94"/>
      <c r="U173" s="94"/>
      <c r="V173" s="94"/>
      <c r="W173" s="94"/>
      <c r="X173" s="94"/>
      <c r="Y173" s="94"/>
      <c r="Z173" s="94"/>
      <c r="AA173" s="24"/>
      <c r="AB173" s="24"/>
      <c r="AC173" s="24"/>
      <c r="AD173" s="24"/>
      <c r="AE173" s="24"/>
      <c r="AF173" s="24"/>
      <c r="AG173" s="24"/>
      <c r="AH173" s="24"/>
    </row>
    <row r="174" spans="1:34">
      <c r="A174" s="956"/>
      <c r="B174" s="957">
        <v>153</v>
      </c>
      <c r="C174" s="958" t="s">
        <v>214</v>
      </c>
      <c r="D174" s="957">
        <v>-2</v>
      </c>
      <c r="E174" s="957">
        <v>3.07</v>
      </c>
      <c r="F174" s="959">
        <v>5.76</v>
      </c>
      <c r="G174" s="960"/>
      <c r="H174" s="961"/>
      <c r="I174" s="962"/>
      <c r="J174" s="963"/>
      <c r="K174" s="963">
        <v>25</v>
      </c>
      <c r="L174" s="961">
        <v>0</v>
      </c>
      <c r="M174" s="964" t="s">
        <v>409</v>
      </c>
      <c r="N174" s="965"/>
      <c r="O174" s="966"/>
      <c r="P174" s="957"/>
      <c r="Q174" s="957"/>
      <c r="R174" s="94"/>
      <c r="S174" s="94"/>
      <c r="T174" s="94"/>
      <c r="U174" s="94"/>
      <c r="V174" s="94"/>
      <c r="W174" s="94"/>
      <c r="X174" s="94"/>
      <c r="Y174" s="94"/>
      <c r="Z174" s="94"/>
      <c r="AA174" s="24"/>
      <c r="AB174" s="24"/>
      <c r="AC174" s="24"/>
      <c r="AD174" s="24"/>
      <c r="AE174" s="24"/>
      <c r="AF174" s="24"/>
      <c r="AG174" s="24"/>
      <c r="AH174" s="24"/>
    </row>
    <row r="175" spans="1:34">
      <c r="A175" s="956"/>
      <c r="B175" s="957">
        <v>154</v>
      </c>
      <c r="C175" s="958" t="s">
        <v>284</v>
      </c>
      <c r="D175" s="957">
        <v>0</v>
      </c>
      <c r="E175" s="957">
        <v>3.67</v>
      </c>
      <c r="F175" s="959"/>
      <c r="G175" s="960"/>
      <c r="H175" s="961"/>
      <c r="I175" s="962"/>
      <c r="J175" s="963"/>
      <c r="K175" s="963">
        <v>27</v>
      </c>
      <c r="L175" s="961">
        <v>0</v>
      </c>
      <c r="M175" s="964" t="s">
        <v>283</v>
      </c>
      <c r="N175" s="965"/>
      <c r="O175" s="966"/>
      <c r="P175" s="957"/>
      <c r="Q175" s="957"/>
      <c r="R175" s="94"/>
      <c r="S175" s="94"/>
      <c r="T175" s="94"/>
      <c r="U175" s="94"/>
      <c r="V175" s="94"/>
      <c r="W175" s="94"/>
      <c r="X175" s="94"/>
      <c r="Y175" s="94"/>
      <c r="Z175" s="94"/>
      <c r="AA175" s="24"/>
      <c r="AB175" s="24"/>
      <c r="AC175" s="24"/>
      <c r="AD175" s="24"/>
      <c r="AE175" s="24"/>
      <c r="AF175" s="24"/>
      <c r="AG175" s="24"/>
      <c r="AH175" s="24"/>
    </row>
    <row r="176" spans="1:34">
      <c r="A176" s="956"/>
      <c r="B176" s="957">
        <v>155</v>
      </c>
      <c r="C176" s="958" t="s">
        <v>50</v>
      </c>
      <c r="D176" s="957">
        <v>-1</v>
      </c>
      <c r="E176" s="957">
        <v>4.84</v>
      </c>
      <c r="F176" s="959"/>
      <c r="G176" s="960"/>
      <c r="H176" s="961"/>
      <c r="I176" s="962"/>
      <c r="J176" s="963"/>
      <c r="K176" s="963">
        <v>18</v>
      </c>
      <c r="L176" s="961">
        <v>0</v>
      </c>
      <c r="M176" s="964" t="s">
        <v>48</v>
      </c>
      <c r="N176" s="965"/>
      <c r="O176" s="966"/>
      <c r="P176" s="957"/>
      <c r="Q176" s="957"/>
      <c r="R176" s="94"/>
      <c r="S176" s="94"/>
      <c r="T176" s="94"/>
      <c r="U176" s="94"/>
      <c r="V176" s="94"/>
      <c r="W176" s="94"/>
      <c r="X176" s="94"/>
      <c r="Y176" s="94"/>
      <c r="Z176" s="94"/>
      <c r="AA176" s="24"/>
      <c r="AB176" s="24"/>
      <c r="AC176" s="24"/>
      <c r="AD176" s="24"/>
      <c r="AE176" s="24"/>
      <c r="AF176" s="24"/>
      <c r="AG176" s="24"/>
      <c r="AH176" s="24"/>
    </row>
    <row r="177" spans="1:34">
      <c r="A177" s="956"/>
      <c r="B177" s="957">
        <v>156</v>
      </c>
      <c r="C177" s="958" t="s">
        <v>52</v>
      </c>
      <c r="D177" s="957">
        <v>0</v>
      </c>
      <c r="E177" s="957">
        <v>10.08</v>
      </c>
      <c r="F177" s="959"/>
      <c r="G177" s="960"/>
      <c r="H177" s="961"/>
      <c r="I177" s="962"/>
      <c r="J177" s="963"/>
      <c r="K177" s="963">
        <v>25</v>
      </c>
      <c r="L177" s="961">
        <v>0</v>
      </c>
      <c r="M177" s="964" t="s">
        <v>51</v>
      </c>
      <c r="N177" s="965"/>
      <c r="O177" s="966"/>
      <c r="P177" s="957"/>
      <c r="Q177" s="957"/>
      <c r="R177" s="94"/>
      <c r="S177" s="94"/>
      <c r="T177" s="94"/>
      <c r="U177" s="94"/>
      <c r="V177" s="94"/>
      <c r="W177" s="94"/>
      <c r="X177" s="94"/>
      <c r="Y177" s="94"/>
      <c r="Z177" s="94"/>
      <c r="AA177" s="24"/>
      <c r="AB177" s="24"/>
      <c r="AC177" s="24"/>
      <c r="AD177" s="24"/>
      <c r="AE177" s="24"/>
      <c r="AF177" s="24"/>
      <c r="AG177" s="24"/>
      <c r="AH177" s="24"/>
    </row>
    <row r="178" spans="1:34">
      <c r="A178" s="956"/>
      <c r="B178" s="957">
        <v>157</v>
      </c>
      <c r="C178" s="958" t="s">
        <v>572</v>
      </c>
      <c r="D178" s="957">
        <v>-1</v>
      </c>
      <c r="E178" s="957">
        <v>10.28</v>
      </c>
      <c r="F178" s="959"/>
      <c r="G178" s="960"/>
      <c r="H178" s="961"/>
      <c r="I178" s="962"/>
      <c r="J178" s="963"/>
      <c r="K178" s="963">
        <v>25</v>
      </c>
      <c r="L178" s="961">
        <v>0</v>
      </c>
      <c r="M178" s="964" t="s">
        <v>81</v>
      </c>
      <c r="N178" s="965" t="s">
        <v>573</v>
      </c>
      <c r="O178" s="966"/>
      <c r="P178" s="957"/>
      <c r="Q178" s="957"/>
      <c r="R178" s="94"/>
      <c r="S178" s="94"/>
      <c r="T178" s="94"/>
      <c r="U178" s="94"/>
      <c r="V178" s="94"/>
      <c r="W178" s="94"/>
      <c r="X178" s="94"/>
      <c r="Y178" s="94"/>
      <c r="Z178" s="94"/>
      <c r="AA178" s="24"/>
      <c r="AB178" s="24"/>
      <c r="AC178" s="24"/>
      <c r="AD178" s="24"/>
      <c r="AE178" s="24"/>
      <c r="AF178" s="24"/>
      <c r="AG178" s="24"/>
      <c r="AH178" s="24"/>
    </row>
    <row r="179" spans="1:34">
      <c r="A179" s="956"/>
      <c r="B179" s="957">
        <v>158</v>
      </c>
      <c r="C179" s="958" t="s">
        <v>574</v>
      </c>
      <c r="D179" s="957">
        <v>-1</v>
      </c>
      <c r="E179" s="957">
        <v>10.26</v>
      </c>
      <c r="F179" s="959"/>
      <c r="G179" s="960"/>
      <c r="H179" s="961"/>
      <c r="I179" s="962"/>
      <c r="J179" s="963"/>
      <c r="K179" s="963">
        <v>25</v>
      </c>
      <c r="L179" s="961">
        <v>0</v>
      </c>
      <c r="M179" s="964" t="s">
        <v>81</v>
      </c>
      <c r="N179" s="965" t="s">
        <v>573</v>
      </c>
      <c r="O179" s="966"/>
      <c r="P179" s="957"/>
      <c r="Q179" s="957"/>
      <c r="R179" s="94"/>
      <c r="S179" s="94"/>
      <c r="T179" s="94"/>
      <c r="U179" s="94"/>
      <c r="V179" s="94"/>
      <c r="W179" s="94"/>
      <c r="X179" s="94"/>
      <c r="Y179" s="94"/>
      <c r="Z179" s="94"/>
      <c r="AA179" s="24"/>
      <c r="AB179" s="24"/>
      <c r="AC179" s="24"/>
      <c r="AD179" s="24"/>
      <c r="AE179" s="24"/>
      <c r="AF179" s="24"/>
      <c r="AG179" s="24"/>
      <c r="AH179" s="24"/>
    </row>
    <row r="180" spans="1:34">
      <c r="A180" s="956"/>
      <c r="B180" s="957">
        <v>159</v>
      </c>
      <c r="C180" s="958" t="s">
        <v>38</v>
      </c>
      <c r="D180" s="957">
        <v>0</v>
      </c>
      <c r="E180" s="957">
        <v>5.97</v>
      </c>
      <c r="F180" s="959"/>
      <c r="G180" s="960"/>
      <c r="H180" s="961"/>
      <c r="I180" s="962"/>
      <c r="J180" s="963"/>
      <c r="K180" s="963">
        <v>20</v>
      </c>
      <c r="L180" s="961">
        <v>0</v>
      </c>
      <c r="M180" s="964" t="s">
        <v>37</v>
      </c>
      <c r="N180" s="965"/>
      <c r="O180" s="966"/>
      <c r="P180" s="957"/>
      <c r="Q180" s="957"/>
      <c r="R180" s="94"/>
      <c r="S180" s="94"/>
      <c r="T180" s="94"/>
      <c r="U180" s="94"/>
      <c r="V180" s="94"/>
      <c r="W180" s="94"/>
      <c r="X180" s="94"/>
      <c r="Y180" s="94"/>
      <c r="Z180" s="94"/>
      <c r="AA180" s="24"/>
      <c r="AB180" s="24"/>
      <c r="AC180" s="24"/>
      <c r="AD180" s="24"/>
      <c r="AE180" s="24"/>
      <c r="AF180" s="24"/>
      <c r="AG180" s="24"/>
      <c r="AH180" s="24"/>
    </row>
    <row r="181" spans="1:34">
      <c r="A181" s="956"/>
      <c r="B181" s="957">
        <v>160</v>
      </c>
      <c r="C181" s="958" t="s">
        <v>39</v>
      </c>
      <c r="D181" s="957">
        <v>0</v>
      </c>
      <c r="E181" s="957">
        <v>5.68</v>
      </c>
      <c r="F181" s="959"/>
      <c r="G181" s="960"/>
      <c r="H181" s="961"/>
      <c r="I181" s="962"/>
      <c r="J181" s="963"/>
      <c r="K181" s="963">
        <v>20</v>
      </c>
      <c r="L181" s="961">
        <v>0</v>
      </c>
      <c r="M181" s="964" t="s">
        <v>37</v>
      </c>
      <c r="N181" s="965"/>
      <c r="O181" s="966"/>
      <c r="P181" s="957"/>
      <c r="Q181" s="957"/>
      <c r="R181" s="94"/>
      <c r="S181" s="94"/>
      <c r="T181" s="94"/>
      <c r="U181" s="94"/>
      <c r="V181" s="94"/>
      <c r="W181" s="94"/>
      <c r="X181" s="94"/>
      <c r="Y181" s="94"/>
      <c r="Z181" s="94"/>
      <c r="AA181" s="24"/>
      <c r="AB181" s="24"/>
      <c r="AC181" s="24"/>
      <c r="AD181" s="24"/>
      <c r="AE181" s="24"/>
      <c r="AF181" s="24"/>
      <c r="AG181" s="24"/>
      <c r="AH181" s="24"/>
    </row>
    <row r="182" spans="1:34">
      <c r="A182" s="956"/>
      <c r="B182" s="957">
        <v>161</v>
      </c>
      <c r="C182" s="958" t="s">
        <v>40</v>
      </c>
      <c r="D182" s="957">
        <v>0</v>
      </c>
      <c r="E182" s="957">
        <v>6.02</v>
      </c>
      <c r="F182" s="959"/>
      <c r="G182" s="960"/>
      <c r="H182" s="961"/>
      <c r="I182" s="962"/>
      <c r="J182" s="963"/>
      <c r="K182" s="963">
        <v>20</v>
      </c>
      <c r="L182" s="961">
        <v>0</v>
      </c>
      <c r="M182" s="964" t="s">
        <v>37</v>
      </c>
      <c r="N182" s="965"/>
      <c r="O182" s="966"/>
      <c r="P182" s="957"/>
      <c r="Q182" s="957"/>
      <c r="R182" s="94"/>
      <c r="S182" s="94"/>
      <c r="T182" s="94"/>
      <c r="U182" s="94"/>
      <c r="V182" s="94"/>
      <c r="W182" s="94"/>
      <c r="X182" s="94"/>
      <c r="Y182" s="94"/>
      <c r="Z182" s="94"/>
      <c r="AA182" s="24"/>
      <c r="AB182" s="24"/>
      <c r="AC182" s="24"/>
      <c r="AD182" s="24"/>
      <c r="AE182" s="24"/>
      <c r="AF182" s="24"/>
      <c r="AG182" s="24"/>
      <c r="AH182" s="24"/>
    </row>
    <row r="183" spans="1:34">
      <c r="A183" s="956"/>
      <c r="B183" s="957">
        <v>162</v>
      </c>
      <c r="C183" s="958" t="s">
        <v>294</v>
      </c>
      <c r="D183" s="957">
        <v>0</v>
      </c>
      <c r="E183" s="957">
        <v>8.2100000000000009</v>
      </c>
      <c r="F183" s="959"/>
      <c r="G183" s="960"/>
      <c r="H183" s="961"/>
      <c r="I183" s="962"/>
      <c r="J183" s="963"/>
      <c r="K183" s="963">
        <v>25</v>
      </c>
      <c r="L183" s="961">
        <v>0</v>
      </c>
      <c r="M183" s="964" t="s">
        <v>293</v>
      </c>
      <c r="N183" s="965"/>
      <c r="O183" s="966"/>
      <c r="P183" s="957"/>
      <c r="Q183" s="957"/>
      <c r="R183" s="94"/>
      <c r="S183" s="94"/>
      <c r="T183" s="94"/>
      <c r="U183" s="94"/>
      <c r="V183" s="94"/>
      <c r="W183" s="94"/>
      <c r="X183" s="94"/>
      <c r="Y183" s="94"/>
      <c r="Z183" s="94"/>
      <c r="AA183" s="24"/>
      <c r="AB183" s="24"/>
      <c r="AC183" s="24"/>
      <c r="AD183" s="24"/>
      <c r="AE183" s="24"/>
      <c r="AF183" s="24"/>
      <c r="AG183" s="24"/>
      <c r="AH183" s="24"/>
    </row>
    <row r="184" spans="1:34">
      <c r="A184" s="956"/>
      <c r="B184" s="957">
        <v>163</v>
      </c>
      <c r="C184" s="958" t="s">
        <v>424</v>
      </c>
      <c r="D184" s="957">
        <v>0</v>
      </c>
      <c r="E184" s="957">
        <v>8.33</v>
      </c>
      <c r="F184" s="959"/>
      <c r="G184" s="960"/>
      <c r="H184" s="961"/>
      <c r="I184" s="962"/>
      <c r="J184" s="963"/>
      <c r="K184" s="963">
        <v>25</v>
      </c>
      <c r="L184" s="961">
        <v>0</v>
      </c>
      <c r="M184" s="964" t="s">
        <v>423</v>
      </c>
      <c r="N184" s="965"/>
      <c r="O184" s="966"/>
      <c r="P184" s="957"/>
      <c r="Q184" s="957"/>
      <c r="R184" s="94"/>
      <c r="S184" s="94"/>
      <c r="T184" s="94"/>
      <c r="U184" s="94"/>
      <c r="V184" s="94"/>
      <c r="W184" s="94"/>
      <c r="X184" s="94"/>
      <c r="Y184" s="94"/>
      <c r="Z184" s="94"/>
      <c r="AA184" s="24"/>
      <c r="AB184" s="24"/>
      <c r="AC184" s="24"/>
      <c r="AD184" s="24"/>
      <c r="AE184" s="24"/>
      <c r="AF184" s="24"/>
      <c r="AG184" s="24"/>
      <c r="AH184" s="24"/>
    </row>
    <row r="185" spans="1:34">
      <c r="A185" s="956"/>
      <c r="B185" s="957">
        <v>164</v>
      </c>
      <c r="C185" s="971" t="s">
        <v>1150</v>
      </c>
      <c r="D185" s="957">
        <v>-1</v>
      </c>
      <c r="E185" s="1363">
        <v>6.2</v>
      </c>
      <c r="F185" s="959"/>
      <c r="G185" s="960"/>
      <c r="H185" s="961"/>
      <c r="I185" s="962"/>
      <c r="J185" s="963"/>
      <c r="K185" s="963">
        <v>25</v>
      </c>
      <c r="L185" s="961">
        <v>0</v>
      </c>
      <c r="M185" s="964" t="s">
        <v>1151</v>
      </c>
      <c r="N185" s="965">
        <v>195.2</v>
      </c>
      <c r="O185" s="966"/>
      <c r="P185" s="957"/>
      <c r="Q185" s="957"/>
      <c r="R185" s="94"/>
      <c r="S185" s="94"/>
      <c r="T185" s="94"/>
      <c r="U185" s="94"/>
      <c r="V185" s="94"/>
      <c r="W185" s="94"/>
      <c r="X185" s="94"/>
      <c r="Y185" s="94"/>
      <c r="Z185" s="94"/>
      <c r="AA185" s="24"/>
      <c r="AB185" s="24"/>
      <c r="AC185" s="24"/>
      <c r="AD185" s="24"/>
      <c r="AE185" s="24"/>
      <c r="AF185" s="24"/>
      <c r="AG185" s="24"/>
      <c r="AH185" s="24"/>
    </row>
    <row r="186" spans="1:34">
      <c r="A186" s="956"/>
      <c r="B186" s="957">
        <v>165</v>
      </c>
      <c r="C186" s="958" t="s">
        <v>273</v>
      </c>
      <c r="D186" s="957">
        <v>-1</v>
      </c>
      <c r="E186" s="957">
        <v>9.34</v>
      </c>
      <c r="F186" s="959"/>
      <c r="G186" s="960"/>
      <c r="H186" s="961"/>
      <c r="I186" s="962"/>
      <c r="J186" s="963"/>
      <c r="K186" s="963">
        <v>25</v>
      </c>
      <c r="L186" s="961">
        <v>0</v>
      </c>
      <c r="M186" s="964" t="s">
        <v>272</v>
      </c>
      <c r="N186" s="965"/>
      <c r="O186" s="966"/>
      <c r="P186" s="957"/>
      <c r="Q186" s="957"/>
      <c r="R186" s="94"/>
      <c r="S186" s="94"/>
      <c r="T186" s="94"/>
      <c r="U186" s="94"/>
      <c r="V186" s="94"/>
      <c r="W186" s="94"/>
      <c r="X186" s="94"/>
      <c r="Y186" s="94"/>
      <c r="Z186" s="94"/>
      <c r="AA186" s="24"/>
      <c r="AB186" s="24"/>
      <c r="AC186" s="24"/>
      <c r="AD186" s="24"/>
      <c r="AE186" s="24"/>
      <c r="AF186" s="24"/>
      <c r="AG186" s="24"/>
      <c r="AH186" s="24"/>
    </row>
    <row r="187" spans="1:34">
      <c r="A187" s="956"/>
      <c r="B187" s="957">
        <v>166</v>
      </c>
      <c r="C187" s="958" t="s">
        <v>274</v>
      </c>
      <c r="D187" s="957">
        <v>-1</v>
      </c>
      <c r="E187" s="957">
        <v>9.51</v>
      </c>
      <c r="F187" s="959"/>
      <c r="G187" s="960"/>
      <c r="H187" s="961"/>
      <c r="I187" s="962"/>
      <c r="J187" s="963"/>
      <c r="K187" s="963">
        <v>25</v>
      </c>
      <c r="L187" s="961">
        <v>0</v>
      </c>
      <c r="M187" s="964" t="s">
        <v>272</v>
      </c>
      <c r="N187" s="965"/>
      <c r="O187" s="966"/>
      <c r="P187" s="957"/>
      <c r="Q187" s="957"/>
      <c r="R187" s="94"/>
      <c r="S187" s="94"/>
      <c r="T187" s="94"/>
      <c r="U187" s="94"/>
      <c r="V187" s="94"/>
      <c r="W187" s="94"/>
      <c r="X187" s="94"/>
      <c r="Y187" s="94"/>
      <c r="Z187" s="94"/>
      <c r="AA187" s="24"/>
      <c r="AB187" s="24"/>
      <c r="AC187" s="24"/>
      <c r="AD187" s="24"/>
      <c r="AE187" s="24"/>
      <c r="AF187" s="24"/>
      <c r="AG187" s="24"/>
      <c r="AH187" s="24"/>
    </row>
    <row r="188" spans="1:34">
      <c r="A188" s="956"/>
      <c r="B188" s="957">
        <v>167</v>
      </c>
      <c r="C188" s="958" t="s">
        <v>276</v>
      </c>
      <c r="D188" s="957">
        <v>0</v>
      </c>
      <c r="E188" s="959">
        <v>3.12</v>
      </c>
      <c r="F188" s="957">
        <v>8.02</v>
      </c>
      <c r="G188" s="961"/>
      <c r="H188" s="961"/>
      <c r="I188" s="962"/>
      <c r="J188" s="963"/>
      <c r="K188" s="963">
        <v>25</v>
      </c>
      <c r="L188" s="961">
        <v>0</v>
      </c>
      <c r="M188" s="964" t="s">
        <v>275</v>
      </c>
      <c r="N188" s="965"/>
      <c r="O188" s="966"/>
      <c r="P188" s="957"/>
      <c r="Q188" s="957"/>
      <c r="R188" s="94"/>
      <c r="S188" s="94"/>
      <c r="T188" s="94"/>
      <c r="U188" s="94"/>
      <c r="V188" s="94"/>
      <c r="W188" s="94"/>
      <c r="X188" s="94"/>
      <c r="Y188" s="94"/>
      <c r="Z188" s="94"/>
      <c r="AA188" s="24"/>
      <c r="AB188" s="24"/>
      <c r="AC188" s="24"/>
      <c r="AD188" s="24"/>
      <c r="AE188" s="24"/>
      <c r="AF188" s="24"/>
      <c r="AG188" s="24"/>
      <c r="AH188" s="24"/>
    </row>
    <row r="189" spans="1:34">
      <c r="A189" s="956"/>
      <c r="B189" s="957">
        <v>168</v>
      </c>
      <c r="C189" s="958" t="s">
        <v>215</v>
      </c>
      <c r="D189" s="957">
        <v>-3</v>
      </c>
      <c r="E189" s="957">
        <v>1.1000000000000001</v>
      </c>
      <c r="F189" s="959">
        <v>1.65</v>
      </c>
      <c r="G189" s="960">
        <v>2.94</v>
      </c>
      <c r="H189" s="961">
        <v>10.334</v>
      </c>
      <c r="I189" s="962"/>
      <c r="J189" s="963"/>
      <c r="K189" s="963">
        <v>20</v>
      </c>
      <c r="L189" s="961">
        <v>0</v>
      </c>
      <c r="M189" s="1361" t="s">
        <v>1152</v>
      </c>
      <c r="N189" s="1362">
        <v>191.11</v>
      </c>
      <c r="O189" s="966"/>
      <c r="P189" s="957"/>
      <c r="Q189" s="957"/>
      <c r="R189" s="94"/>
      <c r="S189" s="94"/>
      <c r="T189" s="94"/>
      <c r="U189" s="94"/>
      <c r="V189" s="94"/>
      <c r="W189" s="94"/>
      <c r="X189" s="94"/>
      <c r="Y189" s="94"/>
      <c r="Z189" s="94"/>
      <c r="AA189" s="24"/>
      <c r="AB189" s="24"/>
      <c r="AC189" s="24"/>
      <c r="AD189" s="24"/>
      <c r="AE189" s="24"/>
      <c r="AF189" s="24"/>
      <c r="AG189" s="24"/>
      <c r="AH189" s="24"/>
    </row>
    <row r="190" spans="1:34">
      <c r="A190" s="956"/>
      <c r="B190" s="957">
        <v>169</v>
      </c>
      <c r="C190" s="958" t="s">
        <v>480</v>
      </c>
      <c r="D190" s="957">
        <v>0</v>
      </c>
      <c r="E190" s="957">
        <v>-0.26</v>
      </c>
      <c r="F190" s="959"/>
      <c r="G190" s="960"/>
      <c r="H190" s="961"/>
      <c r="I190" s="962"/>
      <c r="J190" s="963"/>
      <c r="K190" s="963">
        <v>25</v>
      </c>
      <c r="L190" s="961">
        <v>0</v>
      </c>
      <c r="M190" s="964" t="s">
        <v>479</v>
      </c>
      <c r="N190" s="965"/>
      <c r="O190" s="966"/>
      <c r="P190" s="957"/>
      <c r="Q190" s="957"/>
      <c r="R190" s="94"/>
      <c r="S190" s="94"/>
      <c r="T190" s="94"/>
      <c r="U190" s="94"/>
      <c r="V190" s="94"/>
      <c r="W190" s="94"/>
      <c r="X190" s="94"/>
      <c r="Y190" s="94"/>
      <c r="Z190" s="94"/>
      <c r="AA190" s="24"/>
      <c r="AB190" s="24"/>
      <c r="AC190" s="24"/>
      <c r="AD190" s="24"/>
      <c r="AE190" s="24"/>
      <c r="AF190" s="24"/>
      <c r="AG190" s="24"/>
      <c r="AH190" s="24"/>
    </row>
    <row r="191" spans="1:34">
      <c r="A191" s="956"/>
      <c r="B191" s="957">
        <v>170</v>
      </c>
      <c r="C191" s="958" t="s">
        <v>481</v>
      </c>
      <c r="D191" s="957">
        <v>0</v>
      </c>
      <c r="E191" s="957">
        <v>2.4660000000000002</v>
      </c>
      <c r="F191" s="959"/>
      <c r="G191" s="960"/>
      <c r="H191" s="961"/>
      <c r="I191" s="962"/>
      <c r="J191" s="963"/>
      <c r="K191" s="963">
        <v>25</v>
      </c>
      <c r="L191" s="961">
        <v>0</v>
      </c>
      <c r="M191" s="964" t="s">
        <v>479</v>
      </c>
      <c r="N191" s="965"/>
      <c r="O191" s="966"/>
      <c r="P191" s="957"/>
      <c r="Q191" s="957"/>
      <c r="R191" s="94"/>
      <c r="S191" s="94"/>
      <c r="T191" s="94"/>
      <c r="U191" s="94"/>
      <c r="V191" s="94"/>
      <c r="W191" s="94"/>
      <c r="X191" s="94"/>
      <c r="Y191" s="94"/>
      <c r="Z191" s="94"/>
      <c r="AA191" s="24"/>
      <c r="AB191" s="24"/>
      <c r="AC191" s="24"/>
      <c r="AD191" s="24"/>
      <c r="AE191" s="24"/>
      <c r="AF191" s="24"/>
      <c r="AG191" s="24"/>
      <c r="AH191" s="24"/>
    </row>
    <row r="192" spans="1:34">
      <c r="A192" s="956"/>
      <c r="B192" s="957">
        <v>171</v>
      </c>
      <c r="C192" s="958" t="s">
        <v>482</v>
      </c>
      <c r="D192" s="957">
        <v>0</v>
      </c>
      <c r="E192" s="1364">
        <v>1</v>
      </c>
      <c r="F192" s="959"/>
      <c r="G192" s="960"/>
      <c r="H192" s="961"/>
      <c r="I192" s="962"/>
      <c r="J192" s="963"/>
      <c r="K192" s="963">
        <v>25</v>
      </c>
      <c r="L192" s="961">
        <v>0</v>
      </c>
      <c r="M192" s="964" t="s">
        <v>479</v>
      </c>
      <c r="N192" s="965"/>
      <c r="O192" s="966"/>
      <c r="P192" s="957"/>
      <c r="Q192" s="957"/>
      <c r="R192" s="94"/>
      <c r="S192" s="94"/>
      <c r="T192" s="94"/>
      <c r="U192" s="94"/>
      <c r="V192" s="94"/>
      <c r="W192" s="94"/>
      <c r="X192" s="94"/>
      <c r="Y192" s="94"/>
      <c r="Z192" s="94"/>
      <c r="AA192" s="24"/>
      <c r="AB192" s="24"/>
      <c r="AC192" s="24"/>
      <c r="AD192" s="24"/>
      <c r="AE192" s="24"/>
      <c r="AF192" s="24"/>
      <c r="AG192" s="24"/>
      <c r="AH192" s="24"/>
    </row>
    <row r="193" spans="1:34">
      <c r="A193" s="956"/>
      <c r="B193" s="957">
        <v>172</v>
      </c>
      <c r="C193" s="958" t="s">
        <v>216</v>
      </c>
      <c r="D193" s="957">
        <v>-1</v>
      </c>
      <c r="E193" s="957">
        <v>2.1789999999999998</v>
      </c>
      <c r="F193" s="959"/>
      <c r="G193" s="960"/>
      <c r="H193" s="961"/>
      <c r="I193" s="962"/>
      <c r="J193" s="963"/>
      <c r="K193" s="963">
        <v>25</v>
      </c>
      <c r="L193" s="961">
        <v>0</v>
      </c>
      <c r="M193" s="964" t="s">
        <v>69</v>
      </c>
      <c r="N193" s="965"/>
      <c r="O193" s="966"/>
      <c r="P193" s="957"/>
      <c r="Q193" s="957"/>
      <c r="R193" s="94"/>
      <c r="S193" s="94"/>
      <c r="T193" s="94"/>
      <c r="U193" s="94"/>
      <c r="V193" s="94"/>
      <c r="W193" s="94"/>
      <c r="X193" s="94"/>
      <c r="Y193" s="94"/>
      <c r="Z193" s="94"/>
      <c r="AA193" s="24"/>
      <c r="AB193" s="24"/>
      <c r="AC193" s="24"/>
      <c r="AD193" s="24"/>
      <c r="AE193" s="24"/>
      <c r="AF193" s="24"/>
      <c r="AG193" s="24"/>
      <c r="AH193" s="24"/>
    </row>
    <row r="194" spans="1:34">
      <c r="A194" s="956"/>
      <c r="B194" s="957">
        <v>173</v>
      </c>
      <c r="C194" s="958" t="s">
        <v>217</v>
      </c>
      <c r="D194" s="957">
        <v>-1</v>
      </c>
      <c r="E194" s="957">
        <v>7.21</v>
      </c>
      <c r="F194" s="959"/>
      <c r="G194" s="960"/>
      <c r="H194" s="961"/>
      <c r="I194" s="962"/>
      <c r="J194" s="963"/>
      <c r="K194" s="963">
        <v>25</v>
      </c>
      <c r="L194" s="961">
        <v>0</v>
      </c>
      <c r="M194" s="964" t="s">
        <v>473</v>
      </c>
      <c r="N194" s="965"/>
      <c r="O194" s="966"/>
      <c r="P194" s="957"/>
      <c r="Q194" s="957"/>
      <c r="R194" s="94"/>
      <c r="S194" s="94"/>
      <c r="T194" s="94"/>
      <c r="U194" s="94"/>
      <c r="V194" s="94"/>
      <c r="W194" s="94"/>
      <c r="X194" s="94"/>
      <c r="Y194" s="94"/>
      <c r="Z194" s="94"/>
      <c r="AA194" s="24"/>
      <c r="AB194" s="24"/>
      <c r="AC194" s="24"/>
      <c r="AD194" s="24"/>
      <c r="AE194" s="24"/>
      <c r="AF194" s="24"/>
      <c r="AG194" s="24"/>
      <c r="AH194" s="24"/>
    </row>
    <row r="195" spans="1:34">
      <c r="A195" s="956"/>
      <c r="B195" s="957">
        <v>174</v>
      </c>
      <c r="C195" s="958" t="s">
        <v>218</v>
      </c>
      <c r="D195" s="957">
        <v>-1</v>
      </c>
      <c r="E195" s="957">
        <v>8.39</v>
      </c>
      <c r="F195" s="959"/>
      <c r="G195" s="960"/>
      <c r="H195" s="961"/>
      <c r="I195" s="962"/>
      <c r="J195" s="963"/>
      <c r="K195" s="963">
        <v>25</v>
      </c>
      <c r="L195" s="961">
        <v>0</v>
      </c>
      <c r="M195" s="964" t="s">
        <v>473</v>
      </c>
      <c r="N195" s="965"/>
      <c r="O195" s="966"/>
      <c r="P195" s="957"/>
      <c r="Q195" s="957"/>
      <c r="R195" s="94"/>
      <c r="S195" s="94"/>
      <c r="T195" s="94"/>
      <c r="U195" s="94"/>
      <c r="V195" s="94"/>
      <c r="W195" s="94"/>
      <c r="X195" s="94"/>
      <c r="Y195" s="94"/>
      <c r="Z195" s="94"/>
      <c r="AA195" s="24"/>
      <c r="AB195" s="24"/>
      <c r="AC195" s="24"/>
      <c r="AD195" s="24"/>
      <c r="AE195" s="24"/>
      <c r="AF195" s="24"/>
      <c r="AG195" s="24"/>
      <c r="AH195" s="24"/>
    </row>
    <row r="196" spans="1:34">
      <c r="A196" s="956"/>
      <c r="B196" s="957">
        <v>175</v>
      </c>
      <c r="C196" s="958" t="s">
        <v>474</v>
      </c>
      <c r="D196" s="957">
        <v>-1</v>
      </c>
      <c r="E196" s="957">
        <v>7.15</v>
      </c>
      <c r="F196" s="959"/>
      <c r="G196" s="960"/>
      <c r="H196" s="961"/>
      <c r="I196" s="962"/>
      <c r="J196" s="963"/>
      <c r="K196" s="963">
        <v>25</v>
      </c>
      <c r="L196" s="961">
        <v>0</v>
      </c>
      <c r="M196" s="964" t="s">
        <v>473</v>
      </c>
      <c r="N196" s="965"/>
      <c r="O196" s="966"/>
      <c r="P196" s="957"/>
      <c r="Q196" s="957"/>
      <c r="R196" s="94"/>
      <c r="S196" s="94"/>
      <c r="T196" s="94"/>
      <c r="U196" s="94"/>
      <c r="V196" s="94"/>
      <c r="W196" s="94"/>
      <c r="X196" s="94"/>
      <c r="Y196" s="94"/>
      <c r="Z196" s="94"/>
      <c r="AA196" s="24"/>
      <c r="AB196" s="24"/>
      <c r="AC196" s="24"/>
      <c r="AD196" s="24"/>
      <c r="AE196" s="24"/>
      <c r="AF196" s="24"/>
      <c r="AG196" s="24"/>
      <c r="AH196" s="24"/>
    </row>
    <row r="197" spans="1:34">
      <c r="A197" s="956"/>
      <c r="B197" s="957">
        <v>176</v>
      </c>
      <c r="C197" s="958" t="s">
        <v>219</v>
      </c>
      <c r="D197" s="957">
        <v>-1</v>
      </c>
      <c r="E197" s="957">
        <v>3.4489999999999998</v>
      </c>
      <c r="F197" s="959"/>
      <c r="G197" s="960"/>
      <c r="H197" s="961"/>
      <c r="I197" s="962"/>
      <c r="J197" s="963"/>
      <c r="K197" s="963">
        <v>25</v>
      </c>
      <c r="L197" s="961">
        <v>0</v>
      </c>
      <c r="M197" s="964" t="s">
        <v>69</v>
      </c>
      <c r="N197" s="965"/>
      <c r="O197" s="966"/>
      <c r="P197" s="957"/>
      <c r="Q197" s="957"/>
      <c r="R197" s="94"/>
      <c r="S197" s="94"/>
      <c r="T197" s="94"/>
      <c r="U197" s="94"/>
      <c r="V197" s="94"/>
      <c r="W197" s="94"/>
      <c r="X197" s="94"/>
      <c r="Y197" s="94"/>
      <c r="Z197" s="94"/>
      <c r="AA197" s="24"/>
      <c r="AB197" s="24"/>
      <c r="AC197" s="24"/>
      <c r="AD197" s="24"/>
      <c r="AE197" s="24"/>
      <c r="AF197" s="24"/>
      <c r="AG197" s="24"/>
      <c r="AH197" s="24"/>
    </row>
    <row r="198" spans="1:34">
      <c r="A198" s="956"/>
      <c r="B198" s="957">
        <v>177</v>
      </c>
      <c r="C198" s="958" t="s">
        <v>72</v>
      </c>
      <c r="D198" s="957">
        <v>-1</v>
      </c>
      <c r="E198" s="957">
        <v>3.4420000000000002</v>
      </c>
      <c r="F198" s="959"/>
      <c r="G198" s="960"/>
      <c r="H198" s="961"/>
      <c r="I198" s="962"/>
      <c r="J198" s="963"/>
      <c r="K198" s="963">
        <v>25</v>
      </c>
      <c r="L198" s="961">
        <v>0</v>
      </c>
      <c r="M198" s="964" t="s">
        <v>69</v>
      </c>
      <c r="N198" s="965"/>
      <c r="O198" s="966"/>
      <c r="P198" s="957"/>
      <c r="Q198" s="957"/>
      <c r="R198" s="94"/>
      <c r="S198" s="94"/>
      <c r="T198" s="94"/>
      <c r="U198" s="94"/>
      <c r="V198" s="94"/>
      <c r="W198" s="94"/>
      <c r="X198" s="94"/>
      <c r="Y198" s="94"/>
      <c r="Z198" s="94"/>
      <c r="AA198" s="24"/>
      <c r="AB198" s="24"/>
      <c r="AC198" s="24"/>
      <c r="AD198" s="24"/>
      <c r="AE198" s="24"/>
      <c r="AF198" s="24"/>
      <c r="AG198" s="24"/>
      <c r="AH198" s="24"/>
    </row>
    <row r="199" spans="1:34">
      <c r="A199" s="956"/>
      <c r="B199" s="957">
        <v>178</v>
      </c>
      <c r="C199" s="958" t="s">
        <v>220</v>
      </c>
      <c r="D199" s="957">
        <v>-1</v>
      </c>
      <c r="E199" s="957">
        <v>3.15</v>
      </c>
      <c r="F199" s="959"/>
      <c r="G199" s="960"/>
      <c r="H199" s="961"/>
      <c r="I199" s="962"/>
      <c r="J199" s="963"/>
      <c r="K199" s="963">
        <v>25</v>
      </c>
      <c r="L199" s="961">
        <v>0</v>
      </c>
      <c r="M199" s="964" t="s">
        <v>221</v>
      </c>
      <c r="N199" s="965"/>
      <c r="O199" s="966"/>
      <c r="P199" s="957"/>
      <c r="Q199" s="957"/>
      <c r="R199" s="94"/>
      <c r="S199" s="94"/>
      <c r="T199" s="94"/>
      <c r="U199" s="94"/>
      <c r="V199" s="94"/>
      <c r="W199" s="94"/>
      <c r="X199" s="94"/>
      <c r="Y199" s="94"/>
      <c r="Z199" s="94"/>
      <c r="AA199" s="24"/>
      <c r="AB199" s="24"/>
      <c r="AC199" s="24"/>
      <c r="AD199" s="24"/>
      <c r="AE199" s="24"/>
      <c r="AF199" s="24"/>
      <c r="AG199" s="24"/>
      <c r="AH199" s="24"/>
    </row>
    <row r="200" spans="1:34">
      <c r="A200" s="956"/>
      <c r="B200" s="957">
        <v>179</v>
      </c>
      <c r="C200" s="958" t="s">
        <v>116</v>
      </c>
      <c r="D200" s="957">
        <v>-1</v>
      </c>
      <c r="E200" s="957">
        <v>8.64</v>
      </c>
      <c r="F200" s="959">
        <v>9.6999999999999993</v>
      </c>
      <c r="G200" s="960"/>
      <c r="H200" s="961"/>
      <c r="I200" s="962"/>
      <c r="J200" s="963"/>
      <c r="K200" s="963">
        <v>25</v>
      </c>
      <c r="L200" s="961">
        <v>0</v>
      </c>
      <c r="M200" s="964" t="s">
        <v>115</v>
      </c>
      <c r="N200" s="965"/>
      <c r="O200" s="966"/>
      <c r="P200" s="957"/>
      <c r="Q200" s="957"/>
      <c r="R200" s="94"/>
      <c r="S200" s="94"/>
      <c r="T200" s="94"/>
      <c r="U200" s="94"/>
      <c r="V200" s="94"/>
      <c r="W200" s="94"/>
      <c r="X200" s="94"/>
      <c r="Y200" s="94"/>
      <c r="Z200" s="94"/>
      <c r="AA200" s="24"/>
      <c r="AB200" s="24"/>
      <c r="AC200" s="24"/>
      <c r="AD200" s="24"/>
      <c r="AE200" s="24"/>
      <c r="AF200" s="24"/>
      <c r="AG200" s="24"/>
      <c r="AH200" s="24"/>
    </row>
    <row r="201" spans="1:34">
      <c r="A201" s="956"/>
      <c r="B201" s="957">
        <v>180</v>
      </c>
      <c r="C201" s="958" t="s">
        <v>298</v>
      </c>
      <c r="D201" s="957">
        <v>0</v>
      </c>
      <c r="E201" s="957">
        <v>10.6</v>
      </c>
      <c r="F201" s="959"/>
      <c r="G201" s="960"/>
      <c r="H201" s="961"/>
      <c r="I201" s="962"/>
      <c r="J201" s="963"/>
      <c r="K201" s="963">
        <v>25</v>
      </c>
      <c r="L201" s="961">
        <v>0</v>
      </c>
      <c r="M201" s="964" t="s">
        <v>297</v>
      </c>
      <c r="N201" s="965"/>
      <c r="O201" s="966"/>
      <c r="P201" s="957"/>
      <c r="Q201" s="957"/>
      <c r="R201" s="94"/>
      <c r="S201" s="94"/>
      <c r="T201" s="94"/>
      <c r="U201" s="94"/>
      <c r="V201" s="94"/>
      <c r="W201" s="94"/>
      <c r="X201" s="94"/>
      <c r="Y201" s="94"/>
      <c r="Z201" s="94"/>
      <c r="AA201" s="24"/>
      <c r="AB201" s="24"/>
      <c r="AC201" s="24"/>
      <c r="AD201" s="24"/>
      <c r="AE201" s="24"/>
      <c r="AF201" s="24"/>
      <c r="AG201" s="24"/>
      <c r="AH201" s="24"/>
    </row>
    <row r="202" spans="1:34">
      <c r="A202" s="956"/>
      <c r="B202" s="957">
        <v>181</v>
      </c>
      <c r="C202" s="958" t="s">
        <v>119</v>
      </c>
      <c r="D202" s="957">
        <v>-1</v>
      </c>
      <c r="E202" s="957">
        <v>4.5199999999999996</v>
      </c>
      <c r="F202" s="959"/>
      <c r="G202" s="960"/>
      <c r="H202" s="961"/>
      <c r="I202" s="962"/>
      <c r="J202" s="963"/>
      <c r="K202" s="963">
        <v>25</v>
      </c>
      <c r="L202" s="961">
        <v>0</v>
      </c>
      <c r="M202" s="964" t="s">
        <v>118</v>
      </c>
      <c r="N202" s="965"/>
      <c r="O202" s="966"/>
      <c r="P202" s="957"/>
      <c r="Q202" s="957"/>
      <c r="R202" s="94"/>
      <c r="S202" s="94"/>
      <c r="T202" s="94"/>
      <c r="U202" s="94"/>
      <c r="V202" s="94"/>
      <c r="W202" s="94"/>
      <c r="X202" s="94"/>
      <c r="Y202" s="94"/>
      <c r="Z202" s="94"/>
      <c r="AA202" s="24"/>
      <c r="AB202" s="24"/>
      <c r="AC202" s="24"/>
      <c r="AD202" s="24"/>
      <c r="AE202" s="24"/>
      <c r="AF202" s="24"/>
      <c r="AG202" s="24"/>
      <c r="AH202" s="24"/>
    </row>
    <row r="203" spans="1:34">
      <c r="A203" s="956"/>
      <c r="B203" s="957">
        <v>182</v>
      </c>
      <c r="C203" s="958" t="s">
        <v>121</v>
      </c>
      <c r="D203" s="957">
        <v>-1</v>
      </c>
      <c r="E203" s="957">
        <v>4.8899999999999997</v>
      </c>
      <c r="F203" s="959"/>
      <c r="G203" s="960"/>
      <c r="H203" s="961"/>
      <c r="I203" s="962"/>
      <c r="J203" s="963"/>
      <c r="K203" s="963">
        <v>25</v>
      </c>
      <c r="L203" s="961">
        <v>0</v>
      </c>
      <c r="M203" s="964" t="s">
        <v>120</v>
      </c>
      <c r="N203" s="965"/>
      <c r="O203" s="966"/>
      <c r="P203" s="957"/>
      <c r="Q203" s="957"/>
      <c r="R203" s="94"/>
      <c r="S203" s="94"/>
      <c r="T203" s="94"/>
      <c r="U203" s="94"/>
      <c r="V203" s="94"/>
      <c r="W203" s="94"/>
      <c r="X203" s="94"/>
      <c r="Y203" s="94"/>
      <c r="Z203" s="94"/>
      <c r="AA203" s="24"/>
      <c r="AB203" s="24"/>
      <c r="AC203" s="24"/>
      <c r="AD203" s="24"/>
      <c r="AE203" s="24"/>
      <c r="AF203" s="24"/>
      <c r="AG203" s="24"/>
      <c r="AH203" s="24"/>
    </row>
    <row r="204" spans="1:34">
      <c r="A204" s="956"/>
      <c r="B204" s="957">
        <v>183</v>
      </c>
      <c r="C204" s="958" t="s">
        <v>222</v>
      </c>
      <c r="D204" s="957">
        <v>-2</v>
      </c>
      <c r="E204" s="957">
        <v>1.252</v>
      </c>
      <c r="F204" s="959">
        <v>4.266</v>
      </c>
      <c r="G204" s="960"/>
      <c r="H204" s="961"/>
      <c r="I204" s="962"/>
      <c r="J204" s="963"/>
      <c r="K204" s="963">
        <v>25</v>
      </c>
      <c r="L204" s="961">
        <v>0</v>
      </c>
      <c r="M204" s="964" t="s">
        <v>372</v>
      </c>
      <c r="N204" s="965"/>
      <c r="O204" s="966"/>
      <c r="P204" s="957"/>
      <c r="Q204" s="957"/>
      <c r="R204" s="94"/>
      <c r="S204" s="94"/>
      <c r="T204" s="94"/>
      <c r="U204" s="94"/>
      <c r="V204" s="94"/>
      <c r="W204" s="94"/>
      <c r="X204" s="94"/>
      <c r="Y204" s="94"/>
      <c r="Z204" s="94"/>
      <c r="AA204" s="24"/>
      <c r="AB204" s="24"/>
      <c r="AC204" s="24"/>
      <c r="AD204" s="24"/>
      <c r="AE204" s="24"/>
      <c r="AF204" s="24"/>
      <c r="AG204" s="24"/>
      <c r="AH204" s="24"/>
    </row>
    <row r="205" spans="1:34">
      <c r="A205" s="956"/>
      <c r="B205" s="957">
        <v>184</v>
      </c>
      <c r="C205" s="958" t="s">
        <v>404</v>
      </c>
      <c r="D205" s="957">
        <v>-2</v>
      </c>
      <c r="E205" s="957">
        <v>2.2200000000000002</v>
      </c>
      <c r="F205" s="959">
        <v>3.89</v>
      </c>
      <c r="G205" s="960">
        <v>13.03</v>
      </c>
      <c r="H205" s="961"/>
      <c r="I205" s="962"/>
      <c r="J205" s="963"/>
      <c r="K205" s="963">
        <v>25</v>
      </c>
      <c r="L205" s="961">
        <v>0</v>
      </c>
      <c r="M205" s="964" t="s">
        <v>403</v>
      </c>
      <c r="N205" s="965"/>
      <c r="O205" s="966"/>
      <c r="P205" s="957"/>
      <c r="Q205" s="957"/>
      <c r="R205" s="94"/>
      <c r="S205" s="94"/>
      <c r="T205" s="94"/>
      <c r="U205" s="94"/>
      <c r="V205" s="94"/>
      <c r="W205" s="94"/>
      <c r="X205" s="94"/>
      <c r="Y205" s="94"/>
      <c r="Z205" s="94"/>
      <c r="AA205" s="24"/>
      <c r="AB205" s="24"/>
      <c r="AC205" s="24"/>
      <c r="AD205" s="24"/>
      <c r="AE205" s="24"/>
      <c r="AF205" s="24"/>
      <c r="AG205" s="24"/>
      <c r="AH205" s="24"/>
    </row>
    <row r="206" spans="1:34">
      <c r="A206" s="956"/>
      <c r="B206" s="957">
        <v>185</v>
      </c>
      <c r="C206" s="958" t="s">
        <v>300</v>
      </c>
      <c r="D206" s="957">
        <v>0</v>
      </c>
      <c r="E206" s="957">
        <v>6.4</v>
      </c>
      <c r="F206" s="959"/>
      <c r="G206" s="960"/>
      <c r="H206" s="961"/>
      <c r="I206" s="962"/>
      <c r="J206" s="963"/>
      <c r="K206" s="963">
        <v>25</v>
      </c>
      <c r="L206" s="961">
        <v>0</v>
      </c>
      <c r="M206" s="964" t="s">
        <v>299</v>
      </c>
      <c r="N206" s="965"/>
      <c r="O206" s="966"/>
      <c r="P206" s="957"/>
      <c r="Q206" s="957"/>
      <c r="R206" s="94"/>
      <c r="S206" s="94"/>
      <c r="T206" s="94"/>
      <c r="U206" s="94"/>
      <c r="V206" s="94"/>
      <c r="W206" s="94"/>
      <c r="X206" s="94"/>
      <c r="Y206" s="94"/>
      <c r="Z206" s="94"/>
      <c r="AA206" s="24"/>
      <c r="AB206" s="24"/>
      <c r="AC206" s="24"/>
      <c r="AD206" s="24"/>
      <c r="AE206" s="24"/>
      <c r="AF206" s="24"/>
      <c r="AG206" s="24"/>
      <c r="AH206" s="24"/>
    </row>
    <row r="207" spans="1:34">
      <c r="A207" s="956"/>
      <c r="B207" s="957">
        <v>186</v>
      </c>
      <c r="C207" s="971" t="s">
        <v>1153</v>
      </c>
      <c r="D207" s="1018">
        <v>0</v>
      </c>
      <c r="E207" s="1018">
        <v>9.51</v>
      </c>
      <c r="F207" s="1018"/>
      <c r="G207" s="1018"/>
      <c r="H207" s="1018"/>
      <c r="I207" s="1018"/>
      <c r="J207" s="1018"/>
      <c r="K207" s="1018">
        <v>25</v>
      </c>
      <c r="L207" s="2">
        <v>0</v>
      </c>
      <c r="M207" s="94" t="s">
        <v>104</v>
      </c>
      <c r="N207" s="1365">
        <v>151.16999999999999</v>
      </c>
      <c r="O207" s="966"/>
      <c r="P207" s="957"/>
      <c r="Q207" s="957"/>
      <c r="R207" s="94"/>
      <c r="S207" s="94"/>
      <c r="T207" s="94"/>
      <c r="U207" s="94"/>
      <c r="V207" s="94"/>
      <c r="W207" s="94"/>
      <c r="X207" s="94"/>
      <c r="Y207" s="94"/>
      <c r="Z207" s="94"/>
      <c r="AA207" s="24"/>
      <c r="AB207" s="24"/>
      <c r="AC207" s="24"/>
      <c r="AD207" s="24"/>
      <c r="AE207" s="24"/>
      <c r="AF207" s="24"/>
      <c r="AG207" s="24"/>
      <c r="AH207" s="24"/>
    </row>
    <row r="208" spans="1:34">
      <c r="A208" s="956"/>
      <c r="B208" s="957">
        <v>187</v>
      </c>
      <c r="C208" s="958" t="s">
        <v>450</v>
      </c>
      <c r="D208" s="957">
        <v>-1</v>
      </c>
      <c r="E208" s="957">
        <v>4.84</v>
      </c>
      <c r="F208" s="959"/>
      <c r="G208" s="960"/>
      <c r="H208" s="961"/>
      <c r="I208" s="962"/>
      <c r="J208" s="963"/>
      <c r="K208" s="963">
        <v>25</v>
      </c>
      <c r="L208" s="961">
        <v>0</v>
      </c>
      <c r="M208" s="964" t="s">
        <v>447</v>
      </c>
      <c r="N208" s="965"/>
      <c r="O208" s="966"/>
      <c r="P208" s="957"/>
      <c r="Q208" s="957"/>
      <c r="R208" s="94"/>
      <c r="S208" s="94"/>
      <c r="T208" s="94"/>
      <c r="U208" s="94"/>
      <c r="V208" s="94"/>
      <c r="W208" s="94"/>
      <c r="X208" s="94"/>
      <c r="Y208" s="94"/>
      <c r="Z208" s="94"/>
      <c r="AA208" s="24"/>
      <c r="AB208" s="24"/>
      <c r="AC208" s="24"/>
      <c r="AD208" s="24"/>
      <c r="AE208" s="24"/>
      <c r="AF208" s="24"/>
      <c r="AG208" s="24"/>
      <c r="AH208" s="24"/>
    </row>
    <row r="209" spans="1:34">
      <c r="A209" s="956"/>
      <c r="B209" s="957">
        <v>188</v>
      </c>
      <c r="C209" s="958" t="s">
        <v>223</v>
      </c>
      <c r="D209" s="957">
        <v>-1</v>
      </c>
      <c r="E209" s="968">
        <v>-10</v>
      </c>
      <c r="F209" s="969"/>
      <c r="G209" s="969"/>
      <c r="H209" s="969"/>
      <c r="I209" s="969"/>
      <c r="J209" s="969"/>
      <c r="K209" s="970">
        <v>25</v>
      </c>
      <c r="L209" s="967">
        <v>0</v>
      </c>
      <c r="M209" s="964" t="s">
        <v>224</v>
      </c>
      <c r="N209" s="965"/>
      <c r="O209" s="966"/>
      <c r="P209" s="957"/>
      <c r="Q209" s="957"/>
      <c r="R209" s="94"/>
      <c r="S209" s="94"/>
      <c r="T209" s="94"/>
      <c r="U209" s="94"/>
      <c r="V209" s="94"/>
      <c r="W209" s="94"/>
      <c r="X209" s="94"/>
      <c r="Y209" s="94"/>
      <c r="Z209" s="94"/>
      <c r="AA209" s="24"/>
      <c r="AB209" s="24"/>
      <c r="AC209" s="24"/>
      <c r="AD209" s="24"/>
      <c r="AE209" s="24"/>
      <c r="AF209" s="24"/>
      <c r="AG209" s="24"/>
      <c r="AH209" s="24"/>
    </row>
    <row r="210" spans="1:34">
      <c r="A210" s="956"/>
      <c r="B210" s="957">
        <v>189</v>
      </c>
      <c r="C210" s="958" t="s">
        <v>575</v>
      </c>
      <c r="D210" s="957">
        <v>-2</v>
      </c>
      <c r="E210" s="957">
        <v>1.55</v>
      </c>
      <c r="F210" s="959">
        <v>8.2799999999999994</v>
      </c>
      <c r="G210" s="960"/>
      <c r="H210" s="961"/>
      <c r="I210" s="962"/>
      <c r="J210" s="963"/>
      <c r="K210" s="963"/>
      <c r="L210" s="961"/>
      <c r="M210" s="964" t="s">
        <v>358</v>
      </c>
      <c r="N210" s="965"/>
      <c r="O210" s="966"/>
      <c r="P210" s="957"/>
      <c r="Q210" s="957"/>
      <c r="R210" s="94"/>
      <c r="S210" s="94"/>
      <c r="T210" s="94"/>
      <c r="U210" s="94"/>
      <c r="V210" s="94"/>
      <c r="W210" s="94"/>
      <c r="X210" s="94"/>
      <c r="Y210" s="94"/>
      <c r="Z210" s="94"/>
      <c r="AA210" s="24"/>
      <c r="AB210" s="24"/>
      <c r="AC210" s="24"/>
      <c r="AD210" s="24"/>
      <c r="AE210" s="24"/>
      <c r="AF210" s="24"/>
      <c r="AG210" s="24"/>
      <c r="AH210" s="24"/>
    </row>
    <row r="211" spans="1:34">
      <c r="A211" s="956"/>
      <c r="B211" s="957">
        <v>190</v>
      </c>
      <c r="C211" s="958" t="s">
        <v>289</v>
      </c>
      <c r="D211" s="957">
        <v>0</v>
      </c>
      <c r="E211" s="957">
        <v>4.84</v>
      </c>
      <c r="F211" s="959"/>
      <c r="G211" s="960"/>
      <c r="H211" s="961"/>
      <c r="I211" s="962"/>
      <c r="J211" s="963"/>
      <c r="K211" s="963">
        <v>25</v>
      </c>
      <c r="L211" s="961">
        <v>0</v>
      </c>
      <c r="M211" s="964" t="s">
        <v>288</v>
      </c>
      <c r="N211" s="965">
        <v>180.3</v>
      </c>
      <c r="O211" s="966"/>
      <c r="P211" s="957"/>
      <c r="Q211" s="957"/>
      <c r="R211" s="94"/>
      <c r="S211" s="94"/>
      <c r="T211" s="94"/>
      <c r="U211" s="94"/>
      <c r="V211" s="94"/>
      <c r="W211" s="94"/>
      <c r="X211" s="94"/>
      <c r="Y211" s="94"/>
      <c r="Z211" s="94"/>
      <c r="AA211" s="24"/>
      <c r="AB211" s="24"/>
      <c r="AC211" s="24"/>
      <c r="AD211" s="24"/>
      <c r="AE211" s="24"/>
      <c r="AF211" s="24"/>
      <c r="AG211" s="24"/>
      <c r="AH211" s="24"/>
    </row>
    <row r="212" spans="1:34">
      <c r="A212" s="956"/>
      <c r="B212" s="957">
        <v>191</v>
      </c>
      <c r="C212" s="958" t="s">
        <v>110</v>
      </c>
      <c r="D212" s="957">
        <v>0</v>
      </c>
      <c r="E212" s="957">
        <v>4.18</v>
      </c>
      <c r="F212" s="959"/>
      <c r="G212" s="960"/>
      <c r="H212" s="961"/>
      <c r="I212" s="962"/>
      <c r="J212" s="963"/>
      <c r="K212" s="963">
        <v>25</v>
      </c>
      <c r="L212" s="961">
        <v>0</v>
      </c>
      <c r="M212" s="964" t="s">
        <v>108</v>
      </c>
      <c r="N212" s="965"/>
      <c r="O212" s="966"/>
      <c r="P212" s="957"/>
      <c r="Q212" s="957"/>
      <c r="R212" s="94"/>
      <c r="S212" s="94"/>
      <c r="T212" s="94"/>
      <c r="U212" s="94"/>
      <c r="V212" s="94"/>
      <c r="W212" s="94"/>
      <c r="X212" s="94"/>
      <c r="Y212" s="94"/>
      <c r="Z212" s="94"/>
      <c r="AA212" s="24"/>
      <c r="AB212" s="24"/>
      <c r="AC212" s="24"/>
      <c r="AD212" s="24"/>
      <c r="AE212" s="24"/>
      <c r="AF212" s="24"/>
      <c r="AG212" s="24"/>
      <c r="AH212" s="24"/>
    </row>
    <row r="213" spans="1:34">
      <c r="A213" s="956"/>
      <c r="B213" s="957">
        <v>192</v>
      </c>
      <c r="C213" s="958" t="s">
        <v>109</v>
      </c>
      <c r="D213" s="957">
        <v>0</v>
      </c>
      <c r="E213" s="957">
        <v>4.43</v>
      </c>
      <c r="F213" s="959"/>
      <c r="G213" s="960"/>
      <c r="H213" s="961"/>
      <c r="I213" s="962"/>
      <c r="J213" s="963"/>
      <c r="K213" s="963">
        <v>28</v>
      </c>
      <c r="L213" s="961">
        <v>0</v>
      </c>
      <c r="M213" s="964" t="s">
        <v>108</v>
      </c>
      <c r="N213" s="965"/>
      <c r="O213" s="966"/>
      <c r="P213" s="957"/>
      <c r="Q213" s="957"/>
      <c r="R213" s="94"/>
      <c r="S213" s="94"/>
      <c r="T213" s="94"/>
      <c r="U213" s="94"/>
      <c r="V213" s="94"/>
      <c r="W213" s="94"/>
      <c r="X213" s="94"/>
      <c r="Y213" s="94"/>
      <c r="Z213" s="94"/>
      <c r="AA213" s="24"/>
      <c r="AB213" s="24"/>
      <c r="AC213" s="24"/>
      <c r="AD213" s="24"/>
      <c r="AE213" s="24"/>
      <c r="AF213" s="24"/>
      <c r="AG213" s="24"/>
      <c r="AH213" s="24"/>
    </row>
    <row r="214" spans="1:34">
      <c r="A214" s="956"/>
      <c r="B214" s="957">
        <v>193</v>
      </c>
      <c r="C214" s="958" t="s">
        <v>225</v>
      </c>
      <c r="D214" s="957">
        <v>-1</v>
      </c>
      <c r="E214" s="957">
        <v>9.98</v>
      </c>
      <c r="F214" s="959"/>
      <c r="G214" s="960"/>
      <c r="H214" s="961"/>
      <c r="I214" s="962"/>
      <c r="J214" s="963"/>
      <c r="K214" s="963">
        <v>25</v>
      </c>
      <c r="L214" s="961">
        <v>0</v>
      </c>
      <c r="M214" s="964" t="s">
        <v>359</v>
      </c>
      <c r="N214" s="965"/>
      <c r="O214" s="966"/>
      <c r="P214" s="957"/>
      <c r="Q214" s="957"/>
      <c r="R214" s="94"/>
      <c r="S214" s="94"/>
      <c r="T214" s="94"/>
      <c r="U214" s="94"/>
      <c r="V214" s="94"/>
      <c r="W214" s="94"/>
      <c r="X214" s="94"/>
      <c r="Y214" s="94"/>
      <c r="Z214" s="94"/>
      <c r="AA214" s="24"/>
      <c r="AB214" s="24"/>
      <c r="AC214" s="24"/>
      <c r="AD214" s="24"/>
      <c r="AE214" s="24"/>
      <c r="AF214" s="24"/>
      <c r="AG214" s="24"/>
      <c r="AH214" s="24"/>
    </row>
    <row r="215" spans="1:34">
      <c r="A215" s="956"/>
      <c r="B215" s="957">
        <v>194</v>
      </c>
      <c r="C215" s="958" t="s">
        <v>100</v>
      </c>
      <c r="D215" s="957">
        <v>-1</v>
      </c>
      <c r="E215" s="957">
        <v>4.28</v>
      </c>
      <c r="F215" s="959"/>
      <c r="G215" s="960"/>
      <c r="H215" s="961"/>
      <c r="I215" s="962"/>
      <c r="J215" s="963"/>
      <c r="K215" s="963">
        <v>18</v>
      </c>
      <c r="L215" s="961">
        <v>0</v>
      </c>
      <c r="M215" s="964" t="s">
        <v>99</v>
      </c>
      <c r="N215" s="965"/>
      <c r="O215" s="966"/>
      <c r="P215" s="957"/>
      <c r="Q215" s="957"/>
      <c r="R215" s="94"/>
      <c r="S215" s="94"/>
      <c r="T215" s="94"/>
      <c r="U215" s="94"/>
      <c r="V215" s="94"/>
      <c r="W215" s="94"/>
      <c r="X215" s="94"/>
      <c r="Y215" s="94"/>
      <c r="Z215" s="94"/>
      <c r="AA215" s="24"/>
      <c r="AB215" s="24"/>
      <c r="AC215" s="24"/>
      <c r="AD215" s="24"/>
      <c r="AE215" s="24"/>
      <c r="AF215" s="24"/>
      <c r="AG215" s="24"/>
      <c r="AH215" s="24"/>
    </row>
    <row r="216" spans="1:34">
      <c r="A216" s="956"/>
      <c r="B216" s="957">
        <v>195</v>
      </c>
      <c r="C216" s="958" t="s">
        <v>269</v>
      </c>
      <c r="D216" s="957">
        <v>-1</v>
      </c>
      <c r="E216" s="957">
        <v>2.2000000000000002</v>
      </c>
      <c r="F216" s="959">
        <v>9.31</v>
      </c>
      <c r="G216" s="960"/>
      <c r="H216" s="961"/>
      <c r="I216" s="962"/>
      <c r="J216" s="963"/>
      <c r="K216" s="963">
        <v>25</v>
      </c>
      <c r="L216" s="961">
        <v>0</v>
      </c>
      <c r="M216" s="964" t="s">
        <v>268</v>
      </c>
      <c r="N216" s="965"/>
      <c r="O216" s="966"/>
      <c r="P216" s="957"/>
      <c r="Q216" s="957"/>
      <c r="R216" s="94"/>
      <c r="S216" s="94"/>
      <c r="T216" s="94"/>
      <c r="U216" s="94"/>
      <c r="V216" s="94"/>
      <c r="W216" s="94"/>
      <c r="X216" s="94"/>
      <c r="Y216" s="94"/>
      <c r="Z216" s="94"/>
      <c r="AA216" s="24"/>
      <c r="AB216" s="24"/>
      <c r="AC216" s="24"/>
      <c r="AD216" s="24"/>
      <c r="AE216" s="24"/>
      <c r="AF216" s="24"/>
      <c r="AG216" s="24"/>
      <c r="AH216" s="24"/>
    </row>
    <row r="217" spans="1:34">
      <c r="A217" s="956"/>
      <c r="B217" s="957">
        <v>196</v>
      </c>
      <c r="C217" s="958" t="s">
        <v>107</v>
      </c>
      <c r="D217" s="957">
        <v>0</v>
      </c>
      <c r="E217" s="957">
        <v>9.84</v>
      </c>
      <c r="F217" s="959"/>
      <c r="G217" s="960"/>
      <c r="H217" s="961"/>
      <c r="I217" s="962"/>
      <c r="J217" s="963"/>
      <c r="K217" s="963">
        <v>25</v>
      </c>
      <c r="L217" s="961">
        <v>0</v>
      </c>
      <c r="M217" s="964" t="s">
        <v>106</v>
      </c>
      <c r="N217" s="965"/>
      <c r="O217" s="966"/>
      <c r="P217" s="957"/>
      <c r="Q217" s="957"/>
      <c r="R217" s="94"/>
      <c r="S217" s="94"/>
      <c r="T217" s="94"/>
      <c r="U217" s="94"/>
      <c r="V217" s="94"/>
      <c r="W217" s="94"/>
      <c r="X217" s="94"/>
      <c r="Y217" s="94"/>
      <c r="Z217" s="94"/>
      <c r="AA217" s="24"/>
      <c r="AB217" s="24"/>
      <c r="AC217" s="24"/>
      <c r="AD217" s="24"/>
      <c r="AE217" s="24"/>
      <c r="AF217" s="24"/>
      <c r="AG217" s="24"/>
      <c r="AH217" s="24"/>
    </row>
    <row r="218" spans="1:34">
      <c r="A218" s="956"/>
      <c r="B218" s="957">
        <v>197</v>
      </c>
      <c r="C218" s="958" t="s">
        <v>105</v>
      </c>
      <c r="D218" s="957">
        <v>-1</v>
      </c>
      <c r="E218" s="957">
        <v>1.83</v>
      </c>
      <c r="F218" s="959">
        <v>4.3899999999999997</v>
      </c>
      <c r="G218" s="960"/>
      <c r="H218" s="961"/>
      <c r="I218" s="962"/>
      <c r="J218" s="963"/>
      <c r="K218" s="963">
        <v>25</v>
      </c>
      <c r="L218" s="961">
        <v>0</v>
      </c>
      <c r="M218" s="964" t="s">
        <v>104</v>
      </c>
      <c r="N218" s="965"/>
      <c r="O218" s="966"/>
      <c r="P218" s="957"/>
      <c r="Q218" s="957"/>
      <c r="R218" s="94"/>
      <c r="S218" s="94"/>
      <c r="T218" s="94"/>
      <c r="U218" s="94"/>
      <c r="V218" s="94"/>
      <c r="W218" s="94"/>
      <c r="X218" s="94"/>
      <c r="Y218" s="94"/>
      <c r="Z218" s="94"/>
      <c r="AA218" s="24"/>
      <c r="AB218" s="24"/>
      <c r="AC218" s="24"/>
      <c r="AD218" s="24"/>
      <c r="AE218" s="24"/>
      <c r="AF218" s="24"/>
      <c r="AG218" s="24"/>
      <c r="AH218" s="24"/>
    </row>
    <row r="219" spans="1:34">
      <c r="A219" s="956"/>
      <c r="B219" s="957">
        <v>198</v>
      </c>
      <c r="C219" s="958" t="s">
        <v>125</v>
      </c>
      <c r="D219" s="957">
        <v>-3</v>
      </c>
      <c r="E219" s="957">
        <v>2.1480000000000001</v>
      </c>
      <c r="F219" s="959">
        <v>7.1989999999999998</v>
      </c>
      <c r="G219" s="960">
        <v>12.35</v>
      </c>
      <c r="H219" s="961"/>
      <c r="I219" s="962"/>
      <c r="J219" s="963"/>
      <c r="K219" s="963">
        <v>25</v>
      </c>
      <c r="L219" s="961">
        <v>0</v>
      </c>
      <c r="M219" s="964" t="s">
        <v>145</v>
      </c>
      <c r="N219" s="965"/>
      <c r="O219" s="966"/>
      <c r="P219" s="957"/>
      <c r="Q219" s="957"/>
      <c r="R219" s="94"/>
      <c r="S219" s="94"/>
      <c r="T219" s="94"/>
      <c r="U219" s="94"/>
      <c r="V219" s="94"/>
      <c r="W219" s="94"/>
      <c r="X219" s="94"/>
      <c r="Y219" s="94"/>
      <c r="Z219" s="94"/>
      <c r="AA219" s="24"/>
      <c r="AB219" s="24"/>
      <c r="AC219" s="24"/>
      <c r="AD219" s="24"/>
      <c r="AE219" s="24"/>
      <c r="AF219" s="24"/>
      <c r="AG219" s="24"/>
      <c r="AH219" s="24"/>
    </row>
    <row r="220" spans="1:34">
      <c r="A220" s="956"/>
      <c r="B220" s="957">
        <v>199</v>
      </c>
      <c r="C220" s="958" t="s">
        <v>94</v>
      </c>
      <c r="D220" s="957">
        <v>-2</v>
      </c>
      <c r="E220" s="957">
        <v>3.7</v>
      </c>
      <c r="F220" s="959">
        <v>4.5999999999999996</v>
      </c>
      <c r="G220" s="960"/>
      <c r="H220" s="961"/>
      <c r="I220" s="962"/>
      <c r="J220" s="963"/>
      <c r="K220" s="963">
        <v>25</v>
      </c>
      <c r="L220" s="961">
        <v>0</v>
      </c>
      <c r="M220" s="964" t="s">
        <v>93</v>
      </c>
      <c r="N220" s="965">
        <v>166.14</v>
      </c>
      <c r="O220" s="966"/>
      <c r="P220" s="957"/>
      <c r="Q220" s="957"/>
      <c r="R220" s="94"/>
      <c r="S220" s="94"/>
      <c r="T220" s="94"/>
      <c r="U220" s="94"/>
      <c r="V220" s="94"/>
      <c r="W220" s="94"/>
      <c r="X220" s="94"/>
      <c r="Y220" s="94"/>
      <c r="Z220" s="94"/>
      <c r="AA220" s="24"/>
      <c r="AB220" s="24"/>
      <c r="AC220" s="24"/>
      <c r="AD220" s="24"/>
      <c r="AE220" s="24"/>
      <c r="AF220" s="24"/>
      <c r="AG220" s="24"/>
      <c r="AH220" s="24"/>
    </row>
    <row r="221" spans="1:34">
      <c r="A221" s="956"/>
      <c r="B221" s="957">
        <v>200</v>
      </c>
      <c r="C221" s="958" t="s">
        <v>226</v>
      </c>
      <c r="D221" s="957">
        <v>-2</v>
      </c>
      <c r="E221" s="957">
        <v>2.76</v>
      </c>
      <c r="F221" s="959">
        <v>4.96</v>
      </c>
      <c r="G221" s="960"/>
      <c r="H221" s="961"/>
      <c r="I221" s="962"/>
      <c r="J221" s="963"/>
      <c r="K221" s="963">
        <v>25</v>
      </c>
      <c r="L221" s="961">
        <v>0</v>
      </c>
      <c r="M221" s="964" t="s">
        <v>93</v>
      </c>
      <c r="N221" s="965">
        <v>166.14</v>
      </c>
      <c r="O221" s="966"/>
      <c r="P221" s="957"/>
      <c r="Q221" s="957"/>
      <c r="R221" s="94"/>
      <c r="S221" s="94"/>
      <c r="T221" s="94"/>
      <c r="U221" s="94"/>
      <c r="V221" s="94"/>
      <c r="W221" s="94"/>
      <c r="X221" s="94"/>
      <c r="Y221" s="94"/>
      <c r="Z221" s="94"/>
      <c r="AA221" s="24"/>
      <c r="AB221" s="24"/>
      <c r="AC221" s="24"/>
      <c r="AD221" s="24"/>
      <c r="AE221" s="24"/>
      <c r="AF221" s="24"/>
      <c r="AG221" s="24"/>
      <c r="AH221" s="24"/>
    </row>
    <row r="222" spans="1:34">
      <c r="A222" s="956"/>
      <c r="B222" s="957">
        <v>201</v>
      </c>
      <c r="C222" s="958" t="s">
        <v>95</v>
      </c>
      <c r="D222" s="957">
        <v>-2</v>
      </c>
      <c r="E222" s="957">
        <v>3.54</v>
      </c>
      <c r="F222" s="959">
        <v>4.46</v>
      </c>
      <c r="G222" s="960"/>
      <c r="H222" s="961"/>
      <c r="I222" s="962"/>
      <c r="J222" s="963"/>
      <c r="K222" s="963">
        <v>25</v>
      </c>
      <c r="L222" s="961">
        <v>0</v>
      </c>
      <c r="M222" s="964" t="s">
        <v>93</v>
      </c>
      <c r="N222" s="965"/>
      <c r="O222" s="966"/>
      <c r="P222" s="957"/>
      <c r="Q222" s="957"/>
      <c r="R222" s="94"/>
      <c r="S222" s="94"/>
      <c r="T222" s="94"/>
      <c r="U222" s="94"/>
      <c r="V222" s="94"/>
      <c r="W222" s="94"/>
      <c r="X222" s="94"/>
      <c r="Y222" s="94"/>
      <c r="Z222" s="94"/>
      <c r="AA222" s="24"/>
      <c r="AB222" s="24"/>
      <c r="AC222" s="24"/>
      <c r="AD222" s="24"/>
      <c r="AE222" s="24"/>
      <c r="AF222" s="24"/>
      <c r="AG222" s="24"/>
      <c r="AH222" s="24"/>
    </row>
    <row r="223" spans="1:34">
      <c r="A223" s="956"/>
      <c r="B223" s="957">
        <v>202</v>
      </c>
      <c r="C223" s="958" t="s">
        <v>470</v>
      </c>
      <c r="D223" s="957">
        <v>-2</v>
      </c>
      <c r="E223" s="957">
        <v>1.07</v>
      </c>
      <c r="F223" s="959">
        <v>5.25</v>
      </c>
      <c r="G223" s="960"/>
      <c r="H223" s="961"/>
      <c r="I223" s="962"/>
      <c r="J223" s="963"/>
      <c r="K223" s="963">
        <v>25</v>
      </c>
      <c r="L223" s="961">
        <v>0</v>
      </c>
      <c r="M223" s="964" t="s">
        <v>469</v>
      </c>
      <c r="N223" s="965"/>
      <c r="O223" s="966"/>
      <c r="P223" s="957"/>
      <c r="Q223" s="957"/>
      <c r="R223" s="94"/>
      <c r="S223" s="94"/>
      <c r="T223" s="94"/>
      <c r="U223" s="94"/>
      <c r="V223" s="94"/>
      <c r="W223" s="94"/>
      <c r="X223" s="94"/>
      <c r="Y223" s="94"/>
      <c r="Z223" s="94"/>
      <c r="AA223" s="24"/>
      <c r="AB223" s="24"/>
      <c r="AC223" s="24"/>
      <c r="AD223" s="24"/>
      <c r="AE223" s="24"/>
      <c r="AF223" s="24"/>
      <c r="AG223" s="24"/>
      <c r="AH223" s="24"/>
    </row>
    <row r="224" spans="1:34">
      <c r="A224" s="956"/>
      <c r="B224" s="957">
        <v>203</v>
      </c>
      <c r="C224" s="958" t="s">
        <v>462</v>
      </c>
      <c r="D224" s="957">
        <v>-1</v>
      </c>
      <c r="E224" s="957">
        <v>0.38</v>
      </c>
      <c r="F224" s="959"/>
      <c r="G224" s="960"/>
      <c r="H224" s="961"/>
      <c r="I224" s="962"/>
      <c r="J224" s="963"/>
      <c r="K224" s="963"/>
      <c r="L224" s="961"/>
      <c r="M224" s="964" t="s">
        <v>461</v>
      </c>
      <c r="N224" s="965"/>
      <c r="O224" s="966"/>
      <c r="P224" s="957"/>
      <c r="Q224" s="957"/>
      <c r="R224" s="94"/>
      <c r="S224" s="94"/>
      <c r="T224" s="94"/>
      <c r="U224" s="94"/>
      <c r="V224" s="94"/>
      <c r="W224" s="94"/>
      <c r="X224" s="94"/>
      <c r="Y224" s="94"/>
      <c r="Z224" s="94"/>
      <c r="AA224" s="24"/>
      <c r="AB224" s="24"/>
      <c r="AC224" s="24"/>
      <c r="AD224" s="24"/>
      <c r="AE224" s="24"/>
      <c r="AF224" s="24"/>
      <c r="AG224" s="24"/>
      <c r="AH224" s="24"/>
    </row>
    <row r="225" spans="1:34">
      <c r="A225" s="956"/>
      <c r="B225" s="957">
        <v>204</v>
      </c>
      <c r="C225" s="958" t="s">
        <v>287</v>
      </c>
      <c r="D225" s="957">
        <v>0</v>
      </c>
      <c r="E225" s="957">
        <v>6.87</v>
      </c>
      <c r="F225" s="959"/>
      <c r="G225" s="960"/>
      <c r="H225" s="961"/>
      <c r="I225" s="962"/>
      <c r="J225" s="963"/>
      <c r="K225" s="963">
        <v>30</v>
      </c>
      <c r="L225" s="961">
        <v>0</v>
      </c>
      <c r="M225" s="964" t="s">
        <v>286</v>
      </c>
      <c r="N225" s="965">
        <v>208.25899999999999</v>
      </c>
      <c r="O225" s="966"/>
      <c r="P225" s="957"/>
      <c r="Q225" s="957"/>
      <c r="R225" s="94"/>
      <c r="S225" s="94"/>
      <c r="T225" s="94"/>
      <c r="U225" s="94"/>
      <c r="V225" s="94"/>
      <c r="W225" s="94"/>
      <c r="X225" s="94"/>
      <c r="Y225" s="94"/>
      <c r="Z225" s="94"/>
      <c r="AA225" s="24"/>
      <c r="AB225" s="24"/>
      <c r="AC225" s="24"/>
      <c r="AD225" s="24"/>
      <c r="AE225" s="24"/>
      <c r="AF225" s="24"/>
      <c r="AG225" s="24"/>
      <c r="AH225" s="24"/>
    </row>
    <row r="226" spans="1:34">
      <c r="A226" s="956"/>
      <c r="B226" s="957">
        <v>205</v>
      </c>
      <c r="C226" s="958" t="s">
        <v>428</v>
      </c>
      <c r="D226" s="957">
        <v>0</v>
      </c>
      <c r="E226" s="959">
        <v>5.56</v>
      </c>
      <c r="F226" s="957">
        <v>9.83</v>
      </c>
      <c r="G226" s="961"/>
      <c r="H226" s="961"/>
      <c r="I226" s="962"/>
      <c r="J226" s="963"/>
      <c r="K226" s="963">
        <v>23</v>
      </c>
      <c r="L226" s="961">
        <v>0</v>
      </c>
      <c r="M226" s="964" t="s">
        <v>427</v>
      </c>
      <c r="N226" s="965"/>
      <c r="O226" s="966"/>
      <c r="P226" s="957"/>
      <c r="Q226" s="957"/>
      <c r="R226" s="94"/>
      <c r="S226" s="94"/>
      <c r="T226" s="94"/>
      <c r="U226" s="94"/>
      <c r="V226" s="94"/>
      <c r="W226" s="94"/>
      <c r="X226" s="94"/>
      <c r="Y226" s="94"/>
      <c r="Z226" s="94"/>
      <c r="AA226" s="24"/>
      <c r="AB226" s="24"/>
      <c r="AC226" s="24"/>
      <c r="AD226" s="24"/>
      <c r="AE226" s="24"/>
      <c r="AF226" s="24"/>
      <c r="AG226" s="24"/>
      <c r="AH226" s="24"/>
    </row>
    <row r="227" spans="1:34">
      <c r="A227" s="956"/>
      <c r="B227" s="957">
        <v>206</v>
      </c>
      <c r="C227" s="958" t="s">
        <v>227</v>
      </c>
      <c r="D227" s="957">
        <v>0</v>
      </c>
      <c r="E227" s="959">
        <v>7.53</v>
      </c>
      <c r="F227" s="957">
        <v>11.122999999999999</v>
      </c>
      <c r="G227" s="961"/>
      <c r="H227" s="961"/>
      <c r="I227" s="962"/>
      <c r="J227" s="963"/>
      <c r="K227" s="963">
        <v>25</v>
      </c>
      <c r="L227" s="961">
        <v>0</v>
      </c>
      <c r="M227" s="964" t="s">
        <v>228</v>
      </c>
      <c r="N227" s="965">
        <v>85.15</v>
      </c>
      <c r="O227" s="966"/>
      <c r="P227" s="957"/>
      <c r="Q227" s="957"/>
      <c r="R227" s="94"/>
      <c r="S227" s="94"/>
      <c r="T227" s="94"/>
      <c r="U227" s="94"/>
      <c r="V227" s="94"/>
      <c r="W227" s="94"/>
      <c r="X227" s="94"/>
      <c r="Y227" s="94"/>
      <c r="Z227" s="94"/>
      <c r="AA227" s="24"/>
      <c r="AB227" s="24"/>
      <c r="AC227" s="24"/>
      <c r="AD227" s="24"/>
      <c r="AE227" s="24"/>
      <c r="AF227" s="24"/>
      <c r="AG227" s="24"/>
      <c r="AH227" s="24"/>
    </row>
    <row r="228" spans="1:34">
      <c r="A228" s="956"/>
      <c r="B228" s="957">
        <v>207</v>
      </c>
      <c r="C228" s="958" t="s">
        <v>111</v>
      </c>
      <c r="D228" s="957">
        <v>0</v>
      </c>
      <c r="E228" s="957">
        <v>5.2</v>
      </c>
      <c r="F228" s="959"/>
      <c r="G228" s="960"/>
      <c r="H228" s="961"/>
      <c r="I228" s="962"/>
      <c r="J228" s="963"/>
      <c r="K228" s="963">
        <v>28</v>
      </c>
      <c r="L228" s="961">
        <v>0</v>
      </c>
      <c r="M228" s="964" t="s">
        <v>108</v>
      </c>
      <c r="N228" s="965"/>
      <c r="O228" s="966"/>
      <c r="P228" s="957"/>
      <c r="Q228" s="957"/>
      <c r="R228" s="94"/>
      <c r="S228" s="94"/>
      <c r="T228" s="94"/>
      <c r="U228" s="94"/>
      <c r="V228" s="94"/>
      <c r="W228" s="94"/>
      <c r="X228" s="94"/>
      <c r="Y228" s="94"/>
      <c r="Z228" s="94"/>
      <c r="AA228" s="24"/>
      <c r="AB228" s="24"/>
      <c r="AC228" s="24"/>
      <c r="AD228" s="24"/>
      <c r="AE228" s="24"/>
      <c r="AF228" s="24"/>
      <c r="AG228" s="24"/>
      <c r="AH228" s="24"/>
    </row>
    <row r="229" spans="1:34">
      <c r="A229" s="956"/>
      <c r="B229" s="957">
        <v>208</v>
      </c>
      <c r="C229" s="958" t="s">
        <v>229</v>
      </c>
      <c r="D229" s="957">
        <v>-1</v>
      </c>
      <c r="E229" s="957">
        <v>1.952</v>
      </c>
      <c r="F229" s="959">
        <v>10.64</v>
      </c>
      <c r="G229" s="960"/>
      <c r="H229" s="961"/>
      <c r="I229" s="962"/>
      <c r="J229" s="963"/>
      <c r="K229" s="963">
        <v>25</v>
      </c>
      <c r="L229" s="961">
        <v>0</v>
      </c>
      <c r="M229" s="964" t="s">
        <v>230</v>
      </c>
      <c r="N229" s="965">
        <v>115.13</v>
      </c>
      <c r="O229" s="966"/>
      <c r="P229" s="957"/>
      <c r="Q229" s="957"/>
      <c r="R229" s="94"/>
      <c r="S229" s="94"/>
      <c r="T229" s="94"/>
      <c r="U229" s="94"/>
      <c r="V229" s="94"/>
      <c r="W229" s="94"/>
      <c r="X229" s="94"/>
      <c r="Y229" s="94"/>
      <c r="Z229" s="94"/>
      <c r="AA229" s="24"/>
      <c r="AB229" s="24"/>
      <c r="AC229" s="24"/>
      <c r="AD229" s="24"/>
      <c r="AE229" s="24"/>
      <c r="AF229" s="24"/>
      <c r="AG229" s="24"/>
      <c r="AH229" s="24"/>
    </row>
    <row r="230" spans="1:34">
      <c r="A230" s="956"/>
      <c r="B230" s="957">
        <v>209</v>
      </c>
      <c r="C230" s="958" t="s">
        <v>231</v>
      </c>
      <c r="D230" s="957">
        <v>-1</v>
      </c>
      <c r="E230" s="957">
        <v>4.8739999999999997</v>
      </c>
      <c r="F230" s="959"/>
      <c r="G230" s="960"/>
      <c r="H230" s="961"/>
      <c r="I230" s="962"/>
      <c r="J230" s="963"/>
      <c r="K230" s="963">
        <v>25</v>
      </c>
      <c r="L230" s="961">
        <v>0</v>
      </c>
      <c r="M230" s="964" t="s">
        <v>232</v>
      </c>
      <c r="N230" s="965"/>
      <c r="O230" s="966"/>
      <c r="P230" s="957"/>
      <c r="Q230" s="957"/>
      <c r="R230" s="94"/>
      <c r="S230" s="94"/>
      <c r="T230" s="94"/>
      <c r="U230" s="94"/>
      <c r="V230" s="94"/>
      <c r="W230" s="94"/>
      <c r="X230" s="94"/>
      <c r="Y230" s="94"/>
      <c r="Z230" s="94"/>
      <c r="AA230" s="24"/>
      <c r="AB230" s="24"/>
      <c r="AC230" s="24"/>
      <c r="AD230" s="24"/>
      <c r="AE230" s="24"/>
      <c r="AF230" s="24"/>
      <c r="AG230" s="24"/>
      <c r="AH230" s="24"/>
    </row>
    <row r="231" spans="1:34">
      <c r="A231" s="956"/>
      <c r="B231" s="957">
        <v>210</v>
      </c>
      <c r="C231" s="958" t="s">
        <v>233</v>
      </c>
      <c r="D231" s="957">
        <v>0</v>
      </c>
      <c r="E231" s="957">
        <v>10.566000000000001</v>
      </c>
      <c r="F231" s="959"/>
      <c r="G231" s="960"/>
      <c r="H231" s="961"/>
      <c r="I231" s="962"/>
      <c r="J231" s="963"/>
      <c r="K231" s="963">
        <v>25</v>
      </c>
      <c r="L231" s="961">
        <v>0</v>
      </c>
      <c r="M231" s="964" t="s">
        <v>234</v>
      </c>
      <c r="N231" s="965"/>
      <c r="O231" s="966"/>
      <c r="P231" s="957"/>
      <c r="Q231" s="957"/>
      <c r="R231" s="94"/>
      <c r="S231" s="94"/>
      <c r="T231" s="94"/>
      <c r="U231" s="94"/>
      <c r="V231" s="94"/>
      <c r="W231" s="94"/>
      <c r="X231" s="94"/>
      <c r="Y231" s="94"/>
      <c r="Z231" s="94"/>
      <c r="AA231" s="24"/>
      <c r="AB231" s="24"/>
      <c r="AC231" s="24"/>
      <c r="AD231" s="24"/>
      <c r="AE231" s="24"/>
      <c r="AF231" s="24"/>
      <c r="AG231" s="24"/>
      <c r="AH231" s="24"/>
    </row>
    <row r="232" spans="1:34">
      <c r="A232" s="956"/>
      <c r="B232" s="957">
        <v>211</v>
      </c>
      <c r="C232" s="958" t="s">
        <v>436</v>
      </c>
      <c r="D232" s="957">
        <v>0</v>
      </c>
      <c r="E232" s="957">
        <v>2.2999999999999998</v>
      </c>
      <c r="F232" s="959">
        <v>8.9600000000000009</v>
      </c>
      <c r="G232" s="960"/>
      <c r="H232" s="961"/>
      <c r="I232" s="962"/>
      <c r="J232" s="963"/>
      <c r="K232" s="963">
        <v>20</v>
      </c>
      <c r="L232" s="961">
        <v>0</v>
      </c>
      <c r="M232" s="964" t="s">
        <v>435</v>
      </c>
      <c r="N232" s="965">
        <v>120.11</v>
      </c>
      <c r="O232" s="966"/>
      <c r="P232" s="957"/>
      <c r="Q232" s="957"/>
      <c r="R232" s="94"/>
      <c r="S232" s="94"/>
      <c r="T232" s="94"/>
      <c r="U232" s="94"/>
      <c r="V232" s="94"/>
      <c r="W232" s="94"/>
      <c r="X232" s="94"/>
      <c r="Y232" s="94"/>
      <c r="Z232" s="94"/>
      <c r="AA232" s="24"/>
      <c r="AB232" s="24"/>
      <c r="AC232" s="24"/>
      <c r="AD232" s="24"/>
      <c r="AE232" s="24"/>
      <c r="AF232" s="24"/>
      <c r="AG232" s="24"/>
      <c r="AH232" s="24"/>
    </row>
    <row r="233" spans="1:34">
      <c r="A233" s="956"/>
      <c r="B233" s="957">
        <v>212</v>
      </c>
      <c r="C233" s="958" t="s">
        <v>235</v>
      </c>
      <c r="D233" s="957">
        <v>0</v>
      </c>
      <c r="E233" s="957">
        <v>5.2290000000000001</v>
      </c>
      <c r="F233" s="959"/>
      <c r="G233" s="960"/>
      <c r="H233" s="961"/>
      <c r="I233" s="962"/>
      <c r="J233" s="963"/>
      <c r="K233" s="963">
        <v>25</v>
      </c>
      <c r="L233" s="961">
        <v>0</v>
      </c>
      <c r="M233" s="964" t="s">
        <v>236</v>
      </c>
      <c r="N233" s="965">
        <v>79.099999999999994</v>
      </c>
      <c r="O233" s="966"/>
      <c r="P233" s="957"/>
      <c r="Q233" s="957"/>
      <c r="R233" s="94"/>
      <c r="S233" s="94"/>
      <c r="T233" s="94"/>
      <c r="U233" s="94"/>
      <c r="V233" s="94"/>
      <c r="W233" s="94"/>
      <c r="X233" s="94"/>
      <c r="Y233" s="94"/>
      <c r="Z233" s="94"/>
      <c r="AA233" s="24"/>
      <c r="AB233" s="24"/>
      <c r="AC233" s="24"/>
      <c r="AD233" s="24"/>
      <c r="AE233" s="24"/>
      <c r="AF233" s="24"/>
      <c r="AG233" s="24"/>
      <c r="AH233" s="24"/>
    </row>
    <row r="234" spans="1:34">
      <c r="A234" s="956"/>
      <c r="B234" s="957">
        <v>213</v>
      </c>
      <c r="C234" s="958" t="s">
        <v>471</v>
      </c>
      <c r="D234" s="957">
        <v>-1</v>
      </c>
      <c r="E234" s="957">
        <v>4.8499999999999996</v>
      </c>
      <c r="F234" s="959"/>
      <c r="G234" s="960"/>
      <c r="H234" s="961"/>
      <c r="I234" s="962"/>
      <c r="J234" s="963"/>
      <c r="K234" s="963">
        <v>25</v>
      </c>
      <c r="L234" s="961">
        <v>0</v>
      </c>
      <c r="M234" s="964" t="s">
        <v>469</v>
      </c>
      <c r="N234" s="965"/>
      <c r="O234" s="966"/>
      <c r="P234" s="957"/>
      <c r="Q234" s="957"/>
      <c r="R234" s="94"/>
      <c r="S234" s="94"/>
      <c r="T234" s="94"/>
      <c r="U234" s="94"/>
      <c r="V234" s="94"/>
      <c r="W234" s="94"/>
      <c r="X234" s="94"/>
      <c r="Y234" s="94"/>
      <c r="Z234" s="94"/>
      <c r="AA234" s="24"/>
      <c r="AB234" s="24"/>
      <c r="AC234" s="24"/>
      <c r="AD234" s="24"/>
      <c r="AE234" s="24"/>
      <c r="AF234" s="24"/>
      <c r="AG234" s="24"/>
      <c r="AH234" s="24"/>
    </row>
    <row r="235" spans="1:34">
      <c r="A235" s="956"/>
      <c r="B235" s="957">
        <v>214</v>
      </c>
      <c r="C235" s="958" t="s">
        <v>472</v>
      </c>
      <c r="D235" s="957">
        <v>-1</v>
      </c>
      <c r="E235" s="957">
        <v>4.96</v>
      </c>
      <c r="F235" s="959"/>
      <c r="G235" s="960"/>
      <c r="H235" s="961"/>
      <c r="I235" s="962"/>
      <c r="J235" s="963"/>
      <c r="K235" s="963">
        <v>25</v>
      </c>
      <c r="L235" s="961">
        <v>0</v>
      </c>
      <c r="M235" s="964" t="s">
        <v>469</v>
      </c>
      <c r="N235" s="965"/>
      <c r="O235" s="966"/>
      <c r="P235" s="957"/>
      <c r="Q235" s="957"/>
      <c r="R235" s="94"/>
      <c r="S235" s="94"/>
      <c r="T235" s="94"/>
      <c r="U235" s="94"/>
      <c r="V235" s="94"/>
      <c r="W235" s="94"/>
      <c r="X235" s="94"/>
      <c r="Y235" s="94"/>
      <c r="Z235" s="94"/>
      <c r="AA235" s="24"/>
      <c r="AB235" s="24"/>
      <c r="AC235" s="24"/>
      <c r="AD235" s="24"/>
      <c r="AE235" s="24"/>
      <c r="AF235" s="24"/>
      <c r="AG235" s="24"/>
      <c r="AH235" s="24"/>
    </row>
    <row r="236" spans="1:34">
      <c r="A236" s="956"/>
      <c r="B236" s="957">
        <v>215</v>
      </c>
      <c r="C236" s="958" t="s">
        <v>237</v>
      </c>
      <c r="D236" s="957">
        <v>0</v>
      </c>
      <c r="E236" s="957">
        <v>1.1000000000000001</v>
      </c>
      <c r="F236" s="959"/>
      <c r="G236" s="960"/>
      <c r="H236" s="961"/>
      <c r="I236" s="962"/>
      <c r="J236" s="963"/>
      <c r="K236" s="963">
        <v>20</v>
      </c>
      <c r="L236" s="961">
        <v>0</v>
      </c>
      <c r="M236" s="964" t="s">
        <v>1114</v>
      </c>
      <c r="N236" s="965">
        <v>80.087999999999994</v>
      </c>
      <c r="O236" s="966"/>
      <c r="P236" s="957"/>
      <c r="Q236" s="957"/>
      <c r="R236" s="94"/>
      <c r="S236" s="94"/>
      <c r="T236" s="94"/>
      <c r="U236" s="94"/>
      <c r="V236" s="94"/>
      <c r="W236" s="94"/>
      <c r="X236" s="94"/>
      <c r="Y236" s="94"/>
      <c r="Z236" s="94"/>
      <c r="AA236" s="24"/>
      <c r="AB236" s="24"/>
      <c r="AC236" s="24"/>
      <c r="AD236" s="24"/>
      <c r="AE236" s="24"/>
      <c r="AF236" s="24"/>
      <c r="AG236" s="24"/>
      <c r="AH236" s="24"/>
    </row>
    <row r="237" spans="1:34">
      <c r="A237" s="956"/>
      <c r="B237" s="957">
        <v>216</v>
      </c>
      <c r="C237" s="958" t="s">
        <v>485</v>
      </c>
      <c r="D237" s="957">
        <v>-2</v>
      </c>
      <c r="E237" s="957">
        <v>9.4</v>
      </c>
      <c r="F237" s="959">
        <v>12.8</v>
      </c>
      <c r="G237" s="960"/>
      <c r="H237" s="961"/>
      <c r="I237" s="962"/>
      <c r="J237" s="963"/>
      <c r="K237" s="963">
        <v>20</v>
      </c>
      <c r="L237" s="961">
        <v>0</v>
      </c>
      <c r="M237" s="964" t="s">
        <v>483</v>
      </c>
      <c r="N237" s="965">
        <v>110.1</v>
      </c>
      <c r="O237" s="966"/>
      <c r="P237" s="957"/>
      <c r="Q237" s="957"/>
      <c r="R237" s="94"/>
      <c r="S237" s="94"/>
      <c r="T237" s="94"/>
      <c r="U237" s="94"/>
      <c r="V237" s="94"/>
      <c r="W237" s="94"/>
      <c r="X237" s="94"/>
      <c r="Y237" s="94"/>
      <c r="Z237" s="94"/>
      <c r="AA237" s="24"/>
      <c r="AB237" s="24"/>
      <c r="AC237" s="24"/>
      <c r="AD237" s="24"/>
      <c r="AE237" s="24"/>
      <c r="AF237" s="24"/>
      <c r="AG237" s="24"/>
      <c r="AH237" s="24"/>
    </row>
    <row r="238" spans="1:34">
      <c r="A238" s="956"/>
      <c r="B238" s="957">
        <v>217</v>
      </c>
      <c r="C238" s="958" t="s">
        <v>360</v>
      </c>
      <c r="D238" s="957">
        <v>-4</v>
      </c>
      <c r="E238" s="957">
        <v>1.52</v>
      </c>
      <c r="F238" s="959">
        <v>2.36</v>
      </c>
      <c r="G238" s="960">
        <v>6.6</v>
      </c>
      <c r="H238" s="961">
        <v>9.25</v>
      </c>
      <c r="I238" s="962"/>
      <c r="J238" s="963"/>
      <c r="K238" s="963"/>
      <c r="L238" s="961"/>
      <c r="M238" s="964" t="s">
        <v>361</v>
      </c>
      <c r="N238" s="965">
        <v>177.98</v>
      </c>
      <c r="O238" s="966"/>
      <c r="P238" s="957"/>
      <c r="Q238" s="957"/>
      <c r="R238" s="94"/>
      <c r="S238" s="94"/>
      <c r="T238" s="94"/>
      <c r="U238" s="94"/>
      <c r="V238" s="94"/>
      <c r="W238" s="94"/>
      <c r="X238" s="94"/>
      <c r="Y238" s="94"/>
      <c r="Z238" s="94"/>
      <c r="AA238" s="24"/>
      <c r="AB238" s="24"/>
      <c r="AC238" s="24"/>
      <c r="AD238" s="24"/>
      <c r="AE238" s="24"/>
      <c r="AF238" s="24"/>
      <c r="AG238" s="24"/>
      <c r="AH238" s="24"/>
    </row>
    <row r="239" spans="1:34">
      <c r="A239" s="956"/>
      <c r="B239" s="957">
        <v>218</v>
      </c>
      <c r="C239" s="958" t="s">
        <v>422</v>
      </c>
      <c r="D239" s="957">
        <v>0</v>
      </c>
      <c r="E239" s="957">
        <v>11.27</v>
      </c>
      <c r="F239" s="959"/>
      <c r="G239" s="960"/>
      <c r="H239" s="961"/>
      <c r="I239" s="962"/>
      <c r="J239" s="963"/>
      <c r="K239" s="963">
        <v>25</v>
      </c>
      <c r="L239" s="961">
        <v>0</v>
      </c>
      <c r="M239" s="964" t="s">
        <v>421</v>
      </c>
      <c r="N239" s="965"/>
      <c r="O239" s="966"/>
      <c r="P239" s="957"/>
      <c r="Q239" s="957"/>
      <c r="R239" s="94"/>
      <c r="S239" s="94"/>
      <c r="T239" s="94"/>
      <c r="U239" s="94"/>
      <c r="V239" s="94"/>
      <c r="W239" s="94"/>
      <c r="X239" s="94"/>
      <c r="Y239" s="94"/>
      <c r="Z239" s="94"/>
      <c r="AA239" s="24"/>
      <c r="AB239" s="24"/>
      <c r="AC239" s="24"/>
      <c r="AD239" s="24"/>
      <c r="AE239" s="24"/>
      <c r="AF239" s="24"/>
      <c r="AG239" s="24"/>
      <c r="AH239" s="24"/>
    </row>
    <row r="240" spans="1:34">
      <c r="A240" s="956"/>
      <c r="B240" s="957">
        <v>219</v>
      </c>
      <c r="C240" s="958" t="s">
        <v>387</v>
      </c>
      <c r="D240" s="957">
        <v>-1</v>
      </c>
      <c r="E240" s="957">
        <v>2.39</v>
      </c>
      <c r="F240" s="959"/>
      <c r="G240" s="960"/>
      <c r="H240" s="961"/>
      <c r="I240" s="962"/>
      <c r="J240" s="963"/>
      <c r="K240" s="963">
        <v>25</v>
      </c>
      <c r="L240" s="961">
        <v>0</v>
      </c>
      <c r="M240" s="964" t="s">
        <v>386</v>
      </c>
      <c r="N240" s="965">
        <v>88.06</v>
      </c>
      <c r="O240" s="966"/>
      <c r="P240" s="957"/>
      <c r="Q240" s="957"/>
      <c r="R240" s="94"/>
      <c r="S240" s="94"/>
      <c r="T240" s="94"/>
      <c r="U240" s="94"/>
      <c r="V240" s="94"/>
      <c r="W240" s="94"/>
      <c r="X240" s="94"/>
      <c r="Y240" s="94"/>
      <c r="Z240" s="94"/>
      <c r="AA240" s="24"/>
      <c r="AB240" s="24"/>
      <c r="AC240" s="24"/>
      <c r="AD240" s="24"/>
      <c r="AE240" s="24"/>
      <c r="AF240" s="24"/>
      <c r="AG240" s="24"/>
      <c r="AH240" s="24"/>
    </row>
    <row r="241" spans="1:34">
      <c r="A241" s="956"/>
      <c r="B241" s="957">
        <v>220</v>
      </c>
      <c r="C241" s="958" t="s">
        <v>302</v>
      </c>
      <c r="D241" s="957">
        <v>0</v>
      </c>
      <c r="E241" s="959">
        <v>4.13</v>
      </c>
      <c r="F241" s="957">
        <v>8.52</v>
      </c>
      <c r="G241" s="961"/>
      <c r="H241" s="961"/>
      <c r="I241" s="962"/>
      <c r="J241" s="963"/>
      <c r="K241" s="963">
        <v>25</v>
      </c>
      <c r="L241" s="961">
        <v>0</v>
      </c>
      <c r="M241" s="964" t="s">
        <v>301</v>
      </c>
      <c r="N241" s="965">
        <v>324.42</v>
      </c>
      <c r="O241" s="966"/>
      <c r="P241" s="957"/>
      <c r="Q241" s="957"/>
      <c r="R241" s="94"/>
      <c r="S241" s="94"/>
      <c r="T241" s="94"/>
      <c r="U241" s="94"/>
      <c r="V241" s="94"/>
      <c r="W241" s="94"/>
      <c r="X241" s="94"/>
      <c r="Y241" s="94"/>
      <c r="Z241" s="94"/>
      <c r="AA241" s="24"/>
      <c r="AB241" s="24"/>
      <c r="AC241" s="24"/>
      <c r="AD241" s="24"/>
      <c r="AE241" s="24"/>
      <c r="AF241" s="24"/>
      <c r="AG241" s="24"/>
      <c r="AH241" s="24"/>
    </row>
    <row r="242" spans="1:34">
      <c r="A242" s="956"/>
      <c r="B242" s="957">
        <v>221</v>
      </c>
      <c r="C242" s="958" t="s">
        <v>123</v>
      </c>
      <c r="D242" s="957">
        <v>0</v>
      </c>
      <c r="E242" s="957">
        <v>4.9000000000000004</v>
      </c>
      <c r="F242" s="959"/>
      <c r="G242" s="960"/>
      <c r="H242" s="961"/>
      <c r="I242" s="962"/>
      <c r="J242" s="963"/>
      <c r="K242" s="963">
        <v>20</v>
      </c>
      <c r="L242" s="961">
        <v>0</v>
      </c>
      <c r="M242" s="964" t="s">
        <v>122</v>
      </c>
      <c r="N242" s="965">
        <v>129.16</v>
      </c>
      <c r="O242" s="966"/>
      <c r="P242" s="957"/>
      <c r="Q242" s="957"/>
      <c r="R242" s="94"/>
      <c r="S242" s="94"/>
      <c r="T242" s="94"/>
      <c r="U242" s="94"/>
      <c r="V242" s="94"/>
      <c r="W242" s="94"/>
      <c r="X242" s="94"/>
      <c r="Y242" s="94"/>
      <c r="Z242" s="94"/>
      <c r="AA242" s="24"/>
      <c r="AB242" s="24"/>
      <c r="AC242" s="24"/>
      <c r="AD242" s="24"/>
      <c r="AE242" s="24"/>
      <c r="AF242" s="24"/>
      <c r="AG242" s="24"/>
      <c r="AH242" s="24"/>
    </row>
    <row r="243" spans="1:34">
      <c r="A243" s="956"/>
      <c r="B243" s="957">
        <v>222</v>
      </c>
      <c r="C243" s="958" t="s">
        <v>238</v>
      </c>
      <c r="D243" s="957">
        <v>-2</v>
      </c>
      <c r="E243" s="957">
        <v>9.3000000000000007</v>
      </c>
      <c r="F243" s="959">
        <v>11.06</v>
      </c>
      <c r="G243" s="960"/>
      <c r="H243" s="961"/>
      <c r="I243" s="962"/>
      <c r="J243" s="963"/>
      <c r="K243" s="963">
        <v>25</v>
      </c>
      <c r="L243" s="961">
        <v>0</v>
      </c>
      <c r="M243" s="964" t="s">
        <v>483</v>
      </c>
      <c r="N243" s="965">
        <v>110.1</v>
      </c>
      <c r="O243" s="966"/>
      <c r="P243" s="957"/>
      <c r="Q243" s="957"/>
      <c r="R243" s="94"/>
      <c r="S243" s="94"/>
      <c r="T243" s="94"/>
      <c r="U243" s="94"/>
      <c r="V243" s="94"/>
      <c r="W243" s="94"/>
      <c r="X243" s="94"/>
      <c r="Y243" s="94"/>
      <c r="Z243" s="94"/>
      <c r="AA243" s="24"/>
      <c r="AB243" s="24"/>
      <c r="AC243" s="24"/>
      <c r="AD243" s="24"/>
      <c r="AE243" s="24"/>
      <c r="AF243" s="24"/>
      <c r="AG243" s="24"/>
      <c r="AH243" s="24"/>
    </row>
    <row r="244" spans="1:34">
      <c r="A244" s="956"/>
      <c r="B244" s="957">
        <v>223</v>
      </c>
      <c r="C244" s="958" t="s">
        <v>68</v>
      </c>
      <c r="D244" s="957">
        <v>-1</v>
      </c>
      <c r="E244" s="957">
        <v>11.68</v>
      </c>
      <c r="F244" s="959"/>
      <c r="G244" s="960"/>
      <c r="H244" s="961"/>
      <c r="I244" s="962"/>
      <c r="J244" s="963"/>
      <c r="K244" s="963">
        <v>18</v>
      </c>
      <c r="L244" s="961">
        <v>0</v>
      </c>
      <c r="M244" s="964" t="s">
        <v>67</v>
      </c>
      <c r="N244" s="965"/>
      <c r="O244" s="966"/>
      <c r="P244" s="957"/>
      <c r="Q244" s="957"/>
      <c r="R244" s="94"/>
      <c r="S244" s="94"/>
      <c r="T244" s="94"/>
      <c r="U244" s="94"/>
      <c r="V244" s="94"/>
      <c r="W244" s="94"/>
      <c r="X244" s="94"/>
      <c r="Y244" s="94"/>
      <c r="Z244" s="94"/>
      <c r="AA244" s="24"/>
      <c r="AB244" s="24"/>
      <c r="AC244" s="24"/>
      <c r="AD244" s="24"/>
      <c r="AE244" s="24"/>
      <c r="AF244" s="24"/>
      <c r="AG244" s="24"/>
      <c r="AH244" s="24"/>
    </row>
    <row r="245" spans="1:34">
      <c r="A245" s="956"/>
      <c r="B245" s="957">
        <v>224</v>
      </c>
      <c r="C245" s="958" t="s">
        <v>239</v>
      </c>
      <c r="D245" s="957">
        <v>-2</v>
      </c>
      <c r="E245" s="957">
        <v>2.97</v>
      </c>
      <c r="F245" s="959">
        <v>13.74</v>
      </c>
      <c r="G245" s="960"/>
      <c r="H245" s="961"/>
      <c r="I245" s="962"/>
      <c r="J245" s="963"/>
      <c r="K245" s="963">
        <v>25</v>
      </c>
      <c r="L245" s="961">
        <v>0</v>
      </c>
      <c r="M245" s="964" t="s">
        <v>75</v>
      </c>
      <c r="N245" s="965">
        <v>138.12</v>
      </c>
      <c r="O245" s="966"/>
      <c r="P245" s="957"/>
      <c r="Q245" s="957"/>
      <c r="R245" s="94"/>
      <c r="S245" s="94"/>
      <c r="T245" s="94"/>
      <c r="U245" s="94"/>
      <c r="V245" s="94"/>
      <c r="W245" s="94"/>
      <c r="X245" s="94"/>
      <c r="Y245" s="94"/>
      <c r="Z245" s="94"/>
      <c r="AA245" s="24"/>
      <c r="AB245" s="24"/>
      <c r="AC245" s="24"/>
      <c r="AD245" s="24"/>
      <c r="AE245" s="24"/>
      <c r="AF245" s="24"/>
      <c r="AG245" s="24"/>
      <c r="AH245" s="24"/>
    </row>
    <row r="246" spans="1:34">
      <c r="A246" s="956"/>
      <c r="B246" s="957">
        <v>225</v>
      </c>
      <c r="C246" s="958" t="s">
        <v>240</v>
      </c>
      <c r="D246" s="957">
        <v>-1</v>
      </c>
      <c r="E246" s="957">
        <v>1.92</v>
      </c>
      <c r="F246" s="959"/>
      <c r="G246" s="960"/>
      <c r="H246" s="961"/>
      <c r="I246" s="962"/>
      <c r="J246" s="963"/>
      <c r="K246" s="963">
        <v>25</v>
      </c>
      <c r="L246" s="961">
        <v>0</v>
      </c>
      <c r="M246" s="964" t="s">
        <v>241</v>
      </c>
      <c r="N246" s="965"/>
      <c r="O246" s="966"/>
      <c r="P246" s="957"/>
      <c r="Q246" s="957"/>
      <c r="R246" s="94"/>
      <c r="S246" s="94"/>
      <c r="T246" s="94"/>
      <c r="U246" s="94"/>
      <c r="V246" s="94"/>
      <c r="W246" s="94"/>
      <c r="X246" s="94"/>
      <c r="Y246" s="94"/>
      <c r="Z246" s="94"/>
      <c r="AA246" s="24"/>
      <c r="AB246" s="24"/>
      <c r="AC246" s="24"/>
      <c r="AD246" s="24"/>
      <c r="AE246" s="24"/>
      <c r="AF246" s="24"/>
      <c r="AG246" s="24"/>
      <c r="AH246" s="24"/>
    </row>
    <row r="247" spans="1:34">
      <c r="A247" s="956"/>
      <c r="B247" s="957">
        <v>226</v>
      </c>
      <c r="C247" s="958" t="s">
        <v>242</v>
      </c>
      <c r="D247" s="957">
        <v>-2</v>
      </c>
      <c r="E247" s="957">
        <v>2.64</v>
      </c>
      <c r="F247" s="959">
        <v>8.2799999999999994</v>
      </c>
      <c r="G247" s="960"/>
      <c r="H247" s="961"/>
      <c r="I247" s="962"/>
      <c r="J247" s="963"/>
      <c r="K247" s="963"/>
      <c r="L247" s="961">
        <v>0</v>
      </c>
      <c r="M247" s="964" t="s">
        <v>362</v>
      </c>
      <c r="N247" s="965"/>
      <c r="O247" s="966"/>
      <c r="P247" s="957"/>
      <c r="Q247" s="957"/>
      <c r="R247" s="94"/>
      <c r="S247" s="94"/>
      <c r="T247" s="94"/>
      <c r="U247" s="94"/>
      <c r="V247" s="94"/>
      <c r="W247" s="94"/>
      <c r="X247" s="94"/>
      <c r="Y247" s="94"/>
      <c r="Z247" s="94"/>
      <c r="AA247" s="24"/>
      <c r="AB247" s="24"/>
      <c r="AC247" s="24"/>
      <c r="AD247" s="24"/>
      <c r="AE247" s="24"/>
      <c r="AF247" s="24"/>
      <c r="AG247" s="24"/>
      <c r="AH247" s="24"/>
    </row>
    <row r="248" spans="1:34">
      <c r="A248" s="956"/>
      <c r="B248" s="957">
        <v>227</v>
      </c>
      <c r="C248" s="958" t="s">
        <v>396</v>
      </c>
      <c r="D248" s="957">
        <v>-1</v>
      </c>
      <c r="E248" s="957">
        <v>2.19</v>
      </c>
      <c r="F248" s="959">
        <v>9.0500000000000007</v>
      </c>
      <c r="G248" s="960"/>
      <c r="H248" s="961"/>
      <c r="I248" s="962"/>
      <c r="J248" s="963"/>
      <c r="K248" s="963">
        <v>25</v>
      </c>
      <c r="L248" s="961">
        <v>0</v>
      </c>
      <c r="M248" s="964" t="s">
        <v>243</v>
      </c>
      <c r="N248" s="965">
        <v>105.09</v>
      </c>
      <c r="O248" s="966"/>
      <c r="P248" s="957"/>
      <c r="Q248" s="957"/>
      <c r="R248" s="94"/>
      <c r="S248" s="94"/>
      <c r="T248" s="94"/>
      <c r="U248" s="94"/>
      <c r="V248" s="94"/>
      <c r="W248" s="94"/>
      <c r="X248" s="94"/>
      <c r="Y248" s="94"/>
      <c r="Z248" s="94"/>
      <c r="AA248" s="24"/>
      <c r="AB248" s="24"/>
      <c r="AC248" s="24"/>
      <c r="AD248" s="24"/>
      <c r="AE248" s="24"/>
      <c r="AF248" s="24"/>
      <c r="AG248" s="24"/>
      <c r="AH248" s="24"/>
    </row>
    <row r="249" spans="1:34">
      <c r="A249" s="956"/>
      <c r="B249" s="957">
        <v>228</v>
      </c>
      <c r="C249" s="958" t="s">
        <v>244</v>
      </c>
      <c r="D249" s="957">
        <v>-2</v>
      </c>
      <c r="E249" s="957">
        <v>9.66</v>
      </c>
      <c r="F249" s="959">
        <v>11.7</v>
      </c>
      <c r="G249" s="960"/>
      <c r="H249" s="961"/>
      <c r="I249" s="962"/>
      <c r="J249" s="963"/>
      <c r="K249" s="963"/>
      <c r="L249" s="961"/>
      <c r="M249" s="964" t="s">
        <v>245</v>
      </c>
      <c r="N249" s="965"/>
      <c r="O249" s="966"/>
      <c r="P249" s="957"/>
      <c r="Q249" s="957"/>
      <c r="R249" s="94"/>
      <c r="S249" s="94"/>
      <c r="T249" s="94"/>
      <c r="U249" s="94"/>
      <c r="V249" s="94"/>
      <c r="W249" s="94"/>
      <c r="X249" s="94"/>
      <c r="Y249" s="94"/>
      <c r="Z249" s="94"/>
      <c r="AA249" s="24"/>
      <c r="AB249" s="24"/>
      <c r="AC249" s="24"/>
      <c r="AD249" s="24"/>
      <c r="AE249" s="24"/>
      <c r="AF249" s="24"/>
      <c r="AG249" s="24"/>
      <c r="AH249" s="24"/>
    </row>
    <row r="250" spans="1:34">
      <c r="A250" s="956"/>
      <c r="B250" s="957">
        <v>229</v>
      </c>
      <c r="C250" s="958" t="s">
        <v>246</v>
      </c>
      <c r="D250" s="957">
        <v>-2</v>
      </c>
      <c r="E250" s="957">
        <v>9.6999999999999993</v>
      </c>
      <c r="F250" s="959">
        <v>12</v>
      </c>
      <c r="G250" s="960"/>
      <c r="H250" s="961"/>
      <c r="I250" s="962"/>
      <c r="J250" s="963"/>
      <c r="K250" s="963"/>
      <c r="L250" s="961"/>
      <c r="M250" s="964" t="s">
        <v>247</v>
      </c>
      <c r="N250" s="965"/>
      <c r="O250" s="966"/>
      <c r="P250" s="957"/>
      <c r="Q250" s="957"/>
      <c r="R250" s="94"/>
      <c r="S250" s="94"/>
      <c r="T250" s="94"/>
      <c r="U250" s="94"/>
      <c r="V250" s="94"/>
      <c r="W250" s="94"/>
      <c r="X250" s="94"/>
      <c r="Y250" s="94"/>
      <c r="Z250" s="94"/>
      <c r="AA250" s="24"/>
      <c r="AB250" s="24"/>
      <c r="AC250" s="24"/>
      <c r="AD250" s="24"/>
      <c r="AE250" s="24"/>
      <c r="AF250" s="24"/>
      <c r="AG250" s="24"/>
      <c r="AH250" s="24"/>
    </row>
    <row r="251" spans="1:34">
      <c r="A251" s="956"/>
      <c r="B251" s="957">
        <v>230</v>
      </c>
      <c r="C251" s="971" t="s">
        <v>1146</v>
      </c>
      <c r="D251" s="957">
        <v>-1</v>
      </c>
      <c r="E251" s="957">
        <v>4.76</v>
      </c>
      <c r="F251" s="959"/>
      <c r="G251" s="960"/>
      <c r="H251" s="961"/>
      <c r="I251" s="962"/>
      <c r="J251" s="963"/>
      <c r="K251" s="963"/>
      <c r="L251" s="961"/>
      <c r="M251" s="964" t="s">
        <v>1147</v>
      </c>
      <c r="N251" s="965">
        <v>112.13</v>
      </c>
      <c r="O251" s="966"/>
      <c r="P251" s="957"/>
      <c r="Q251" s="957"/>
      <c r="R251" s="94"/>
      <c r="S251" s="94"/>
      <c r="T251" s="94"/>
      <c r="U251" s="94"/>
      <c r="V251" s="94"/>
      <c r="W251" s="94"/>
      <c r="X251" s="94"/>
      <c r="Y251" s="94"/>
      <c r="Z251" s="94"/>
      <c r="AA251" s="24"/>
      <c r="AB251" s="24"/>
      <c r="AC251" s="24"/>
      <c r="AD251" s="24"/>
      <c r="AE251" s="24"/>
      <c r="AF251" s="24"/>
      <c r="AG251" s="24"/>
      <c r="AH251" s="24"/>
    </row>
    <row r="252" spans="1:34">
      <c r="A252" s="956"/>
      <c r="B252" s="957">
        <v>231</v>
      </c>
      <c r="C252" s="958" t="s">
        <v>304</v>
      </c>
      <c r="D252" s="957">
        <v>0</v>
      </c>
      <c r="E252" s="957">
        <v>8.26</v>
      </c>
      <c r="F252" s="959"/>
      <c r="G252" s="960"/>
      <c r="H252" s="961"/>
      <c r="I252" s="962"/>
      <c r="J252" s="963"/>
      <c r="K252" s="963">
        <v>25</v>
      </c>
      <c r="L252" s="961">
        <v>0</v>
      </c>
      <c r="M252" s="964" t="s">
        <v>303</v>
      </c>
      <c r="N252" s="965">
        <v>334.41</v>
      </c>
      <c r="O252" s="966"/>
      <c r="P252" s="957"/>
      <c r="Q252" s="957"/>
      <c r="R252" s="94"/>
      <c r="S252" s="94"/>
      <c r="T252" s="94"/>
      <c r="U252" s="94"/>
      <c r="V252" s="94"/>
      <c r="W252" s="94"/>
      <c r="X252" s="94"/>
      <c r="Y252" s="94"/>
      <c r="Z252" s="94"/>
      <c r="AA252" s="24"/>
      <c r="AB252" s="24"/>
      <c r="AC252" s="24"/>
      <c r="AD252" s="24"/>
      <c r="AE252" s="24"/>
      <c r="AF252" s="24"/>
      <c r="AG252" s="24"/>
      <c r="AH252" s="24"/>
    </row>
    <row r="253" spans="1:34" ht="11.25" customHeight="1">
      <c r="A253" s="956"/>
      <c r="B253" s="957">
        <v>232</v>
      </c>
      <c r="C253" s="958" t="s">
        <v>248</v>
      </c>
      <c r="D253" s="957">
        <v>-2</v>
      </c>
      <c r="E253" s="957">
        <v>4.2069999999999999</v>
      </c>
      <c r="F253" s="959">
        <v>5.6360000000000001</v>
      </c>
      <c r="G253" s="960"/>
      <c r="H253" s="961"/>
      <c r="I253" s="962"/>
      <c r="J253" s="963"/>
      <c r="K253" s="963"/>
      <c r="L253" s="961"/>
      <c r="M253" s="964" t="s">
        <v>249</v>
      </c>
      <c r="N253" s="965">
        <v>118.09</v>
      </c>
      <c r="O253" s="966"/>
      <c r="P253" s="957"/>
      <c r="Q253" s="957"/>
      <c r="R253" s="94"/>
      <c r="S253" s="94"/>
      <c r="T253" s="94"/>
      <c r="U253" s="94"/>
      <c r="V253" s="94"/>
      <c r="W253" s="94"/>
      <c r="X253" s="94"/>
      <c r="Y253" s="94"/>
      <c r="Z253" s="94"/>
      <c r="AA253" s="24"/>
      <c r="AB253" s="24"/>
      <c r="AC253" s="24"/>
      <c r="AD253" s="24"/>
      <c r="AE253" s="24"/>
      <c r="AF253" s="24"/>
      <c r="AG253" s="24"/>
      <c r="AH253" s="24"/>
    </row>
    <row r="254" spans="1:34">
      <c r="A254" s="956"/>
      <c r="B254" s="957">
        <v>233</v>
      </c>
      <c r="C254" s="971" t="s">
        <v>1144</v>
      </c>
      <c r="D254" s="1360">
        <v>-1</v>
      </c>
      <c r="E254" s="1122">
        <v>0.995</v>
      </c>
      <c r="F254" s="1122"/>
      <c r="G254" s="1122"/>
      <c r="H254" s="1122"/>
      <c r="I254" s="1360"/>
      <c r="J254" s="1360"/>
      <c r="K254" s="1360"/>
      <c r="L254" s="2"/>
      <c r="M254" s="1361" t="s">
        <v>1145</v>
      </c>
      <c r="N254" s="1362">
        <v>97.09</v>
      </c>
      <c r="O254" s="966"/>
      <c r="P254" s="957"/>
      <c r="Q254" s="957"/>
      <c r="R254" s="94"/>
      <c r="S254" s="94"/>
      <c r="T254" s="94"/>
      <c r="U254" s="94"/>
      <c r="V254" s="94"/>
      <c r="W254" s="94"/>
      <c r="X254" s="94"/>
      <c r="Y254" s="94"/>
      <c r="Z254" s="94"/>
      <c r="AA254" s="24"/>
      <c r="AB254" s="24"/>
      <c r="AC254" s="24"/>
      <c r="AD254" s="24"/>
      <c r="AE254" s="24"/>
      <c r="AF254" s="24"/>
      <c r="AG254" s="24"/>
      <c r="AH254" s="24"/>
    </row>
    <row r="255" spans="1:34">
      <c r="A255" s="956"/>
      <c r="B255" s="957">
        <v>234</v>
      </c>
      <c r="C255" s="958" t="s">
        <v>250</v>
      </c>
      <c r="D255" s="957">
        <v>-2</v>
      </c>
      <c r="E255" s="967">
        <v>-3</v>
      </c>
      <c r="F255" s="959">
        <v>1.99</v>
      </c>
      <c r="G255" s="960"/>
      <c r="H255" s="961"/>
      <c r="I255" s="962"/>
      <c r="J255" s="963"/>
      <c r="K255" s="963">
        <v>25</v>
      </c>
      <c r="L255" s="961">
        <v>0</v>
      </c>
      <c r="M255" s="964" t="s">
        <v>363</v>
      </c>
      <c r="N255" s="965">
        <v>98.08</v>
      </c>
      <c r="O255" s="966"/>
      <c r="P255" s="957"/>
      <c r="Q255" s="957"/>
      <c r="R255" s="94"/>
      <c r="S255" s="94"/>
      <c r="T255" s="94"/>
      <c r="U255" s="94"/>
      <c r="V255" s="94"/>
      <c r="W255" s="94"/>
      <c r="X255" s="94"/>
      <c r="Y255" s="94"/>
      <c r="Z255" s="94"/>
      <c r="AA255" s="24"/>
      <c r="AB255" s="24"/>
      <c r="AC255" s="24"/>
      <c r="AD255" s="24"/>
      <c r="AE255" s="24"/>
      <c r="AF255" s="24"/>
      <c r="AG255" s="24"/>
      <c r="AH255" s="24"/>
    </row>
    <row r="256" spans="1:34">
      <c r="A256" s="956"/>
      <c r="B256" s="957">
        <v>235</v>
      </c>
      <c r="C256" s="958" t="s">
        <v>126</v>
      </c>
      <c r="D256" s="957">
        <v>-2</v>
      </c>
      <c r="E256" s="957">
        <v>1.91</v>
      </c>
      <c r="F256" s="959">
        <v>7.18</v>
      </c>
      <c r="G256" s="960"/>
      <c r="H256" s="961"/>
      <c r="I256" s="962"/>
      <c r="J256" s="963"/>
      <c r="K256" s="963">
        <v>25</v>
      </c>
      <c r="L256" s="961">
        <v>0</v>
      </c>
      <c r="M256" s="964" t="s">
        <v>251</v>
      </c>
      <c r="N256" s="965">
        <v>82.07</v>
      </c>
      <c r="O256" s="966"/>
      <c r="P256" s="957"/>
      <c r="Q256" s="957"/>
      <c r="R256" s="94"/>
      <c r="S256" s="94"/>
      <c r="T256" s="94"/>
      <c r="U256" s="94"/>
      <c r="V256" s="94"/>
      <c r="W256" s="94"/>
      <c r="X256" s="94"/>
      <c r="Y256" s="94"/>
      <c r="Z256" s="94"/>
      <c r="AA256" s="24"/>
      <c r="AB256" s="24"/>
      <c r="AC256" s="24"/>
      <c r="AD256" s="24"/>
      <c r="AE256" s="24"/>
      <c r="AF256" s="24"/>
      <c r="AG256" s="24"/>
      <c r="AH256" s="24"/>
    </row>
    <row r="257" spans="1:34">
      <c r="A257" s="956"/>
      <c r="B257" s="957">
        <v>236</v>
      </c>
      <c r="C257" s="958" t="s">
        <v>252</v>
      </c>
      <c r="D257" s="957">
        <v>-2</v>
      </c>
      <c r="E257" s="957">
        <v>3.036</v>
      </c>
      <c r="F257" s="959">
        <v>4.3659999999999997</v>
      </c>
      <c r="G257" s="960"/>
      <c r="H257" s="961"/>
      <c r="I257" s="962"/>
      <c r="J257" s="963"/>
      <c r="K257" s="963">
        <v>25</v>
      </c>
      <c r="L257" s="961">
        <v>0</v>
      </c>
      <c r="M257" s="964" t="s">
        <v>412</v>
      </c>
      <c r="N257" s="965">
        <v>150.09</v>
      </c>
      <c r="O257" s="966"/>
      <c r="P257" s="957"/>
      <c r="Q257" s="957"/>
      <c r="R257" s="94"/>
      <c r="S257" s="94"/>
      <c r="T257" s="94"/>
      <c r="U257" s="94"/>
      <c r="V257" s="94"/>
      <c r="W257" s="94"/>
      <c r="X257" s="94"/>
      <c r="Y257" s="94"/>
      <c r="Z257" s="94"/>
      <c r="AA257" s="24"/>
      <c r="AB257" s="24"/>
      <c r="AC257" s="24"/>
      <c r="AD257" s="24"/>
      <c r="AE257" s="24"/>
      <c r="AF257" s="24"/>
      <c r="AG257" s="24"/>
      <c r="AH257" s="24"/>
    </row>
    <row r="258" spans="1:34">
      <c r="A258" s="956"/>
      <c r="B258" s="957">
        <v>237</v>
      </c>
      <c r="C258" s="958" t="s">
        <v>413</v>
      </c>
      <c r="D258" s="957">
        <v>-2</v>
      </c>
      <c r="E258" s="957">
        <v>3.22</v>
      </c>
      <c r="F258" s="959">
        <v>4.82</v>
      </c>
      <c r="G258" s="960"/>
      <c r="H258" s="961"/>
      <c r="I258" s="962"/>
      <c r="J258" s="963"/>
      <c r="K258" s="963">
        <v>25</v>
      </c>
      <c r="L258" s="961">
        <v>0</v>
      </c>
      <c r="M258" s="964" t="s">
        <v>412</v>
      </c>
      <c r="N258" s="965">
        <v>150.09</v>
      </c>
      <c r="O258" s="966"/>
      <c r="P258" s="957"/>
      <c r="Q258" s="957"/>
      <c r="R258" s="94"/>
      <c r="S258" s="94"/>
      <c r="T258" s="94"/>
      <c r="U258" s="94"/>
      <c r="V258" s="94"/>
      <c r="W258" s="94"/>
      <c r="X258" s="94"/>
      <c r="Y258" s="94"/>
      <c r="Z258" s="94"/>
      <c r="AA258" s="24"/>
      <c r="AB258" s="24"/>
      <c r="AC258" s="24"/>
      <c r="AD258" s="24"/>
      <c r="AE258" s="24"/>
      <c r="AF258" s="24"/>
      <c r="AG258" s="24"/>
      <c r="AH258" s="24"/>
    </row>
    <row r="259" spans="1:34">
      <c r="A259" s="956"/>
      <c r="B259" s="957">
        <v>238</v>
      </c>
      <c r="C259" s="958" t="s">
        <v>96</v>
      </c>
      <c r="D259" s="957">
        <v>-1</v>
      </c>
      <c r="E259" s="957">
        <v>3.51</v>
      </c>
      <c r="F259" s="959"/>
      <c r="G259" s="960"/>
      <c r="H259" s="961"/>
      <c r="I259" s="962"/>
      <c r="J259" s="963"/>
      <c r="K259" s="963">
        <v>25</v>
      </c>
      <c r="L259" s="961">
        <v>0</v>
      </c>
      <c r="M259" s="964" t="s">
        <v>93</v>
      </c>
      <c r="N259" s="965"/>
      <c r="O259" s="966"/>
      <c r="P259" s="957"/>
      <c r="Q259" s="957"/>
      <c r="R259" s="94"/>
      <c r="S259" s="94"/>
      <c r="T259" s="94"/>
      <c r="U259" s="94"/>
      <c r="V259" s="94"/>
      <c r="W259" s="94"/>
      <c r="X259" s="94"/>
      <c r="Y259" s="94"/>
      <c r="Z259" s="94"/>
      <c r="AA259" s="24"/>
      <c r="AB259" s="24"/>
      <c r="AC259" s="24"/>
      <c r="AD259" s="24"/>
      <c r="AE259" s="24"/>
      <c r="AF259" s="24"/>
      <c r="AG259" s="24"/>
      <c r="AH259" s="24"/>
    </row>
    <row r="260" spans="1:34">
      <c r="A260" s="956"/>
      <c r="B260" s="957">
        <v>239</v>
      </c>
      <c r="C260" s="958" t="s">
        <v>382</v>
      </c>
      <c r="D260" s="957">
        <v>0</v>
      </c>
      <c r="E260" s="957">
        <v>2.44</v>
      </c>
      <c r="F260" s="959"/>
      <c r="G260" s="960"/>
      <c r="H260" s="961"/>
      <c r="I260" s="962"/>
      <c r="J260" s="963"/>
      <c r="K260" s="963">
        <v>20</v>
      </c>
      <c r="L260" s="961">
        <v>0</v>
      </c>
      <c r="M260" s="964" t="s">
        <v>381</v>
      </c>
      <c r="N260" s="965"/>
      <c r="O260" s="966"/>
      <c r="P260" s="957"/>
      <c r="Q260" s="957"/>
      <c r="R260" s="94"/>
      <c r="S260" s="94"/>
      <c r="T260" s="94"/>
      <c r="U260" s="94"/>
      <c r="V260" s="94"/>
      <c r="W260" s="94"/>
      <c r="X260" s="94"/>
      <c r="Y260" s="94"/>
      <c r="Z260" s="94"/>
      <c r="AA260" s="24"/>
      <c r="AB260" s="24"/>
      <c r="AC260" s="24"/>
      <c r="AD260" s="24"/>
      <c r="AE260" s="24"/>
      <c r="AF260" s="24"/>
      <c r="AG260" s="24"/>
      <c r="AH260" s="24"/>
    </row>
    <row r="261" spans="1:34">
      <c r="A261" s="956"/>
      <c r="B261" s="957">
        <v>240</v>
      </c>
      <c r="C261" s="958" t="s">
        <v>374</v>
      </c>
      <c r="D261" s="957">
        <v>-1</v>
      </c>
      <c r="E261" s="957">
        <v>3.33</v>
      </c>
      <c r="F261" s="959"/>
      <c r="G261" s="960"/>
      <c r="H261" s="961"/>
      <c r="I261" s="962"/>
      <c r="J261" s="963"/>
      <c r="K261" s="963">
        <v>25</v>
      </c>
      <c r="L261" s="961">
        <v>0</v>
      </c>
      <c r="M261" s="964" t="s">
        <v>373</v>
      </c>
      <c r="N261" s="965"/>
      <c r="O261" s="966"/>
      <c r="P261" s="957"/>
      <c r="Q261" s="957"/>
      <c r="R261" s="94"/>
      <c r="S261" s="94"/>
      <c r="T261" s="94"/>
      <c r="U261" s="94"/>
      <c r="V261" s="94"/>
      <c r="W261" s="94"/>
      <c r="X261" s="94"/>
      <c r="Y261" s="94"/>
      <c r="Z261" s="94"/>
      <c r="AA261" s="24"/>
      <c r="AB261" s="24"/>
      <c r="AC261" s="24"/>
      <c r="AD261" s="24"/>
      <c r="AE261" s="24"/>
      <c r="AF261" s="24"/>
      <c r="AG261" s="24"/>
      <c r="AH261" s="24"/>
    </row>
    <row r="262" spans="1:34">
      <c r="A262" s="956"/>
      <c r="B262" s="957">
        <v>241</v>
      </c>
      <c r="C262" s="958" t="s">
        <v>253</v>
      </c>
      <c r="D262" s="957">
        <v>-2</v>
      </c>
      <c r="E262" s="957">
        <v>0.6</v>
      </c>
      <c r="F262" s="959">
        <v>1.63</v>
      </c>
      <c r="G262" s="960"/>
      <c r="H262" s="961"/>
      <c r="I262" s="962"/>
      <c r="J262" s="963"/>
      <c r="K262" s="963">
        <v>25</v>
      </c>
      <c r="L262" s="961">
        <v>0</v>
      </c>
      <c r="M262" s="964" t="s">
        <v>254</v>
      </c>
      <c r="N262" s="965"/>
      <c r="O262" s="966"/>
      <c r="P262" s="957"/>
      <c r="Q262" s="957"/>
      <c r="R262" s="94"/>
      <c r="S262" s="94"/>
      <c r="T262" s="94"/>
      <c r="U262" s="94"/>
      <c r="V262" s="94"/>
      <c r="W262" s="94"/>
      <c r="X262" s="94"/>
      <c r="Y262" s="94"/>
      <c r="Z262" s="94"/>
      <c r="AA262" s="24"/>
      <c r="AB262" s="24"/>
      <c r="AC262" s="24"/>
      <c r="AD262" s="24"/>
      <c r="AE262" s="24"/>
      <c r="AF262" s="24"/>
      <c r="AG262" s="24"/>
      <c r="AH262" s="24"/>
    </row>
    <row r="263" spans="1:34">
      <c r="A263" s="956"/>
      <c r="B263" s="957">
        <v>242</v>
      </c>
      <c r="C263" s="958" t="s">
        <v>255</v>
      </c>
      <c r="D263" s="957">
        <v>-1</v>
      </c>
      <c r="E263" s="957">
        <v>2.0880000000000001</v>
      </c>
      <c r="F263" s="959">
        <v>9.1</v>
      </c>
      <c r="G263" s="960"/>
      <c r="H263" s="961"/>
      <c r="I263" s="962"/>
      <c r="J263" s="963"/>
      <c r="K263" s="963">
        <v>25</v>
      </c>
      <c r="L263" s="961">
        <v>0</v>
      </c>
      <c r="M263" s="964" t="s">
        <v>256</v>
      </c>
      <c r="N263" s="965">
        <v>119.12</v>
      </c>
      <c r="O263" s="966"/>
      <c r="P263" s="957"/>
      <c r="Q263" s="957"/>
      <c r="R263" s="94"/>
      <c r="S263" s="94"/>
      <c r="T263" s="94"/>
      <c r="U263" s="94"/>
      <c r="V263" s="94"/>
      <c r="W263" s="94"/>
      <c r="X263" s="94"/>
      <c r="Y263" s="94"/>
      <c r="Z263" s="94"/>
      <c r="AA263" s="24"/>
      <c r="AB263" s="24"/>
      <c r="AC263" s="24"/>
      <c r="AD263" s="24"/>
      <c r="AE263" s="24"/>
      <c r="AF263" s="24"/>
      <c r="AG263" s="24"/>
      <c r="AH263" s="24"/>
    </row>
    <row r="264" spans="1:34">
      <c r="A264" s="956"/>
      <c r="B264" s="957">
        <v>243</v>
      </c>
      <c r="C264" s="958" t="s">
        <v>102</v>
      </c>
      <c r="D264" s="957">
        <v>-1</v>
      </c>
      <c r="E264" s="957">
        <v>4.2699999999999996</v>
      </c>
      <c r="F264" s="959"/>
      <c r="G264" s="960"/>
      <c r="H264" s="961"/>
      <c r="I264" s="962"/>
      <c r="J264" s="963"/>
      <c r="K264" s="963">
        <v>25</v>
      </c>
      <c r="L264" s="961">
        <v>0</v>
      </c>
      <c r="M264" s="964" t="s">
        <v>99</v>
      </c>
      <c r="N264" s="965"/>
      <c r="O264" s="966"/>
      <c r="P264" s="957"/>
      <c r="Q264" s="957"/>
      <c r="R264" s="94"/>
      <c r="S264" s="94"/>
      <c r="T264" s="94"/>
      <c r="U264" s="94"/>
      <c r="V264" s="94"/>
      <c r="W264" s="94"/>
      <c r="X264" s="94"/>
      <c r="Y264" s="94"/>
      <c r="Z264" s="94"/>
      <c r="AA264" s="24"/>
      <c r="AB264" s="24"/>
      <c r="AC264" s="24"/>
      <c r="AD264" s="24"/>
      <c r="AE264" s="24"/>
      <c r="AF264" s="24"/>
      <c r="AG264" s="24"/>
      <c r="AH264" s="24"/>
    </row>
    <row r="265" spans="1:34">
      <c r="A265" s="956"/>
      <c r="B265" s="957">
        <v>244</v>
      </c>
      <c r="C265" s="958" t="s">
        <v>101</v>
      </c>
      <c r="D265" s="957">
        <v>-1</v>
      </c>
      <c r="E265" s="957">
        <v>3.91</v>
      </c>
      <c r="F265" s="959"/>
      <c r="G265" s="960"/>
      <c r="H265" s="961"/>
      <c r="I265" s="962"/>
      <c r="J265" s="963"/>
      <c r="K265" s="963">
        <v>25</v>
      </c>
      <c r="L265" s="961">
        <v>0</v>
      </c>
      <c r="M265" s="964" t="s">
        <v>99</v>
      </c>
      <c r="N265" s="965"/>
      <c r="O265" s="966"/>
      <c r="P265" s="957"/>
      <c r="Q265" s="957"/>
      <c r="R265" s="94"/>
      <c r="S265" s="94"/>
      <c r="T265" s="94"/>
      <c r="U265" s="94"/>
      <c r="V265" s="94"/>
      <c r="W265" s="94"/>
      <c r="X265" s="94"/>
      <c r="Y265" s="94"/>
      <c r="Z265" s="94"/>
      <c r="AA265" s="24"/>
      <c r="AB265" s="24"/>
      <c r="AC265" s="24"/>
      <c r="AD265" s="24"/>
      <c r="AE265" s="24"/>
      <c r="AF265" s="24"/>
      <c r="AG265" s="24"/>
      <c r="AH265" s="24"/>
    </row>
    <row r="266" spans="1:34">
      <c r="A266" s="956"/>
      <c r="B266" s="957">
        <v>245</v>
      </c>
      <c r="C266" s="958" t="s">
        <v>103</v>
      </c>
      <c r="D266" s="957">
        <v>-1</v>
      </c>
      <c r="E266" s="957">
        <v>4.3600000000000003</v>
      </c>
      <c r="F266" s="959"/>
      <c r="G266" s="960"/>
      <c r="H266" s="961"/>
      <c r="I266" s="962"/>
      <c r="J266" s="963"/>
      <c r="K266" s="963">
        <v>25</v>
      </c>
      <c r="L266" s="961">
        <v>0</v>
      </c>
      <c r="M266" s="964" t="s">
        <v>99</v>
      </c>
      <c r="N266" s="965"/>
      <c r="O266" s="966"/>
      <c r="P266" s="957"/>
      <c r="Q266" s="957"/>
      <c r="R266" s="94"/>
      <c r="S266" s="94"/>
      <c r="T266" s="94"/>
      <c r="U266" s="94"/>
      <c r="V266" s="94"/>
      <c r="W266" s="94"/>
      <c r="X266" s="94"/>
      <c r="Y266" s="94"/>
      <c r="Z266" s="94"/>
      <c r="AA266" s="24"/>
      <c r="AB266" s="24"/>
      <c r="AC266" s="24"/>
      <c r="AD266" s="24"/>
      <c r="AE266" s="24"/>
      <c r="AF266" s="24"/>
      <c r="AG266" s="24"/>
      <c r="AH266" s="24"/>
    </row>
    <row r="267" spans="1:34">
      <c r="A267" s="956"/>
      <c r="B267" s="957">
        <v>246</v>
      </c>
      <c r="C267" s="958" t="s">
        <v>257</v>
      </c>
      <c r="D267" s="957">
        <v>-1</v>
      </c>
      <c r="E267" s="957">
        <v>0.87</v>
      </c>
      <c r="F267" s="959"/>
      <c r="G267" s="960"/>
      <c r="H267" s="961"/>
      <c r="I267" s="962"/>
      <c r="J267" s="963"/>
      <c r="K267" s="963">
        <v>25</v>
      </c>
      <c r="L267" s="948">
        <v>0</v>
      </c>
      <c r="M267" s="964" t="s">
        <v>258</v>
      </c>
      <c r="N267" s="965"/>
      <c r="O267" s="966"/>
      <c r="P267" s="957"/>
      <c r="Q267" s="957"/>
      <c r="R267" s="94"/>
      <c r="S267" s="94"/>
      <c r="T267" s="94"/>
      <c r="U267" s="94"/>
      <c r="V267" s="94"/>
      <c r="W267" s="94"/>
      <c r="X267" s="94"/>
      <c r="Y267" s="94"/>
      <c r="Z267" s="94"/>
      <c r="AA267" s="24"/>
      <c r="AB267" s="24"/>
      <c r="AC267" s="24"/>
      <c r="AD267" s="24"/>
      <c r="AE267" s="24"/>
      <c r="AF267" s="24"/>
      <c r="AG267" s="24"/>
      <c r="AH267" s="24"/>
    </row>
    <row r="268" spans="1:34">
      <c r="A268" s="956"/>
      <c r="B268" s="957">
        <v>247</v>
      </c>
      <c r="C268" s="958" t="s">
        <v>259</v>
      </c>
      <c r="D268" s="957">
        <v>0</v>
      </c>
      <c r="E268" s="957">
        <v>7.7619999999999996</v>
      </c>
      <c r="F268" s="959"/>
      <c r="G268" s="960"/>
      <c r="H268" s="961"/>
      <c r="I268" s="962"/>
      <c r="J268" s="963"/>
      <c r="K268" s="963">
        <v>25</v>
      </c>
      <c r="L268" s="961">
        <v>0</v>
      </c>
      <c r="M268" s="964" t="s">
        <v>260</v>
      </c>
      <c r="N268" s="965"/>
      <c r="O268" s="966"/>
      <c r="P268" s="957"/>
      <c r="Q268" s="957"/>
      <c r="R268" s="94"/>
      <c r="S268" s="94"/>
      <c r="T268" s="94"/>
      <c r="U268" s="94"/>
      <c r="V268" s="94"/>
      <c r="W268" s="94"/>
      <c r="X268" s="94"/>
      <c r="Y268" s="94"/>
      <c r="Z268" s="94"/>
      <c r="AA268" s="24"/>
      <c r="AB268" s="24"/>
      <c r="AC268" s="24"/>
      <c r="AD268" s="24"/>
      <c r="AE268" s="24"/>
      <c r="AF268" s="24"/>
      <c r="AG268" s="24"/>
      <c r="AH268" s="24"/>
    </row>
    <row r="269" spans="1:34">
      <c r="A269" s="956"/>
      <c r="B269" s="957">
        <v>248</v>
      </c>
      <c r="C269" s="958" t="s">
        <v>261</v>
      </c>
      <c r="D269" s="957">
        <v>0</v>
      </c>
      <c r="E269" s="957">
        <v>10.715</v>
      </c>
      <c r="F269" s="959"/>
      <c r="G269" s="960"/>
      <c r="H269" s="961"/>
      <c r="I269" s="962"/>
      <c r="J269" s="963"/>
      <c r="K269" s="963">
        <v>25</v>
      </c>
      <c r="L269" s="961">
        <v>0</v>
      </c>
      <c r="M269" s="964" t="s">
        <v>262</v>
      </c>
      <c r="N269" s="965"/>
      <c r="O269" s="966"/>
      <c r="P269" s="957"/>
      <c r="Q269" s="957"/>
      <c r="R269" s="94"/>
      <c r="S269" s="94"/>
      <c r="T269" s="94"/>
      <c r="U269" s="94"/>
      <c r="V269" s="94"/>
      <c r="W269" s="94"/>
      <c r="X269" s="94"/>
      <c r="Y269" s="94"/>
      <c r="Z269" s="94"/>
      <c r="AA269" s="24"/>
      <c r="AB269" s="24"/>
      <c r="AC269" s="24"/>
      <c r="AD269" s="24"/>
      <c r="AE269" s="24"/>
      <c r="AF269" s="24"/>
      <c r="AG269" s="24"/>
      <c r="AH269" s="24"/>
    </row>
    <row r="270" spans="1:34">
      <c r="A270" s="956"/>
      <c r="B270" s="957">
        <v>249</v>
      </c>
      <c r="C270" s="958" t="s">
        <v>451</v>
      </c>
      <c r="D270" s="957">
        <v>-1</v>
      </c>
      <c r="E270" s="957">
        <v>5.03</v>
      </c>
      <c r="F270" s="959"/>
      <c r="G270" s="960"/>
      <c r="H270" s="961"/>
      <c r="I270" s="962"/>
      <c r="J270" s="963"/>
      <c r="K270" s="963">
        <v>25</v>
      </c>
      <c r="L270" s="961">
        <v>0</v>
      </c>
      <c r="M270" s="964" t="s">
        <v>447</v>
      </c>
      <c r="N270" s="965"/>
      <c r="O270" s="966"/>
      <c r="P270" s="957"/>
      <c r="Q270" s="957"/>
      <c r="R270" s="94"/>
      <c r="S270" s="94"/>
      <c r="T270" s="94"/>
      <c r="U270" s="94"/>
      <c r="V270" s="94"/>
      <c r="W270" s="94"/>
      <c r="X270" s="94"/>
      <c r="Y270" s="94"/>
      <c r="Z270" s="94"/>
      <c r="AA270" s="24"/>
      <c r="AB270" s="24"/>
      <c r="AC270" s="24"/>
      <c r="AD270" s="24"/>
      <c r="AE270" s="24"/>
      <c r="AF270" s="24"/>
      <c r="AG270" s="24"/>
      <c r="AH270" s="24"/>
    </row>
    <row r="271" spans="1:34">
      <c r="A271" s="956"/>
      <c r="B271" s="957">
        <v>250</v>
      </c>
      <c r="C271" s="958" t="s">
        <v>263</v>
      </c>
      <c r="D271" s="957">
        <v>0</v>
      </c>
      <c r="E271" s="957">
        <v>9.8000000000000007</v>
      </c>
      <c r="F271" s="959"/>
      <c r="G271" s="960"/>
      <c r="H271" s="961"/>
      <c r="I271" s="962"/>
      <c r="J271" s="963"/>
      <c r="K271" s="963">
        <v>25</v>
      </c>
      <c r="L271" s="961">
        <v>0</v>
      </c>
      <c r="M271" s="964" t="s">
        <v>264</v>
      </c>
      <c r="N271" s="965"/>
      <c r="O271" s="966"/>
      <c r="P271" s="957"/>
      <c r="Q271" s="957"/>
      <c r="R271" s="94"/>
      <c r="S271" s="94"/>
      <c r="T271" s="94"/>
      <c r="U271" s="94"/>
      <c r="V271" s="94"/>
      <c r="W271" s="94"/>
      <c r="X271" s="94"/>
      <c r="Y271" s="94"/>
      <c r="Z271" s="94"/>
      <c r="AA271" s="24"/>
      <c r="AB271" s="24"/>
      <c r="AC271" s="24"/>
      <c r="AD271" s="24"/>
      <c r="AE271" s="24"/>
      <c r="AF271" s="24"/>
      <c r="AG271" s="24"/>
      <c r="AH271" s="24"/>
    </row>
    <row r="272" spans="1:34">
      <c r="A272" s="956"/>
      <c r="B272" s="957">
        <v>251</v>
      </c>
      <c r="C272" s="958" t="s">
        <v>265</v>
      </c>
      <c r="D272" s="957">
        <v>0</v>
      </c>
      <c r="E272" s="957">
        <v>8.0749999999999993</v>
      </c>
      <c r="F272" s="959"/>
      <c r="G272" s="960"/>
      <c r="H272" s="961"/>
      <c r="I272" s="962"/>
      <c r="J272" s="963"/>
      <c r="K272" s="963">
        <v>25</v>
      </c>
      <c r="L272" s="961">
        <v>0</v>
      </c>
      <c r="M272" s="964" t="s">
        <v>266</v>
      </c>
      <c r="N272" s="965"/>
      <c r="O272" s="966"/>
      <c r="P272" s="957"/>
      <c r="Q272" s="957"/>
      <c r="R272" s="94"/>
      <c r="S272" s="94"/>
      <c r="T272" s="94"/>
      <c r="U272" s="94"/>
      <c r="V272" s="94"/>
      <c r="W272" s="94"/>
      <c r="X272" s="94"/>
      <c r="Y272" s="94"/>
      <c r="Z272" s="94"/>
      <c r="AA272" s="24"/>
      <c r="AB272" s="24"/>
      <c r="AC272" s="24"/>
      <c r="AD272" s="24"/>
      <c r="AE272" s="24"/>
      <c r="AF272" s="24"/>
      <c r="AG272" s="24"/>
      <c r="AH272" s="24"/>
    </row>
    <row r="273" spans="1:34">
      <c r="A273" s="956"/>
      <c r="B273" s="957">
        <v>252</v>
      </c>
      <c r="C273" s="958" t="s">
        <v>267</v>
      </c>
      <c r="D273" s="957">
        <v>-1</v>
      </c>
      <c r="E273" s="957">
        <v>2.35</v>
      </c>
      <c r="F273" s="959">
        <v>9.5399999999999991</v>
      </c>
      <c r="G273" s="960"/>
      <c r="H273" s="961"/>
      <c r="I273" s="962"/>
      <c r="J273" s="963"/>
      <c r="K273" s="963">
        <v>25</v>
      </c>
      <c r="L273" s="948">
        <v>0</v>
      </c>
      <c r="M273" s="964" t="s">
        <v>285</v>
      </c>
      <c r="N273" s="965"/>
      <c r="O273" s="966"/>
      <c r="P273" s="957"/>
      <c r="Q273" s="957"/>
      <c r="R273" s="94"/>
      <c r="S273" s="94"/>
      <c r="T273" s="94"/>
      <c r="U273" s="94"/>
      <c r="V273" s="94"/>
      <c r="W273" s="94"/>
      <c r="X273" s="94"/>
      <c r="Y273" s="94"/>
      <c r="Z273" s="94"/>
      <c r="AA273" s="24"/>
      <c r="AB273" s="24"/>
      <c r="AC273" s="24"/>
      <c r="AD273" s="24"/>
      <c r="AE273" s="24"/>
      <c r="AF273" s="24"/>
      <c r="AG273" s="24"/>
      <c r="AH273" s="24"/>
    </row>
    <row r="274" spans="1:34">
      <c r="A274" s="956"/>
      <c r="B274" s="957">
        <v>253</v>
      </c>
      <c r="C274" s="958" t="s">
        <v>112</v>
      </c>
      <c r="D274" s="957">
        <v>0</v>
      </c>
      <c r="E274" s="957">
        <v>9.74</v>
      </c>
      <c r="F274" s="959">
        <v>10.52</v>
      </c>
      <c r="G274" s="960"/>
      <c r="H274" s="961"/>
      <c r="I274" s="962"/>
      <c r="J274" s="963"/>
      <c r="K274" s="963">
        <v>25</v>
      </c>
      <c r="L274" s="961">
        <v>0</v>
      </c>
      <c r="M274" s="964" t="s">
        <v>108</v>
      </c>
      <c r="N274" s="965"/>
      <c r="O274" s="966"/>
      <c r="P274" s="957"/>
      <c r="Q274" s="957"/>
      <c r="R274" s="94"/>
      <c r="S274" s="94"/>
      <c r="T274" s="94"/>
      <c r="U274" s="94"/>
      <c r="V274" s="94"/>
      <c r="W274" s="94"/>
      <c r="X274" s="94"/>
      <c r="Y274" s="94"/>
      <c r="Z274" s="94"/>
      <c r="AA274" s="24"/>
      <c r="AB274" s="24"/>
      <c r="AC274" s="24"/>
      <c r="AD274" s="24"/>
      <c r="AE274" s="24"/>
      <c r="AF274" s="24"/>
      <c r="AG274" s="24"/>
      <c r="AH274" s="24"/>
    </row>
    <row r="275" spans="1:34">
      <c r="A275" s="956"/>
      <c r="B275" s="957">
        <v>254</v>
      </c>
      <c r="C275" s="958" t="s">
        <v>271</v>
      </c>
      <c r="D275" s="957">
        <v>-1</v>
      </c>
      <c r="E275" s="957">
        <v>2.17</v>
      </c>
      <c r="F275" s="959">
        <v>9.19</v>
      </c>
      <c r="G275" s="960">
        <v>10.47</v>
      </c>
      <c r="H275" s="961"/>
      <c r="I275" s="962"/>
      <c r="J275" s="963"/>
      <c r="K275" s="963">
        <v>25</v>
      </c>
      <c r="L275" s="961">
        <v>0</v>
      </c>
      <c r="M275" s="964" t="s">
        <v>270</v>
      </c>
      <c r="N275" s="965"/>
      <c r="O275" s="966"/>
      <c r="P275" s="957"/>
      <c r="Q275" s="957"/>
      <c r="R275" s="94"/>
      <c r="S275" s="94"/>
      <c r="T275" s="94"/>
      <c r="U275" s="94"/>
      <c r="V275" s="94"/>
      <c r="W275" s="94"/>
      <c r="X275" s="94"/>
      <c r="Y275" s="94"/>
      <c r="Z275" s="94"/>
      <c r="AA275" s="24"/>
      <c r="AB275" s="24"/>
      <c r="AC275" s="24"/>
      <c r="AD275" s="24"/>
      <c r="AE275" s="24"/>
      <c r="AF275" s="24"/>
      <c r="AG275" s="24"/>
      <c r="AH275" s="24"/>
    </row>
    <row r="276" spans="1:34">
      <c r="A276" s="956"/>
      <c r="B276" s="957">
        <v>255</v>
      </c>
      <c r="C276" s="958" t="s">
        <v>369</v>
      </c>
      <c r="D276" s="957">
        <v>0</v>
      </c>
      <c r="E276" s="957">
        <v>0.1</v>
      </c>
      <c r="F276" s="959"/>
      <c r="G276" s="960"/>
      <c r="H276" s="961"/>
      <c r="I276" s="962"/>
      <c r="J276" s="963"/>
      <c r="K276" s="963">
        <v>21</v>
      </c>
      <c r="L276" s="961">
        <v>0</v>
      </c>
      <c r="M276" s="964" t="s">
        <v>368</v>
      </c>
      <c r="N276" s="965"/>
      <c r="O276" s="966"/>
      <c r="P276" s="957"/>
      <c r="Q276" s="957"/>
      <c r="R276" s="94"/>
      <c r="S276" s="94"/>
      <c r="T276" s="94"/>
      <c r="U276" s="94"/>
      <c r="V276" s="94"/>
      <c r="W276" s="94"/>
      <c r="X276" s="94"/>
      <c r="Y276" s="94"/>
      <c r="Z276" s="94"/>
      <c r="AA276" s="24"/>
      <c r="AB276" s="24"/>
      <c r="AC276" s="24"/>
      <c r="AD276" s="24"/>
      <c r="AE276" s="24"/>
      <c r="AF276" s="24"/>
      <c r="AG276" s="24"/>
      <c r="AH276" s="24"/>
    </row>
    <row r="277" spans="1:34">
      <c r="A277" s="956"/>
      <c r="B277" s="957">
        <v>256</v>
      </c>
      <c r="C277" s="958" t="s">
        <v>438</v>
      </c>
      <c r="D277" s="957">
        <v>-1</v>
      </c>
      <c r="E277" s="957">
        <v>3.89</v>
      </c>
      <c r="F277" s="959"/>
      <c r="G277" s="960"/>
      <c r="H277" s="961"/>
      <c r="I277" s="962"/>
      <c r="J277" s="963"/>
      <c r="K277" s="963">
        <v>12</v>
      </c>
      <c r="L277" s="961">
        <v>0</v>
      </c>
      <c r="M277" s="964" t="s">
        <v>437</v>
      </c>
      <c r="N277" s="965"/>
      <c r="O277" s="966"/>
      <c r="P277" s="957"/>
      <c r="Q277" s="957"/>
      <c r="R277" s="94"/>
      <c r="S277" s="94"/>
      <c r="T277" s="94"/>
      <c r="U277" s="94"/>
      <c r="V277" s="94"/>
      <c r="W277" s="94"/>
      <c r="X277" s="94"/>
      <c r="Y277" s="94"/>
      <c r="Z277" s="94"/>
      <c r="AA277" s="24"/>
      <c r="AB277" s="24"/>
      <c r="AC277" s="24"/>
      <c r="AD277" s="24"/>
      <c r="AE277" s="24"/>
      <c r="AF277" s="24"/>
      <c r="AG277" s="24"/>
      <c r="AH277" s="24"/>
    </row>
    <row r="278" spans="1:34">
      <c r="A278" s="342"/>
      <c r="B278" s="957">
        <v>257</v>
      </c>
      <c r="C278" s="958" t="s">
        <v>455</v>
      </c>
      <c r="D278" s="957">
        <v>-1</v>
      </c>
      <c r="E278" s="957">
        <v>2.286</v>
      </c>
      <c r="F278" s="959">
        <v>9.718</v>
      </c>
      <c r="G278" s="960"/>
      <c r="H278" s="961"/>
      <c r="I278" s="962"/>
      <c r="J278" s="963"/>
      <c r="K278" s="963">
        <v>25</v>
      </c>
      <c r="L278" s="961">
        <v>0</v>
      </c>
      <c r="M278" s="964" t="s">
        <v>452</v>
      </c>
      <c r="N278" s="965"/>
      <c r="O278" s="966"/>
      <c r="P278" s="957"/>
      <c r="Q278" s="957"/>
      <c r="R278" s="94"/>
      <c r="S278" s="94"/>
      <c r="T278" s="94"/>
      <c r="U278" s="94"/>
      <c r="V278" s="94"/>
      <c r="W278" s="94"/>
      <c r="X278" s="94"/>
      <c r="Y278" s="94"/>
      <c r="Z278" s="94"/>
      <c r="AA278" s="24"/>
    </row>
    <row r="279" spans="1:34" s="915" customFormat="1">
      <c r="A279" s="956"/>
      <c r="B279" s="957">
        <v>258</v>
      </c>
      <c r="C279" s="933" t="s">
        <v>966</v>
      </c>
      <c r="D279" s="930"/>
      <c r="E279" s="930"/>
      <c r="F279" s="931"/>
      <c r="G279" s="930"/>
      <c r="H279" s="930"/>
      <c r="I279" s="930"/>
      <c r="J279" s="930"/>
      <c r="K279" s="930"/>
      <c r="L279" s="930"/>
      <c r="M279" s="930"/>
      <c r="N279" s="930"/>
      <c r="O279" s="990" t="s">
        <v>959</v>
      </c>
      <c r="P279" s="991" t="s">
        <v>960</v>
      </c>
      <c r="Q279" s="991" t="s">
        <v>961</v>
      </c>
      <c r="R279" s="991" t="s">
        <v>962</v>
      </c>
      <c r="S279" s="992"/>
      <c r="T279" s="992"/>
      <c r="U279" s="992"/>
      <c r="V279" s="993" t="s">
        <v>963</v>
      </c>
      <c r="W279" s="993"/>
      <c r="X279" s="992"/>
      <c r="Y279" s="992"/>
      <c r="Z279" s="992"/>
      <c r="AA279" s="24"/>
    </row>
    <row r="280" spans="1:34" s="915" customFormat="1">
      <c r="A280" s="956"/>
      <c r="B280" s="957">
        <v>259</v>
      </c>
      <c r="C280" s="971" t="s">
        <v>950</v>
      </c>
      <c r="D280" s="957">
        <v>-2</v>
      </c>
      <c r="E280" s="957">
        <v>1.7</v>
      </c>
      <c r="F280" s="957">
        <v>8.9</v>
      </c>
      <c r="G280" s="957"/>
      <c r="H280" s="957"/>
      <c r="I280" s="957"/>
      <c r="J280" s="957"/>
      <c r="K280" s="957"/>
      <c r="L280" s="972"/>
      <c r="M280" s="972" t="s">
        <v>917</v>
      </c>
      <c r="N280" s="973">
        <v>466.59</v>
      </c>
      <c r="O280" s="957">
        <v>1.7</v>
      </c>
      <c r="P280" s="945">
        <v>5263615</v>
      </c>
      <c r="Q280" s="946">
        <v>4107000</v>
      </c>
      <c r="R280" s="947">
        <v>4907000</v>
      </c>
      <c r="S280" s="948"/>
      <c r="T280" s="948"/>
      <c r="U280" s="950" t="s">
        <v>964</v>
      </c>
      <c r="V280" s="949">
        <v>1701178</v>
      </c>
      <c r="W280" s="949">
        <v>8374896</v>
      </c>
      <c r="X280" s="949">
        <v>52377</v>
      </c>
      <c r="Y280" s="949">
        <v>7722000</v>
      </c>
      <c r="Z280" s="949">
        <v>1702000</v>
      </c>
      <c r="AA280" s="24"/>
    </row>
    <row r="281" spans="1:34">
      <c r="A281" s="956"/>
      <c r="B281" s="957">
        <v>260</v>
      </c>
      <c r="C281" s="971" t="s">
        <v>951</v>
      </c>
      <c r="D281" s="957">
        <v>-2</v>
      </c>
      <c r="E281" s="957">
        <v>-1</v>
      </c>
      <c r="F281" s="957">
        <v>3.47</v>
      </c>
      <c r="G281" s="957"/>
      <c r="H281" s="957"/>
      <c r="I281" s="957"/>
      <c r="J281" s="957"/>
      <c r="K281" s="957"/>
      <c r="L281" s="972"/>
      <c r="M281" s="972" t="s">
        <v>918</v>
      </c>
      <c r="N281" s="973">
        <v>327.33</v>
      </c>
      <c r="O281" s="957">
        <v>3.47</v>
      </c>
      <c r="P281" s="945">
        <v>5263615</v>
      </c>
      <c r="Q281" s="946">
        <v>4961023</v>
      </c>
      <c r="R281" s="947">
        <v>4907000</v>
      </c>
      <c r="S281" s="948"/>
      <c r="T281" s="948"/>
      <c r="U281" s="950" t="s">
        <v>913</v>
      </c>
      <c r="V281" s="949">
        <v>16763955</v>
      </c>
      <c r="W281" s="949">
        <v>16750899</v>
      </c>
      <c r="X281" s="949">
        <v>15456000</v>
      </c>
      <c r="Y281" s="949"/>
      <c r="Z281" s="26"/>
      <c r="AA281" s="24"/>
    </row>
    <row r="282" spans="1:34">
      <c r="A282" s="956"/>
      <c r="B282" s="957">
        <v>261</v>
      </c>
      <c r="C282" s="971" t="s">
        <v>952</v>
      </c>
      <c r="D282" s="957">
        <v>-2</v>
      </c>
      <c r="E282" s="957">
        <v>-1</v>
      </c>
      <c r="F282" s="957">
        <v>4.8</v>
      </c>
      <c r="G282" s="957"/>
      <c r="H282" s="957"/>
      <c r="I282" s="957"/>
      <c r="J282" s="957"/>
      <c r="K282" s="957"/>
      <c r="L282" s="972"/>
      <c r="M282" s="972" t="s">
        <v>919</v>
      </c>
      <c r="N282" s="973">
        <v>698.01</v>
      </c>
      <c r="O282" s="957">
        <v>4.8</v>
      </c>
      <c r="P282" s="947">
        <v>4907000</v>
      </c>
      <c r="Q282" s="951">
        <v>52377</v>
      </c>
      <c r="R282" s="952">
        <v>16750899</v>
      </c>
      <c r="S282" s="944"/>
      <c r="T282" s="948"/>
      <c r="U282" s="950" t="s">
        <v>911</v>
      </c>
      <c r="V282" s="949">
        <v>7039480</v>
      </c>
      <c r="W282" s="949">
        <v>5263615</v>
      </c>
      <c r="X282" s="949">
        <v>14666000</v>
      </c>
      <c r="Y282" s="949"/>
      <c r="Z282" s="26"/>
      <c r="AA282" s="24"/>
    </row>
    <row r="283" spans="1:34">
      <c r="A283" s="956"/>
      <c r="B283" s="957">
        <v>262</v>
      </c>
      <c r="C283" s="971" t="s">
        <v>953</v>
      </c>
      <c r="D283" s="957">
        <v>-1</v>
      </c>
      <c r="E283" s="957">
        <v>5.0999999999999996</v>
      </c>
      <c r="F283" s="957"/>
      <c r="G283" s="957"/>
      <c r="H283" s="957"/>
      <c r="I283" s="957"/>
      <c r="J283" s="957"/>
      <c r="K283" s="957"/>
      <c r="L283" s="972"/>
      <c r="M283" s="972" t="s">
        <v>920</v>
      </c>
      <c r="N283" s="973">
        <v>269.3</v>
      </c>
      <c r="O283" s="957">
        <v>5.0999999999999996</v>
      </c>
      <c r="P283" s="945">
        <v>5263615</v>
      </c>
      <c r="Q283" s="946">
        <v>4961023</v>
      </c>
      <c r="R283" s="947">
        <v>4907000</v>
      </c>
      <c r="S283" s="944"/>
      <c r="T283" s="948"/>
      <c r="U283" s="950" t="s">
        <v>912</v>
      </c>
      <c r="V283" s="949">
        <v>4907000</v>
      </c>
      <c r="W283" s="949">
        <v>10285055</v>
      </c>
      <c r="X283" s="949">
        <v>3339000</v>
      </c>
      <c r="Y283" s="949">
        <v>60395</v>
      </c>
      <c r="Z283" s="26"/>
      <c r="AA283" s="24"/>
    </row>
    <row r="284" spans="1:34">
      <c r="A284" s="956"/>
      <c r="B284" s="957">
        <v>263</v>
      </c>
      <c r="C284" s="971" t="s">
        <v>954</v>
      </c>
      <c r="D284" s="957">
        <v>-1</v>
      </c>
      <c r="E284" s="957">
        <v>7.1</v>
      </c>
      <c r="F284" s="957"/>
      <c r="G284" s="957"/>
      <c r="H284" s="957"/>
      <c r="I284" s="957"/>
      <c r="J284" s="957"/>
      <c r="K284" s="957"/>
      <c r="L284" s="972"/>
      <c r="M284" s="972" t="s">
        <v>921</v>
      </c>
      <c r="N284" s="973">
        <v>624.38</v>
      </c>
      <c r="O284" s="957">
        <v>7.1</v>
      </c>
      <c r="P284" s="947">
        <v>4907000</v>
      </c>
      <c r="Q284" s="951">
        <v>6813000</v>
      </c>
      <c r="R284" s="952">
        <v>16750899</v>
      </c>
      <c r="S284" s="948"/>
      <c r="T284" s="948"/>
      <c r="U284" s="950" t="s">
        <v>965</v>
      </c>
      <c r="V284" s="949">
        <v>16777215</v>
      </c>
      <c r="W284" s="949"/>
      <c r="X284" s="949"/>
      <c r="Y284" s="949"/>
      <c r="Z284" s="26"/>
      <c r="AA284" s="24"/>
    </row>
    <row r="285" spans="1:34">
      <c r="A285" s="956"/>
      <c r="B285" s="957">
        <v>264</v>
      </c>
      <c r="C285" s="971" t="s">
        <v>955</v>
      </c>
      <c r="D285" s="957">
        <v>-2</v>
      </c>
      <c r="E285" s="957">
        <v>1.2</v>
      </c>
      <c r="F285" s="957">
        <v>7.7</v>
      </c>
      <c r="G285" s="957"/>
      <c r="H285" s="957"/>
      <c r="I285" s="957"/>
      <c r="J285" s="957"/>
      <c r="K285" s="957"/>
      <c r="L285" s="972"/>
      <c r="M285" s="972" t="s">
        <v>922</v>
      </c>
      <c r="N285" s="973">
        <v>354.38</v>
      </c>
      <c r="O285" s="957">
        <v>7.7</v>
      </c>
      <c r="P285" s="947">
        <v>4907000</v>
      </c>
      <c r="Q285" s="946">
        <v>4961023</v>
      </c>
      <c r="R285" s="945">
        <v>5263615</v>
      </c>
      <c r="S285" s="948"/>
      <c r="T285" s="26"/>
      <c r="U285" s="950" t="s">
        <v>923</v>
      </c>
      <c r="V285" s="949">
        <v>4961023</v>
      </c>
      <c r="W285" s="949"/>
      <c r="X285" s="949"/>
      <c r="Y285" s="949"/>
      <c r="Z285" s="26"/>
      <c r="AA285" s="24"/>
    </row>
    <row r="286" spans="1:34">
      <c r="A286" s="956"/>
      <c r="B286" s="957">
        <v>265</v>
      </c>
      <c r="C286" s="971" t="s">
        <v>956</v>
      </c>
      <c r="D286" s="957">
        <v>-2</v>
      </c>
      <c r="E286" s="957">
        <v>1.7</v>
      </c>
      <c r="F286" s="957">
        <v>8.9</v>
      </c>
      <c r="G286" s="957"/>
      <c r="H286" s="957"/>
      <c r="I286" s="957"/>
      <c r="J286" s="957"/>
      <c r="K286" s="957"/>
      <c r="L286" s="972"/>
      <c r="M286" s="972" t="s">
        <v>917</v>
      </c>
      <c r="N286" s="973">
        <v>466.59</v>
      </c>
      <c r="O286" s="957">
        <v>8.9</v>
      </c>
      <c r="P286" s="947">
        <v>4907000</v>
      </c>
      <c r="Q286" s="951">
        <v>52377</v>
      </c>
      <c r="R286" s="952">
        <v>16750899</v>
      </c>
      <c r="S286" s="948"/>
      <c r="T286" s="26"/>
      <c r="U286" s="26"/>
      <c r="V286" s="26"/>
      <c r="W286" s="26"/>
      <c r="X286" s="26"/>
      <c r="Y286" s="26"/>
      <c r="Z286" s="26"/>
      <c r="AA286" s="24"/>
    </row>
    <row r="287" spans="1:34">
      <c r="A287" s="956"/>
      <c r="B287" s="957">
        <v>266</v>
      </c>
      <c r="C287" s="958" t="s">
        <v>914</v>
      </c>
      <c r="D287" s="957">
        <v>-2</v>
      </c>
      <c r="E287" s="957">
        <v>9.5</v>
      </c>
      <c r="F287" s="957">
        <v>9.6999999999999993</v>
      </c>
      <c r="G287" s="957"/>
      <c r="H287" s="957"/>
      <c r="I287" s="957"/>
      <c r="J287" s="957"/>
      <c r="K287" s="957"/>
      <c r="L287" s="972"/>
      <c r="M287" s="972" t="s">
        <v>924</v>
      </c>
      <c r="N287" s="973">
        <v>318.32</v>
      </c>
      <c r="O287" s="957">
        <v>9.6999999999999993</v>
      </c>
      <c r="P287" s="953">
        <v>15395562</v>
      </c>
      <c r="Q287" s="954">
        <v>16564985</v>
      </c>
      <c r="R287" s="955">
        <v>16419572</v>
      </c>
      <c r="S287" s="948"/>
      <c r="T287" s="26"/>
      <c r="U287" s="26"/>
      <c r="V287" s="26"/>
      <c r="W287" s="26"/>
      <c r="X287" s="26"/>
      <c r="Y287" s="26"/>
      <c r="Z287" s="26"/>
      <c r="AA287" s="24"/>
    </row>
    <row r="288" spans="1:34">
      <c r="A288" s="956"/>
      <c r="B288" s="957">
        <v>267</v>
      </c>
      <c r="C288" s="971" t="s">
        <v>957</v>
      </c>
      <c r="D288" s="2">
        <v>-1</v>
      </c>
      <c r="E288" s="2">
        <v>11</v>
      </c>
      <c r="F288" s="26"/>
      <c r="G288" s="26"/>
      <c r="H288" s="26"/>
      <c r="I288" s="26"/>
      <c r="J288" s="26"/>
      <c r="K288" s="26"/>
      <c r="L288" s="26"/>
      <c r="M288" s="94" t="s">
        <v>958</v>
      </c>
      <c r="N288" s="60">
        <v>287.23</v>
      </c>
      <c r="O288" s="2">
        <v>11</v>
      </c>
      <c r="P288" s="947">
        <v>4907000</v>
      </c>
      <c r="Q288" s="946">
        <v>4961023</v>
      </c>
      <c r="R288" s="945">
        <v>5263615</v>
      </c>
      <c r="S288" s="26"/>
      <c r="T288" s="26"/>
      <c r="U288" s="26"/>
      <c r="V288" s="26"/>
      <c r="W288" s="26"/>
      <c r="X288" s="26"/>
      <c r="Y288" s="26"/>
      <c r="Z288" s="26"/>
    </row>
    <row r="289" spans="1:26">
      <c r="A289" s="956"/>
      <c r="B289" s="957">
        <v>268</v>
      </c>
      <c r="C289" s="957"/>
      <c r="D289" s="957"/>
      <c r="E289" s="957"/>
      <c r="F289" s="959"/>
      <c r="G289" s="960"/>
      <c r="H289" s="961"/>
      <c r="I289" s="962"/>
      <c r="J289" s="963"/>
      <c r="K289" s="963"/>
      <c r="L289" s="961"/>
      <c r="M289" s="964"/>
      <c r="N289" s="965"/>
      <c r="O289" s="966"/>
      <c r="P289" s="94"/>
      <c r="Q289" s="94"/>
      <c r="R289" s="94"/>
      <c r="S289" s="94"/>
      <c r="T289" s="94"/>
      <c r="U289" s="94"/>
      <c r="V289" s="94"/>
      <c r="W289" s="94"/>
      <c r="X289" s="94"/>
      <c r="Y289" s="94"/>
      <c r="Z289" s="94"/>
    </row>
    <row r="290" spans="1:26">
      <c r="A290" s="956"/>
      <c r="B290" s="957">
        <v>269</v>
      </c>
      <c r="C290" s="957"/>
      <c r="D290" s="957"/>
      <c r="E290" s="957"/>
      <c r="F290" s="959"/>
      <c r="G290" s="960"/>
      <c r="H290" s="961"/>
      <c r="I290" s="962"/>
      <c r="J290" s="963"/>
      <c r="K290" s="963"/>
      <c r="L290" s="961"/>
      <c r="M290" s="964"/>
      <c r="N290" s="965"/>
      <c r="O290" s="966"/>
      <c r="P290" s="94"/>
      <c r="Q290" s="94"/>
      <c r="R290" s="94"/>
      <c r="S290" s="94"/>
      <c r="T290" s="94"/>
      <c r="U290" s="94"/>
      <c r="V290" s="94"/>
      <c r="W290" s="94"/>
      <c r="X290" s="94"/>
      <c r="Y290" s="94"/>
      <c r="Z290" s="94"/>
    </row>
    <row r="291" spans="1:26">
      <c r="A291" s="956"/>
      <c r="B291" s="957">
        <v>270</v>
      </c>
      <c r="C291" s="957"/>
      <c r="D291" s="957"/>
      <c r="E291" s="957"/>
      <c r="F291" s="959"/>
      <c r="G291" s="960"/>
      <c r="H291" s="961"/>
      <c r="I291" s="962"/>
      <c r="J291" s="963"/>
      <c r="K291" s="963"/>
      <c r="L291" s="961"/>
      <c r="M291" s="964"/>
      <c r="N291" s="965"/>
      <c r="O291" s="966"/>
      <c r="P291" s="94"/>
      <c r="Q291" s="94"/>
      <c r="R291" s="94"/>
      <c r="S291" s="94"/>
      <c r="T291" s="94"/>
      <c r="U291" s="94"/>
      <c r="V291" s="94"/>
      <c r="W291" s="94"/>
      <c r="X291" s="94"/>
      <c r="Y291" s="94"/>
      <c r="Z291" s="94"/>
    </row>
    <row r="292" spans="1:26">
      <c r="A292" s="956"/>
      <c r="B292" s="957">
        <v>271</v>
      </c>
      <c r="C292" s="957"/>
      <c r="D292" s="957"/>
      <c r="E292" s="957"/>
      <c r="F292" s="959"/>
      <c r="G292" s="960"/>
      <c r="H292" s="961"/>
      <c r="I292" s="962"/>
      <c r="J292" s="963"/>
      <c r="K292" s="963"/>
      <c r="L292" s="961"/>
      <c r="M292" s="964"/>
      <c r="N292" s="965"/>
      <c r="O292" s="966"/>
      <c r="P292" s="94"/>
      <c r="Q292" s="94"/>
      <c r="R292" s="94"/>
      <c r="S292" s="94"/>
      <c r="T292" s="94"/>
      <c r="U292" s="94"/>
      <c r="V292" s="94"/>
      <c r="W292" s="94"/>
      <c r="X292" s="94"/>
      <c r="Y292" s="94"/>
      <c r="Z292" s="94"/>
    </row>
    <row r="293" spans="1:26">
      <c r="A293" s="956"/>
      <c r="B293" s="957">
        <v>272</v>
      </c>
      <c r="C293" s="957"/>
      <c r="D293" s="957"/>
      <c r="E293" s="957"/>
      <c r="F293" s="959"/>
      <c r="G293" s="960"/>
      <c r="H293" s="961"/>
      <c r="I293" s="962"/>
      <c r="J293" s="963"/>
      <c r="K293" s="963"/>
      <c r="L293" s="961"/>
      <c r="M293" s="964"/>
      <c r="N293" s="965"/>
      <c r="O293" s="966"/>
      <c r="P293" s="94"/>
      <c r="Q293" s="94"/>
      <c r="R293" s="94"/>
      <c r="S293" s="94"/>
      <c r="T293" s="94"/>
      <c r="U293" s="94"/>
      <c r="V293" s="94"/>
      <c r="W293" s="94"/>
      <c r="X293" s="94"/>
      <c r="Y293" s="94"/>
      <c r="Z293" s="94"/>
    </row>
    <row r="294" spans="1:26">
      <c r="A294" s="956"/>
      <c r="B294" s="957">
        <v>273</v>
      </c>
      <c r="C294" s="957"/>
      <c r="D294" s="957"/>
      <c r="E294" s="957"/>
      <c r="F294" s="959"/>
      <c r="G294" s="960"/>
      <c r="H294" s="961"/>
      <c r="I294" s="962"/>
      <c r="J294" s="963"/>
      <c r="K294" s="963"/>
      <c r="L294" s="961"/>
      <c r="M294" s="964"/>
      <c r="N294" s="965"/>
      <c r="O294" s="966"/>
      <c r="P294" s="94"/>
      <c r="Q294" s="94"/>
      <c r="R294" s="94"/>
      <c r="S294" s="94"/>
      <c r="T294" s="94"/>
      <c r="U294" s="94"/>
      <c r="V294" s="94"/>
      <c r="W294" s="94"/>
      <c r="X294" s="94"/>
      <c r="Y294" s="94"/>
      <c r="Z294" s="94"/>
    </row>
    <row r="295" spans="1:26">
      <c r="A295" s="956"/>
      <c r="B295" s="957">
        <v>274</v>
      </c>
      <c r="C295" s="957"/>
      <c r="D295" s="957"/>
      <c r="E295" s="957"/>
      <c r="F295" s="959"/>
      <c r="G295" s="960"/>
      <c r="H295" s="961"/>
      <c r="I295" s="962"/>
      <c r="J295" s="963"/>
      <c r="K295" s="963"/>
      <c r="L295" s="961"/>
      <c r="M295" s="964"/>
      <c r="N295" s="965"/>
      <c r="O295" s="966"/>
      <c r="P295" s="94"/>
      <c r="Q295" s="94"/>
      <c r="R295" s="94"/>
      <c r="S295" s="94"/>
      <c r="T295" s="94"/>
      <c r="U295" s="94"/>
      <c r="V295" s="94"/>
      <c r="W295" s="94"/>
      <c r="X295" s="94"/>
      <c r="Y295" s="94"/>
      <c r="Z295" s="94"/>
    </row>
    <row r="296" spans="1:26">
      <c r="A296" s="956"/>
      <c r="B296" s="957">
        <v>275</v>
      </c>
      <c r="C296" s="957"/>
      <c r="D296" s="957"/>
      <c r="E296" s="957"/>
      <c r="F296" s="959"/>
      <c r="G296" s="960"/>
      <c r="H296" s="961"/>
      <c r="I296" s="962"/>
      <c r="J296" s="963"/>
      <c r="K296" s="963"/>
      <c r="L296" s="961"/>
      <c r="M296" s="964"/>
      <c r="N296" s="965"/>
      <c r="O296" s="966"/>
      <c r="P296" s="94"/>
      <c r="Q296" s="94"/>
      <c r="R296" s="94"/>
      <c r="S296" s="94"/>
      <c r="T296" s="94"/>
      <c r="U296" s="94"/>
      <c r="V296" s="94"/>
      <c r="W296" s="94"/>
      <c r="X296" s="94"/>
      <c r="Y296" s="94"/>
      <c r="Z296" s="94"/>
    </row>
    <row r="297" spans="1:26">
      <c r="A297" s="956"/>
      <c r="B297" s="957">
        <v>276</v>
      </c>
      <c r="C297" s="958"/>
      <c r="D297" s="957"/>
      <c r="E297" s="957"/>
      <c r="F297" s="959"/>
      <c r="G297" s="960"/>
      <c r="H297" s="961"/>
      <c r="I297" s="962"/>
      <c r="J297" s="963"/>
      <c r="K297" s="963"/>
      <c r="L297" s="961"/>
      <c r="M297" s="964"/>
      <c r="N297" s="965"/>
      <c r="O297" s="966"/>
      <c r="P297" s="94"/>
      <c r="Q297" s="94"/>
      <c r="R297" s="94"/>
      <c r="S297" s="94"/>
      <c r="T297" s="94"/>
      <c r="U297" s="94"/>
      <c r="V297" s="94"/>
      <c r="W297" s="94"/>
      <c r="X297" s="94"/>
      <c r="Y297" s="94"/>
      <c r="Z297" s="94"/>
    </row>
    <row r="298" spans="1:26">
      <c r="A298" s="956"/>
      <c r="B298" s="957">
        <v>277</v>
      </c>
      <c r="C298" s="958"/>
      <c r="D298" s="957"/>
      <c r="E298" s="957"/>
      <c r="F298" s="959"/>
      <c r="G298" s="960"/>
      <c r="H298" s="961"/>
      <c r="I298" s="962"/>
      <c r="J298" s="963"/>
      <c r="K298" s="963"/>
      <c r="L298" s="961"/>
      <c r="M298" s="964"/>
      <c r="N298" s="965"/>
      <c r="O298" s="966"/>
      <c r="P298" s="94"/>
      <c r="Q298" s="94"/>
      <c r="R298" s="94"/>
      <c r="S298" s="94"/>
      <c r="T298" s="94"/>
      <c r="U298" s="94"/>
      <c r="V298" s="94"/>
      <c r="W298" s="94"/>
      <c r="X298" s="94"/>
      <c r="Y298" s="94"/>
      <c r="Z298" s="94"/>
    </row>
    <row r="299" spans="1:26">
      <c r="A299" s="956"/>
      <c r="B299" s="957">
        <v>278</v>
      </c>
      <c r="C299" s="958"/>
      <c r="D299" s="957"/>
      <c r="E299" s="957"/>
      <c r="F299" s="959"/>
      <c r="G299" s="960"/>
      <c r="H299" s="961"/>
      <c r="I299" s="962"/>
      <c r="J299" s="963"/>
      <c r="K299" s="963"/>
      <c r="L299" s="961"/>
      <c r="M299" s="964"/>
      <c r="N299" s="965"/>
      <c r="O299" s="966"/>
      <c r="P299" s="94"/>
      <c r="Q299" s="94"/>
      <c r="R299" s="94"/>
      <c r="S299" s="94"/>
      <c r="T299" s="94"/>
      <c r="U299" s="94"/>
      <c r="V299" s="94"/>
      <c r="W299" s="94"/>
      <c r="X299" s="94"/>
      <c r="Y299" s="94"/>
      <c r="Z299" s="94"/>
    </row>
    <row r="300" spans="1:26">
      <c r="A300" s="956"/>
      <c r="B300" s="957">
        <v>279</v>
      </c>
      <c r="C300" s="958"/>
      <c r="D300" s="957"/>
      <c r="E300" s="957"/>
      <c r="F300" s="959"/>
      <c r="G300" s="960"/>
      <c r="H300" s="961"/>
      <c r="I300" s="962"/>
      <c r="J300" s="963"/>
      <c r="K300" s="963"/>
      <c r="L300" s="961"/>
      <c r="M300" s="964"/>
      <c r="N300" s="965"/>
      <c r="O300" s="966"/>
      <c r="P300" s="94"/>
      <c r="Q300" s="94"/>
      <c r="R300" s="94"/>
      <c r="S300" s="94"/>
      <c r="T300" s="94"/>
      <c r="U300" s="94"/>
      <c r="V300" s="94"/>
      <c r="W300" s="94"/>
      <c r="X300" s="94"/>
      <c r="Y300" s="94"/>
      <c r="Z300" s="94"/>
    </row>
    <row r="301" spans="1:26">
      <c r="A301" s="956"/>
      <c r="B301" s="957">
        <v>280</v>
      </c>
      <c r="C301" s="958"/>
      <c r="D301" s="957"/>
      <c r="E301" s="957"/>
      <c r="F301" s="959"/>
      <c r="G301" s="960"/>
      <c r="H301" s="961"/>
      <c r="I301" s="962"/>
      <c r="J301" s="963"/>
      <c r="K301" s="963"/>
      <c r="L301" s="961"/>
      <c r="M301" s="964"/>
      <c r="N301" s="965"/>
      <c r="O301" s="966"/>
      <c r="P301" s="94"/>
      <c r="Q301" s="94"/>
      <c r="R301" s="94"/>
      <c r="S301" s="94"/>
      <c r="T301" s="94"/>
      <c r="U301" s="94"/>
      <c r="V301" s="94"/>
      <c r="W301" s="94"/>
      <c r="X301" s="94"/>
      <c r="Y301" s="94"/>
      <c r="Z301" s="94"/>
    </row>
    <row r="302" spans="1:26">
      <c r="A302" s="956"/>
      <c r="B302" s="957"/>
      <c r="C302" s="958"/>
      <c r="D302" s="957"/>
      <c r="E302" s="957"/>
      <c r="F302" s="959"/>
      <c r="G302" s="960"/>
      <c r="H302" s="961"/>
      <c r="I302" s="962"/>
      <c r="J302" s="963"/>
      <c r="K302" s="963"/>
      <c r="L302" s="961"/>
      <c r="M302" s="964"/>
      <c r="N302" s="965"/>
      <c r="O302" s="966"/>
      <c r="P302" s="94"/>
      <c r="Q302" s="94"/>
      <c r="R302" s="94"/>
      <c r="S302" s="94"/>
      <c r="T302" s="94"/>
      <c r="U302" s="94"/>
      <c r="V302" s="94"/>
      <c r="W302" s="94"/>
      <c r="X302" s="94"/>
      <c r="Y302" s="94"/>
      <c r="Z302" s="94"/>
    </row>
  </sheetData>
  <phoneticPr fontId="0" type="noConversion"/>
  <hyperlinks>
    <hyperlink ref="H8" r:id="rId1" display="http://research.chem.psu.edu/brpgroup/pKa_compilation.pdf" xr:uid="{00000000-0004-0000-0B00-000000000000}"/>
    <hyperlink ref="H9" r:id="rId2" display="http://www.zirchrom.com/organic.htm" xr:uid="{00000000-0004-0000-0B00-000001000000}"/>
  </hyperlinks>
  <pageMargins left="0.78740157499999996" right="0.78740157499999996" top="0.984251969" bottom="0.984251969" header="0.49212598499999999" footer="0.49212598499999999"/>
  <pageSetup paperSize="9" orientation="portrait" r:id="rId3"/>
  <headerFooter alignWithMargins="0"/>
  <drawing r:id="rId4"/>
  <legacy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CurTiPot</vt:lpstr>
      <vt:lpstr>   pH_calc   </vt:lpstr>
      <vt:lpstr>+pH</vt:lpstr>
      <vt:lpstr>Titration</vt:lpstr>
      <vt:lpstr>Simulation</vt:lpstr>
      <vt:lpstr>Distribution</vt:lpstr>
      <vt:lpstr>Evaluation</vt:lpstr>
      <vt:lpstr>+Eva</vt:lpstr>
      <vt:lpstr>Regression</vt:lpstr>
      <vt:lpstr>+Reg</vt:lpstr>
      <vt:lpstr>Graphs</vt:lpstr>
      <vt:lpstr>Database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CurTiPot pH and Acid-Base Titration</dc:title>
  <dc:subject>Acid-Base Titration Simulation and Analysis and pH Calculation</dc:subject>
  <dc:creator>Ivano G. R. Gutz</dc:creator>
  <cp:keywords>Acid-Base, pH, virtual titration, potentiometry, titration, data analysis, chemical equilibrium, buffer</cp:keywords>
  <dc:description>CurTiPot for Excel</dc:description>
  <cp:lastModifiedBy>mike</cp:lastModifiedBy>
  <cp:lastPrinted>2005-11-22T11:34:38Z</cp:lastPrinted>
  <dcterms:created xsi:type="dcterms:W3CDTF">2005-03-13T00:29:18Z</dcterms:created>
  <dcterms:modified xsi:type="dcterms:W3CDTF">2021-06-21T19:20:45Z</dcterms:modified>
  <cp:category>Software (freeware)</cp:category>
</cp:coreProperties>
</file>